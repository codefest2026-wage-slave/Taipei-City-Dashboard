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8"/>
  <workbookPr defaultThemeVersion="166925"/>
  <mc:AlternateContent xmlns:mc="http://schemas.openxmlformats.org/markup-compatibility/2006">
    <mc:Choice Requires="x15">
      <x15ac:absPath xmlns:x15ac="http://schemas.microsoft.com/office/spreadsheetml/2010/11/ac" url="D:\公務報表\113年年報\3月15後報送\"/>
    </mc:Choice>
  </mc:AlternateContent>
  <xr:revisionPtr revIDLastSave="0" documentId="13_ncr:1_{8DC98933-931E-45C4-AC89-D87EB7A7658D}" xr6:coauthVersionLast="36" xr6:coauthVersionMax="36" xr10:uidLastSave="{00000000-0000-0000-0000-000000000000}"/>
  <bookViews>
    <workbookView xWindow="0" yWindow="0" windowWidth="23040" windowHeight="8352" activeTab="1" xr2:uid="{00000000-000D-0000-FFFF-FFFF00000000}"/>
  </bookViews>
  <sheets>
    <sheet name="歷年資料" sheetId="1" r:id="rId1"/>
    <sheet name="113年 " sheetId="20" r:id="rId2"/>
    <sheet name="112年" sheetId="19" r:id="rId3"/>
    <sheet name="111年" sheetId="18" r:id="rId4"/>
    <sheet name="110年" sheetId="2" r:id="rId5"/>
    <sheet name="109年" sheetId="3" r:id="rId6"/>
    <sheet name="108年" sheetId="4" r:id="rId7"/>
    <sheet name="107年" sheetId="5" r:id="rId8"/>
    <sheet name="106年" sheetId="6" r:id="rId9"/>
    <sheet name="105年" sheetId="7" r:id="rId10"/>
    <sheet name="104年" sheetId="8" r:id="rId11"/>
    <sheet name="103年" sheetId="9" r:id="rId12"/>
    <sheet name="102年" sheetId="10" r:id="rId13"/>
    <sheet name="101年_" sheetId="11" r:id="rId14"/>
    <sheet name="100年" sheetId="12" r:id="rId15"/>
    <sheet name="99年" sheetId="13" r:id="rId16"/>
    <sheet name="98年" sheetId="14" r:id="rId17"/>
    <sheet name="97年" sheetId="15" r:id="rId18"/>
    <sheet name="96年" sheetId="16" r:id="rId19"/>
    <sheet name="編製說明" sheetId="17" r:id="rId20"/>
  </sheets>
  <calcPr calcId="191029"/>
</workbook>
</file>

<file path=xl/calcChain.xml><?xml version="1.0" encoding="utf-8"?>
<calcChain xmlns="http://schemas.openxmlformats.org/spreadsheetml/2006/main">
  <c r="C6" i="14" l="1"/>
  <c r="D20" i="13"/>
  <c r="C20" i="13"/>
  <c r="D16" i="13"/>
  <c r="C16" i="13"/>
  <c r="D8" i="13"/>
  <c r="C8" i="13"/>
  <c r="D7" i="13"/>
  <c r="C7" i="13"/>
  <c r="D6" i="13"/>
  <c r="C6" i="13"/>
  <c r="D28" i="11"/>
  <c r="C28" i="11"/>
  <c r="D20" i="11"/>
  <c r="C20" i="11"/>
  <c r="D8" i="11"/>
  <c r="C8" i="11"/>
  <c r="D7" i="11"/>
  <c r="C7" i="11"/>
  <c r="D8" i="10"/>
  <c r="C8" i="10"/>
  <c r="D7" i="10"/>
  <c r="C7" i="10"/>
  <c r="D20" i="9"/>
  <c r="C20" i="9"/>
  <c r="C13" i="9"/>
  <c r="D6" i="9"/>
</calcChain>
</file>

<file path=xl/sharedStrings.xml><?xml version="1.0" encoding="utf-8"?>
<sst xmlns="http://schemas.openxmlformats.org/spreadsheetml/2006/main" count="1032" uniqueCount="287">
  <si>
    <t>食品中毒案件</t>
  </si>
  <si>
    <t>單位：件數、人</t>
  </si>
  <si>
    <t>Unit: Outbreaks, Person</t>
  </si>
  <si>
    <t>年別及項目</t>
  </si>
  <si>
    <t>件    數</t>
  </si>
  <si>
    <t>患 者 數</t>
  </si>
  <si>
    <t>死 亡 數</t>
  </si>
  <si>
    <t>Year &amp; Item</t>
  </si>
  <si>
    <t xml:space="preserve"> No. of Outbreaks</t>
  </si>
  <si>
    <t>No. of Cases</t>
  </si>
  <si>
    <t>No. of Deaths</t>
  </si>
  <si>
    <r>
      <t xml:space="preserve">      96</t>
    </r>
    <r>
      <rPr>
        <sz val="12"/>
        <color indexed="8"/>
        <rFont val="標楷體"/>
        <family val="4"/>
        <charset val="136"/>
      </rPr>
      <t>年</t>
    </r>
  </si>
  <si>
    <r>
      <t xml:space="preserve">      97</t>
    </r>
    <r>
      <rPr>
        <sz val="12"/>
        <color indexed="8"/>
        <rFont val="標楷體"/>
        <family val="4"/>
        <charset val="136"/>
      </rPr>
      <t>年</t>
    </r>
  </si>
  <si>
    <r>
      <t xml:space="preserve">      98</t>
    </r>
    <r>
      <rPr>
        <sz val="12"/>
        <color indexed="8"/>
        <rFont val="標楷體"/>
        <family val="4"/>
        <charset val="136"/>
      </rPr>
      <t>年</t>
    </r>
  </si>
  <si>
    <r>
      <t xml:space="preserve">      99</t>
    </r>
    <r>
      <rPr>
        <sz val="12"/>
        <color indexed="8"/>
        <rFont val="標楷體"/>
        <family val="4"/>
        <charset val="136"/>
      </rPr>
      <t>年</t>
    </r>
  </si>
  <si>
    <r>
      <t xml:space="preserve">     100</t>
    </r>
    <r>
      <rPr>
        <sz val="12"/>
        <color indexed="8"/>
        <rFont val="標楷體"/>
        <family val="4"/>
        <charset val="136"/>
      </rPr>
      <t>年</t>
    </r>
  </si>
  <si>
    <r>
      <t xml:space="preserve">     101</t>
    </r>
    <r>
      <rPr>
        <sz val="12"/>
        <color indexed="8"/>
        <rFont val="標楷體"/>
        <family val="4"/>
        <charset val="136"/>
      </rPr>
      <t>年</t>
    </r>
  </si>
  <si>
    <r>
      <t xml:space="preserve">     102</t>
    </r>
    <r>
      <rPr>
        <sz val="12"/>
        <color indexed="8"/>
        <rFont val="標楷體"/>
        <family val="4"/>
        <charset val="136"/>
      </rPr>
      <t>年</t>
    </r>
  </si>
  <si>
    <r>
      <t xml:space="preserve">     103</t>
    </r>
    <r>
      <rPr>
        <sz val="12"/>
        <color indexed="8"/>
        <rFont val="標楷體"/>
        <family val="4"/>
        <charset val="136"/>
      </rPr>
      <t>年</t>
    </r>
  </si>
  <si>
    <r>
      <t xml:space="preserve">     104</t>
    </r>
    <r>
      <rPr>
        <sz val="12"/>
        <color indexed="8"/>
        <rFont val="標楷體"/>
        <family val="4"/>
        <charset val="136"/>
      </rPr>
      <t>年</t>
    </r>
  </si>
  <si>
    <r>
      <t xml:space="preserve">     105</t>
    </r>
    <r>
      <rPr>
        <sz val="12"/>
        <color indexed="8"/>
        <rFont val="標楷體"/>
        <family val="4"/>
        <charset val="136"/>
      </rPr>
      <t>年</t>
    </r>
  </si>
  <si>
    <r>
      <t xml:space="preserve">     106</t>
    </r>
    <r>
      <rPr>
        <sz val="12"/>
        <color indexed="8"/>
        <rFont val="標楷體"/>
        <family val="4"/>
        <charset val="136"/>
      </rPr>
      <t>年</t>
    </r>
  </si>
  <si>
    <r>
      <t xml:space="preserve">    107</t>
    </r>
    <r>
      <rPr>
        <sz val="12"/>
        <color indexed="8"/>
        <rFont val="標楷體"/>
        <family val="4"/>
        <charset val="136"/>
      </rPr>
      <t>年</t>
    </r>
  </si>
  <si>
    <t>資料來源：衛生福利部食品藥物管理署。</t>
  </si>
  <si>
    <t>Source: Centers for Disease Control, Ministry of Health and Welfare.</t>
  </si>
  <si>
    <t>公開報</t>
  </si>
  <si>
    <t>編製機關</t>
  </si>
  <si>
    <t>衛生福利部食品藥物管理署</t>
  </si>
  <si>
    <t>年　報</t>
  </si>
  <si>
    <r>
      <t>次年</t>
    </r>
    <r>
      <rPr>
        <sz val="14"/>
        <color indexed="8"/>
        <rFont val="Times New Roman"/>
        <family val="1"/>
      </rPr>
      <t>4</t>
    </r>
    <r>
      <rPr>
        <sz val="14"/>
        <color indexed="8"/>
        <rFont val="標楷體"/>
        <family val="4"/>
        <charset val="136"/>
      </rPr>
      <t>月底前填報</t>
    </r>
  </si>
  <si>
    <t>表　　號</t>
  </si>
  <si>
    <t>10521-05-01</t>
  </si>
  <si>
    <t>食品中毒案件病因物質分類統計</t>
  </si>
  <si>
    <r>
      <rPr>
        <sz val="12"/>
        <color indexed="8"/>
        <rFont val="標楷體"/>
        <family val="4"/>
        <charset val="136"/>
      </rPr>
      <t>　　　　　　　　　　　　　　　　　　中華民國</t>
    </r>
    <r>
      <rPr>
        <sz val="12"/>
        <color indexed="8"/>
        <rFont val="Times New Roman"/>
        <family val="1"/>
      </rPr>
      <t>110</t>
    </r>
    <r>
      <rPr>
        <sz val="12"/>
        <color indexed="8"/>
        <rFont val="標楷體"/>
        <family val="4"/>
        <charset val="136"/>
      </rPr>
      <t>年</t>
    </r>
  </si>
  <si>
    <r>
      <rPr>
        <sz val="12"/>
        <color indexed="8"/>
        <rFont val="標楷體"/>
        <family val="4"/>
        <charset val="136"/>
      </rPr>
      <t>單位：人，件</t>
    </r>
  </si>
  <si>
    <r>
      <rPr>
        <sz val="14"/>
        <color indexed="8"/>
        <rFont val="標楷體"/>
        <family val="4"/>
        <charset val="136"/>
      </rPr>
      <t>病</t>
    </r>
    <r>
      <rPr>
        <sz val="14"/>
        <color indexed="8"/>
        <rFont val="Times New Roman"/>
        <family val="1"/>
      </rPr>
      <t xml:space="preserve">  </t>
    </r>
    <r>
      <rPr>
        <sz val="14"/>
        <color indexed="8"/>
        <rFont val="標楷體"/>
        <family val="4"/>
        <charset val="136"/>
      </rPr>
      <t>因</t>
    </r>
    <r>
      <rPr>
        <sz val="14"/>
        <color indexed="8"/>
        <rFont val="Times New Roman"/>
        <family val="1"/>
      </rPr>
      <t xml:space="preserve">  </t>
    </r>
    <r>
      <rPr>
        <sz val="14"/>
        <color indexed="8"/>
        <rFont val="標楷體"/>
        <family val="4"/>
        <charset val="136"/>
      </rPr>
      <t>物</t>
    </r>
    <r>
      <rPr>
        <sz val="14"/>
        <color indexed="8"/>
        <rFont val="Times New Roman"/>
        <family val="1"/>
      </rPr>
      <t xml:space="preserve">  </t>
    </r>
    <r>
      <rPr>
        <sz val="14"/>
        <color indexed="8"/>
        <rFont val="標楷體"/>
        <family val="4"/>
        <charset val="136"/>
      </rPr>
      <t>質</t>
    </r>
  </si>
  <si>
    <r>
      <rPr>
        <sz val="14"/>
        <color indexed="8"/>
        <rFont val="標楷體"/>
        <family val="4"/>
        <charset val="136"/>
      </rPr>
      <t>件　　數</t>
    </r>
  </si>
  <si>
    <r>
      <rPr>
        <sz val="14"/>
        <color indexed="8"/>
        <rFont val="標楷體"/>
        <family val="4"/>
        <charset val="136"/>
      </rPr>
      <t>患　　者　　數</t>
    </r>
  </si>
  <si>
    <r>
      <rPr>
        <sz val="14"/>
        <color indexed="8"/>
        <rFont val="標楷體"/>
        <family val="4"/>
        <charset val="136"/>
      </rPr>
      <t>死　　者　　數</t>
    </r>
  </si>
  <si>
    <r>
      <rPr>
        <sz val="14"/>
        <color indexed="8"/>
        <rFont val="標楷體"/>
        <family val="4"/>
        <charset val="136"/>
      </rPr>
      <t>細菌</t>
    </r>
  </si>
  <si>
    <r>
      <rPr>
        <sz val="14"/>
        <color indexed="8"/>
        <rFont val="標楷體"/>
        <family val="4"/>
        <charset val="136"/>
      </rPr>
      <t>腸炎弧菌</t>
    </r>
  </si>
  <si>
    <r>
      <rPr>
        <sz val="14"/>
        <color indexed="8"/>
        <rFont val="標楷體"/>
        <family val="4"/>
        <charset val="136"/>
      </rPr>
      <t>沙門氏桿菌</t>
    </r>
  </si>
  <si>
    <r>
      <rPr>
        <sz val="14"/>
        <color indexed="8"/>
        <rFont val="標楷體"/>
        <family val="4"/>
        <charset val="136"/>
      </rPr>
      <t>病原性大腸桿菌</t>
    </r>
  </si>
  <si>
    <r>
      <rPr>
        <sz val="14"/>
        <color indexed="8"/>
        <rFont val="標楷體"/>
        <family val="4"/>
        <charset val="136"/>
      </rPr>
      <t>金黃色葡萄球菌</t>
    </r>
  </si>
  <si>
    <r>
      <rPr>
        <sz val="14"/>
        <color indexed="8"/>
        <rFont val="標楷體"/>
        <family val="4"/>
        <charset val="136"/>
      </rPr>
      <t>仙人掌桿菌</t>
    </r>
  </si>
  <si>
    <r>
      <rPr>
        <sz val="14"/>
        <color indexed="8"/>
        <rFont val="標楷體"/>
        <family val="4"/>
        <charset val="136"/>
      </rPr>
      <t>肉毒桿菌</t>
    </r>
  </si>
  <si>
    <t>其他</t>
  </si>
  <si>
    <r>
      <rPr>
        <sz val="14"/>
        <color indexed="8"/>
        <rFont val="標楷體"/>
        <family val="4"/>
        <charset val="136"/>
      </rPr>
      <t>化學物質</t>
    </r>
  </si>
  <si>
    <r>
      <rPr>
        <sz val="14"/>
        <color indexed="8"/>
        <rFont val="標楷體"/>
        <family val="4"/>
        <charset val="136"/>
      </rPr>
      <t>小計</t>
    </r>
  </si>
  <si>
    <r>
      <rPr>
        <sz val="14"/>
        <color indexed="8"/>
        <rFont val="標楷體"/>
        <family val="4"/>
        <charset val="136"/>
      </rPr>
      <t>農藥</t>
    </r>
  </si>
  <si>
    <r>
      <rPr>
        <sz val="14"/>
        <color indexed="8"/>
        <rFont val="標楷體"/>
        <family val="4"/>
        <charset val="136"/>
      </rPr>
      <t>重金屬</t>
    </r>
  </si>
  <si>
    <r>
      <rPr>
        <sz val="14"/>
        <color indexed="8"/>
        <rFont val="標楷體"/>
        <family val="4"/>
        <charset val="136"/>
      </rPr>
      <t>天然毒</t>
    </r>
  </si>
  <si>
    <r>
      <rPr>
        <sz val="14"/>
        <color indexed="8"/>
        <rFont val="標楷體"/>
        <family val="4"/>
        <charset val="136"/>
      </rPr>
      <t>植物性</t>
    </r>
  </si>
  <si>
    <r>
      <rPr>
        <sz val="14"/>
        <color indexed="8"/>
        <rFont val="標楷體"/>
        <family val="4"/>
        <charset val="136"/>
      </rPr>
      <t>麻痺性貝毒</t>
    </r>
  </si>
  <si>
    <r>
      <rPr>
        <sz val="14"/>
        <color indexed="8"/>
        <rFont val="標楷體"/>
        <family val="4"/>
        <charset val="136"/>
      </rPr>
      <t>河豚毒</t>
    </r>
  </si>
  <si>
    <r>
      <rPr>
        <sz val="14"/>
        <color indexed="8"/>
        <rFont val="標楷體"/>
        <family val="4"/>
        <charset val="136"/>
      </rPr>
      <t>組織胺</t>
    </r>
  </si>
  <si>
    <r>
      <rPr>
        <sz val="14"/>
        <color indexed="8"/>
        <rFont val="標楷體"/>
        <family val="4"/>
        <charset val="136"/>
      </rPr>
      <t>黴菌毒素</t>
    </r>
  </si>
  <si>
    <t>其他病因物質</t>
  </si>
  <si>
    <r>
      <rPr>
        <sz val="14"/>
        <color indexed="8"/>
        <rFont val="標楷體"/>
        <family val="4"/>
        <charset val="136"/>
      </rPr>
      <t>病因物質不明合計</t>
    </r>
  </si>
  <si>
    <r>
      <rPr>
        <sz val="14"/>
        <color indexed="8"/>
        <rFont val="標楷體"/>
        <family val="4"/>
        <charset val="136"/>
      </rPr>
      <t>未檢出</t>
    </r>
  </si>
  <si>
    <r>
      <rPr>
        <sz val="14"/>
        <color indexed="8"/>
        <rFont val="標楷體"/>
        <family val="4"/>
        <charset val="136"/>
      </rPr>
      <t>無檢體</t>
    </r>
  </si>
  <si>
    <r>
      <t xml:space="preserve">  </t>
    </r>
    <r>
      <rPr>
        <sz val="12"/>
        <color indexed="8"/>
        <rFont val="標楷體"/>
        <family val="4"/>
        <charset val="136"/>
      </rPr>
      <t>填表</t>
    </r>
  </si>
  <si>
    <r>
      <rPr>
        <sz val="12"/>
        <color indexed="8"/>
        <rFont val="標楷體"/>
        <family val="4"/>
        <charset val="136"/>
      </rPr>
      <t>審核</t>
    </r>
  </si>
  <si>
    <r>
      <rPr>
        <sz val="12"/>
        <color indexed="8"/>
        <rFont val="標楷體"/>
        <family val="4"/>
        <charset val="136"/>
      </rPr>
      <t>主辦業務人員</t>
    </r>
  </si>
  <si>
    <r>
      <t xml:space="preserve">        </t>
    </r>
    <r>
      <rPr>
        <sz val="12"/>
        <color indexed="8"/>
        <rFont val="標楷體"/>
        <family val="4"/>
        <charset val="136"/>
      </rPr>
      <t>機關長官</t>
    </r>
  </si>
  <si>
    <r>
      <rPr>
        <sz val="12"/>
        <color indexed="8"/>
        <rFont val="標楷體"/>
        <family val="4"/>
        <charset val="136"/>
      </rPr>
      <t>主辦統計人員</t>
    </r>
  </si>
  <si>
    <t>填表說明：本表一式三份，一份送本部統計處，一份送本署主計室，一份自存。</t>
  </si>
  <si>
    <t>附 註:</t>
  </si>
  <si>
    <r>
      <rPr>
        <sz val="12"/>
        <color indexed="8"/>
        <rFont val="標楷體"/>
        <family val="4"/>
        <charset val="136"/>
      </rPr>
      <t>　　　　　　　　　　　　　　　　　　中華民國</t>
    </r>
    <r>
      <rPr>
        <sz val="12"/>
        <color indexed="8"/>
        <rFont val="Times New Roman"/>
        <family val="1"/>
      </rPr>
      <t>109</t>
    </r>
    <r>
      <rPr>
        <sz val="12"/>
        <color indexed="8"/>
        <rFont val="標楷體"/>
        <family val="4"/>
        <charset val="136"/>
      </rPr>
      <t>年</t>
    </r>
  </si>
  <si>
    <r>
      <rPr>
        <sz val="12"/>
        <color indexed="8"/>
        <rFont val="標楷體"/>
        <family val="4"/>
        <charset val="136"/>
      </rPr>
      <t>　　　　　　　　　　　　　　　　　　中華民國</t>
    </r>
    <r>
      <rPr>
        <sz val="12"/>
        <color indexed="8"/>
        <rFont val="Times New Roman"/>
        <family val="1"/>
      </rPr>
      <t>108</t>
    </r>
    <r>
      <rPr>
        <sz val="12"/>
        <color indexed="8"/>
        <rFont val="標楷體"/>
        <family val="4"/>
        <charset val="136"/>
      </rPr>
      <t>年</t>
    </r>
  </si>
  <si>
    <r>
      <t>2</t>
    </r>
    <r>
      <rPr>
        <sz val="12"/>
        <color indexed="8"/>
        <rFont val="標楷體"/>
        <family val="4"/>
        <charset val="136"/>
      </rPr>
      <t>細菌之小計，為扣除重複計數之值，</t>
    </r>
    <r>
      <rPr>
        <sz val="12"/>
        <color indexed="8"/>
        <rFont val="Times New Roman"/>
        <family val="1"/>
      </rPr>
      <t>2</t>
    </r>
    <r>
      <rPr>
        <sz val="12"/>
        <color indexed="8"/>
        <rFont val="標楷體"/>
        <family val="4"/>
        <charset val="136"/>
      </rPr>
      <t>種細菌共同引起之案件共有</t>
    </r>
    <r>
      <rPr>
        <sz val="12"/>
        <color indexed="8"/>
        <rFont val="Times New Roman"/>
        <family val="1"/>
      </rPr>
      <t>11</t>
    </r>
    <r>
      <rPr>
        <sz val="12"/>
        <color indexed="8"/>
        <rFont val="標楷體"/>
        <family val="4"/>
        <charset val="136"/>
      </rPr>
      <t>案，患者數共</t>
    </r>
    <r>
      <rPr>
        <sz val="12"/>
        <color indexed="8"/>
        <rFont val="Times New Roman"/>
        <family val="1"/>
      </rPr>
      <t>742</t>
    </r>
    <r>
      <rPr>
        <sz val="12"/>
        <color indexed="8"/>
        <rFont val="標楷體"/>
        <family val="4"/>
        <charset val="136"/>
      </rPr>
      <t>人；</t>
    </r>
    <r>
      <rPr>
        <sz val="12"/>
        <color indexed="8"/>
        <rFont val="Times New Roman"/>
        <family val="1"/>
      </rPr>
      <t>3</t>
    </r>
    <r>
      <rPr>
        <sz val="12"/>
        <color indexed="8"/>
        <rFont val="標楷體"/>
        <family val="4"/>
        <charset val="136"/>
      </rPr>
      <t>種細菌共同引起之案件有</t>
    </r>
    <r>
      <rPr>
        <sz val="12"/>
        <color indexed="8"/>
        <rFont val="Times New Roman"/>
        <family val="1"/>
      </rPr>
      <t>1</t>
    </r>
    <r>
      <rPr>
        <sz val="12"/>
        <color indexed="8"/>
        <rFont val="標楷體"/>
        <family val="4"/>
        <charset val="136"/>
      </rPr>
      <t>案，患者數</t>
    </r>
    <r>
      <rPr>
        <sz val="12"/>
        <color indexed="8"/>
        <rFont val="Times New Roman"/>
        <family val="1"/>
      </rPr>
      <t>181</t>
    </r>
    <r>
      <rPr>
        <sz val="12"/>
        <color indexed="8"/>
        <rFont val="標楷體"/>
        <family val="4"/>
        <charset val="136"/>
      </rPr>
      <t>人</t>
    </r>
  </si>
  <si>
    <r>
      <t>3</t>
    </r>
    <r>
      <rPr>
        <sz val="12"/>
        <color indexed="8"/>
        <rFont val="標楷體"/>
        <family val="4"/>
        <charset val="136"/>
      </rPr>
      <t>細菌之其他，包含產氣莢膜桿菌</t>
    </r>
    <r>
      <rPr>
        <sz val="12"/>
        <color indexed="8"/>
        <rFont val="Times New Roman"/>
        <family val="1"/>
      </rPr>
      <t>2</t>
    </r>
    <r>
      <rPr>
        <sz val="12"/>
        <color indexed="8"/>
        <rFont val="標楷體"/>
        <family val="4"/>
        <charset val="136"/>
      </rPr>
      <t>案，患者數共</t>
    </r>
    <r>
      <rPr>
        <sz val="12"/>
        <color indexed="8"/>
        <rFont val="Times New Roman"/>
        <family val="1"/>
      </rPr>
      <t>413</t>
    </r>
    <r>
      <rPr>
        <sz val="12"/>
        <color indexed="8"/>
        <rFont val="標楷體"/>
        <family val="4"/>
        <charset val="136"/>
      </rPr>
      <t>人</t>
    </r>
  </si>
  <si>
    <r>
      <t>4</t>
    </r>
    <r>
      <rPr>
        <sz val="12"/>
        <color indexed="8"/>
        <rFont val="標楷體"/>
        <family val="4"/>
        <charset val="136"/>
      </rPr>
      <t>其他病因物質之小計，為扣除重複計數之值，</t>
    </r>
    <r>
      <rPr>
        <sz val="12"/>
        <color indexed="8"/>
        <rFont val="Times New Roman"/>
        <family val="1"/>
      </rPr>
      <t>2</t>
    </r>
    <r>
      <rPr>
        <sz val="12"/>
        <color indexed="8"/>
        <rFont val="標楷體"/>
        <family val="4"/>
        <charset val="136"/>
      </rPr>
      <t>種病毒共同引起之案件有</t>
    </r>
    <r>
      <rPr>
        <sz val="12"/>
        <color indexed="8"/>
        <rFont val="Times New Roman"/>
        <family val="1"/>
      </rPr>
      <t>1</t>
    </r>
    <r>
      <rPr>
        <sz val="12"/>
        <color indexed="8"/>
        <rFont val="標楷體"/>
        <family val="4"/>
        <charset val="136"/>
      </rPr>
      <t>案，患者數</t>
    </r>
    <r>
      <rPr>
        <sz val="12"/>
        <color indexed="8"/>
        <rFont val="Times New Roman"/>
        <family val="1"/>
      </rPr>
      <t>11</t>
    </r>
    <r>
      <rPr>
        <sz val="12"/>
        <color indexed="8"/>
        <rFont val="標楷體"/>
        <family val="4"/>
        <charset val="136"/>
      </rPr>
      <t>人</t>
    </r>
  </si>
  <si>
    <r>
      <rPr>
        <b/>
        <sz val="16"/>
        <color indexed="8"/>
        <rFont val="標楷體"/>
        <family val="4"/>
        <charset val="136"/>
      </rPr>
      <t>食品中毒案件病因物質分類統計</t>
    </r>
  </si>
  <si>
    <r>
      <rPr>
        <sz val="12"/>
        <color indexed="8"/>
        <rFont val="標楷體"/>
        <family val="4"/>
        <charset val="136"/>
      </rPr>
      <t>　　　　　　　　　　　　　　　　　　中華民國</t>
    </r>
    <r>
      <rPr>
        <sz val="12"/>
        <color indexed="8"/>
        <rFont val="Times New Roman"/>
        <family val="1"/>
      </rPr>
      <t>107</t>
    </r>
    <r>
      <rPr>
        <sz val="12"/>
        <color indexed="8"/>
        <rFont val="標楷體"/>
        <family val="4"/>
        <charset val="136"/>
      </rPr>
      <t>年</t>
    </r>
  </si>
  <si>
    <r>
      <t>2</t>
    </r>
    <r>
      <rPr>
        <sz val="12"/>
        <color indexed="8"/>
        <rFont val="標楷體"/>
        <family val="4"/>
        <charset val="136"/>
      </rPr>
      <t>細菌性中毒件數及患者數小計，為扣除重複計數之值，</t>
    </r>
    <r>
      <rPr>
        <sz val="12"/>
        <color indexed="8"/>
        <rFont val="Times New Roman"/>
        <family val="1"/>
      </rPr>
      <t>2</t>
    </r>
    <r>
      <rPr>
        <sz val="12"/>
        <color indexed="8"/>
        <rFont val="標楷體"/>
        <family val="4"/>
        <charset val="136"/>
      </rPr>
      <t>種細菌共同引起之案件共有</t>
    </r>
    <r>
      <rPr>
        <sz val="12"/>
        <color indexed="8"/>
        <rFont val="Times New Roman"/>
        <family val="1"/>
      </rPr>
      <t>8</t>
    </r>
    <r>
      <rPr>
        <sz val="12"/>
        <color indexed="8"/>
        <rFont val="標楷體"/>
        <family val="4"/>
        <charset val="136"/>
      </rPr>
      <t>件，患者數共</t>
    </r>
    <r>
      <rPr>
        <sz val="12"/>
        <color indexed="8"/>
        <rFont val="Times New Roman"/>
        <family val="1"/>
      </rPr>
      <t>341</t>
    </r>
    <r>
      <rPr>
        <sz val="12"/>
        <color indexed="8"/>
        <rFont val="標楷體"/>
        <family val="4"/>
        <charset val="136"/>
      </rPr>
      <t>人；</t>
    </r>
    <r>
      <rPr>
        <sz val="12"/>
        <color indexed="8"/>
        <rFont val="Times New Roman"/>
        <family val="1"/>
      </rPr>
      <t>3</t>
    </r>
    <r>
      <rPr>
        <sz val="12"/>
        <color indexed="8"/>
        <rFont val="標楷體"/>
        <family val="4"/>
        <charset val="136"/>
      </rPr>
      <t>種細菌共同引起之案件共有</t>
    </r>
    <r>
      <rPr>
        <sz val="12"/>
        <color indexed="8"/>
        <rFont val="Times New Roman"/>
        <family val="1"/>
      </rPr>
      <t>3</t>
    </r>
    <r>
      <rPr>
        <sz val="12"/>
        <color indexed="8"/>
        <rFont val="標楷體"/>
        <family val="4"/>
        <charset val="136"/>
      </rPr>
      <t>件，患者數共</t>
    </r>
    <r>
      <rPr>
        <sz val="12"/>
        <color indexed="8"/>
        <rFont val="Times New Roman"/>
        <family val="1"/>
      </rPr>
      <t>458</t>
    </r>
    <r>
      <rPr>
        <sz val="12"/>
        <color indexed="8"/>
        <rFont val="標楷體"/>
        <family val="4"/>
        <charset val="136"/>
      </rPr>
      <t>人</t>
    </r>
  </si>
  <si>
    <r>
      <t>3</t>
    </r>
    <r>
      <rPr>
        <sz val="12"/>
        <color indexed="8"/>
        <rFont val="標楷體"/>
        <family val="4"/>
        <charset val="136"/>
      </rPr>
      <t>細菌性其他包含非產毒性霍亂弧菌</t>
    </r>
    <r>
      <rPr>
        <sz val="12"/>
        <color indexed="8"/>
        <rFont val="Times New Roman"/>
        <family val="1"/>
      </rPr>
      <t>1</t>
    </r>
    <r>
      <rPr>
        <sz val="12"/>
        <color indexed="8"/>
        <rFont val="標楷體"/>
        <family val="4"/>
        <charset val="136"/>
      </rPr>
      <t>件，患者數共</t>
    </r>
    <r>
      <rPr>
        <sz val="12"/>
        <color indexed="8"/>
        <rFont val="Times New Roman"/>
        <family val="1"/>
      </rPr>
      <t>32</t>
    </r>
    <r>
      <rPr>
        <sz val="12"/>
        <color indexed="8"/>
        <rFont val="標楷體"/>
        <family val="4"/>
        <charset val="136"/>
      </rPr>
      <t>人；產氣莢膜桿菌</t>
    </r>
    <r>
      <rPr>
        <sz val="12"/>
        <color indexed="8"/>
        <rFont val="Times New Roman"/>
        <family val="1"/>
      </rPr>
      <t>1</t>
    </r>
    <r>
      <rPr>
        <sz val="12"/>
        <color indexed="8"/>
        <rFont val="標楷體"/>
        <family val="4"/>
        <charset val="136"/>
      </rPr>
      <t>件，患者數共</t>
    </r>
    <r>
      <rPr>
        <sz val="12"/>
        <color indexed="8"/>
        <rFont val="Times New Roman"/>
        <family val="1"/>
      </rPr>
      <t>89</t>
    </r>
    <r>
      <rPr>
        <sz val="12"/>
        <color indexed="8"/>
        <rFont val="標楷體"/>
        <family val="4"/>
        <charset val="136"/>
      </rPr>
      <t>人</t>
    </r>
  </si>
  <si>
    <r>
      <t>4</t>
    </r>
    <r>
      <rPr>
        <sz val="12"/>
        <color indexed="8"/>
        <rFont val="標楷體"/>
        <family val="4"/>
        <charset val="136"/>
      </rPr>
      <t>其他病因物質中毒件數及患者數小計，為扣除重複計數之值，</t>
    </r>
    <r>
      <rPr>
        <sz val="12"/>
        <color indexed="8"/>
        <rFont val="Times New Roman"/>
        <family val="1"/>
      </rPr>
      <t>2</t>
    </r>
    <r>
      <rPr>
        <sz val="12"/>
        <color indexed="8"/>
        <rFont val="標楷體"/>
        <family val="4"/>
        <charset val="136"/>
      </rPr>
      <t>種病毒共同引起之案件共有</t>
    </r>
    <r>
      <rPr>
        <sz val="12"/>
        <color indexed="8"/>
        <rFont val="Times New Roman"/>
        <family val="1"/>
      </rPr>
      <t>5</t>
    </r>
    <r>
      <rPr>
        <sz val="12"/>
        <color indexed="8"/>
        <rFont val="標楷體"/>
        <family val="4"/>
        <charset val="136"/>
      </rPr>
      <t>件，患者數共</t>
    </r>
    <r>
      <rPr>
        <sz val="12"/>
        <color indexed="8"/>
        <rFont val="Times New Roman"/>
        <family val="1"/>
      </rPr>
      <t>167</t>
    </r>
    <r>
      <rPr>
        <sz val="12"/>
        <color indexed="8"/>
        <rFont val="標楷體"/>
        <family val="4"/>
        <charset val="136"/>
      </rPr>
      <t>人</t>
    </r>
  </si>
  <si>
    <r>
      <rPr>
        <sz val="12"/>
        <color indexed="8"/>
        <rFont val="標楷體"/>
        <family val="4"/>
        <charset val="136"/>
      </rPr>
      <t>　　　　　　　　　　　　　　　　　　中華民國</t>
    </r>
    <r>
      <rPr>
        <sz val="12"/>
        <color indexed="8"/>
        <rFont val="Times New Roman"/>
        <family val="1"/>
      </rPr>
      <t>106</t>
    </r>
    <r>
      <rPr>
        <sz val="12"/>
        <color indexed="8"/>
        <rFont val="標楷體"/>
        <family val="4"/>
        <charset val="136"/>
      </rPr>
      <t>年</t>
    </r>
  </si>
  <si>
    <r>
      <t>填表說明：本表一式三份，一份送本部統計處，</t>
    </r>
    <r>
      <rPr>
        <sz val="12"/>
        <color indexed="10"/>
        <rFont val="標楷體"/>
        <family val="4"/>
        <charset val="136"/>
      </rPr>
      <t>一份送本署主計室</t>
    </r>
    <r>
      <rPr>
        <sz val="12"/>
        <color indexed="8"/>
        <rFont val="標楷體"/>
        <family val="4"/>
        <charset val="136"/>
      </rPr>
      <t>，一份自存。</t>
    </r>
  </si>
  <si>
    <r>
      <rPr>
        <sz val="12"/>
        <color indexed="8"/>
        <rFont val="標楷體"/>
        <family val="4"/>
        <charset val="136"/>
      </rPr>
      <t>　　　　　　　　　　　　　　　　　　中華民國</t>
    </r>
    <r>
      <rPr>
        <sz val="12"/>
        <color indexed="8"/>
        <rFont val="Times New Roman"/>
        <family val="1"/>
      </rPr>
      <t>105</t>
    </r>
    <r>
      <rPr>
        <sz val="12"/>
        <color indexed="8"/>
        <rFont val="標楷體"/>
        <family val="4"/>
        <charset val="136"/>
      </rPr>
      <t>年</t>
    </r>
  </si>
  <si>
    <t>填表說明：本表一式二份，一份送本部統計處，一份自存。</t>
  </si>
  <si>
    <t>附 註:＊細菌中毒案件數及患者數之小計，為扣除重複計數之值。</t>
  </si>
  <si>
    <r>
      <rPr>
        <sz val="12"/>
        <color indexed="8"/>
        <rFont val="標楷體"/>
        <family val="4"/>
        <charset val="136"/>
      </rPr>
      <t>　　　　　　　　　　　　　　　　　　中華民國</t>
    </r>
    <r>
      <rPr>
        <sz val="12"/>
        <color indexed="8"/>
        <rFont val="Times New Roman"/>
        <family val="1"/>
      </rPr>
      <t>104</t>
    </r>
    <r>
      <rPr>
        <sz val="12"/>
        <color indexed="8"/>
        <rFont val="標楷體"/>
        <family val="4"/>
        <charset val="136"/>
      </rPr>
      <t>年</t>
    </r>
  </si>
  <si>
    <r>
      <rPr>
        <sz val="12"/>
        <color indexed="8"/>
        <rFont val="標楷體"/>
        <family val="4"/>
        <charset val="136"/>
      </rPr>
      <t>附</t>
    </r>
    <r>
      <rPr>
        <sz val="12"/>
        <color indexed="8"/>
        <rFont val="Times New Roman"/>
        <family val="1"/>
      </rPr>
      <t xml:space="preserve"> </t>
    </r>
    <r>
      <rPr>
        <sz val="12"/>
        <color indexed="8"/>
        <rFont val="標楷體"/>
        <family val="4"/>
        <charset val="136"/>
      </rPr>
      <t>註：</t>
    </r>
  </si>
  <si>
    <r>
      <rPr>
        <sz val="12"/>
        <color indexed="8"/>
        <rFont val="標楷體"/>
        <family val="4"/>
        <charset val="136"/>
      </rPr>
      <t>　　　　　　　　　　　　　　　　　　中華民國</t>
    </r>
    <r>
      <rPr>
        <sz val="12"/>
        <color indexed="8"/>
        <rFont val="Times New Roman"/>
        <family val="1"/>
      </rPr>
      <t>103</t>
    </r>
    <r>
      <rPr>
        <sz val="12"/>
        <color indexed="8"/>
        <rFont val="標楷體"/>
        <family val="4"/>
        <charset val="136"/>
      </rPr>
      <t>年</t>
    </r>
  </si>
  <si>
    <r>
      <rPr>
        <sz val="14"/>
        <color indexed="8"/>
        <rFont val="標楷體"/>
        <family val="4"/>
        <charset val="136"/>
      </rPr>
      <t>病因物質判明合計</t>
    </r>
  </si>
  <si>
    <r>
      <rPr>
        <sz val="14"/>
        <color indexed="8"/>
        <rFont val="標楷體"/>
        <family val="4"/>
        <charset val="136"/>
      </rPr>
      <t>小計</t>
    </r>
    <r>
      <rPr>
        <vertAlign val="superscript"/>
        <sz val="14"/>
        <color indexed="8"/>
        <rFont val="Times New Roman"/>
        <family val="1"/>
      </rPr>
      <t>1</t>
    </r>
  </si>
  <si>
    <r>
      <rPr>
        <sz val="14"/>
        <color indexed="8"/>
        <rFont val="標楷體"/>
        <family val="4"/>
        <charset val="136"/>
      </rPr>
      <t>其他</t>
    </r>
    <r>
      <rPr>
        <vertAlign val="superscript"/>
        <sz val="14"/>
        <color indexed="8"/>
        <rFont val="Times New Roman"/>
        <family val="1"/>
      </rPr>
      <t>2</t>
    </r>
  </si>
  <si>
    <r>
      <rPr>
        <sz val="14"/>
        <color indexed="8"/>
        <rFont val="標楷體"/>
        <family val="4"/>
        <charset val="136"/>
      </rPr>
      <t>其他</t>
    </r>
    <r>
      <rPr>
        <vertAlign val="superscript"/>
        <sz val="14"/>
        <color indexed="8"/>
        <rFont val="Times New Roman"/>
        <family val="1"/>
      </rPr>
      <t>3</t>
    </r>
  </si>
  <si>
    <r>
      <rPr>
        <sz val="14"/>
        <color indexed="8"/>
        <rFont val="標楷體"/>
        <family val="4"/>
        <charset val="136"/>
      </rPr>
      <t>其他</t>
    </r>
    <r>
      <rPr>
        <vertAlign val="superscript"/>
        <sz val="14"/>
        <color indexed="8"/>
        <rFont val="Times New Roman"/>
        <family val="1"/>
      </rPr>
      <t>4</t>
    </r>
  </si>
  <si>
    <r>
      <rPr>
        <sz val="14"/>
        <color indexed="8"/>
        <rFont val="標楷體"/>
        <family val="4"/>
        <charset val="136"/>
      </rPr>
      <t>其他病因物質</t>
    </r>
    <r>
      <rPr>
        <vertAlign val="superscript"/>
        <sz val="14"/>
        <color indexed="8"/>
        <rFont val="Times New Roman"/>
        <family val="1"/>
      </rPr>
      <t>5</t>
    </r>
  </si>
  <si>
    <r>
      <rPr>
        <sz val="12"/>
        <color indexed="8"/>
        <rFont val="標楷體"/>
        <family val="4"/>
        <charset val="136"/>
      </rPr>
      <t>病因物質重複計數之案件如下：</t>
    </r>
  </si>
  <si>
    <r>
      <t>2</t>
    </r>
    <r>
      <rPr>
        <sz val="12"/>
        <color indexed="8"/>
        <rFont val="標楷體"/>
        <family val="4"/>
        <charset val="136"/>
      </rPr>
      <t>種細菌共同引起之案件共有</t>
    </r>
    <r>
      <rPr>
        <sz val="12"/>
        <color indexed="8"/>
        <rFont val="Times New Roman"/>
        <family val="1"/>
      </rPr>
      <t>9</t>
    </r>
    <r>
      <rPr>
        <sz val="12"/>
        <color indexed="8"/>
        <rFont val="標楷體"/>
        <family val="4"/>
        <charset val="136"/>
      </rPr>
      <t>件，患者數共</t>
    </r>
    <r>
      <rPr>
        <sz val="12"/>
        <color indexed="8"/>
        <rFont val="Times New Roman"/>
        <family val="1"/>
      </rPr>
      <t>111</t>
    </r>
    <r>
      <rPr>
        <sz val="12"/>
        <color indexed="8"/>
        <rFont val="標楷體"/>
        <family val="4"/>
        <charset val="136"/>
      </rPr>
      <t>人。</t>
    </r>
  </si>
  <si>
    <r>
      <rPr>
        <sz val="12"/>
        <color indexed="8"/>
        <rFont val="標楷體"/>
        <family val="4"/>
        <charset val="136"/>
      </rPr>
      <t>細菌與病毒共同引起之案件有</t>
    </r>
    <r>
      <rPr>
        <sz val="12"/>
        <color indexed="8"/>
        <rFont val="Times New Roman"/>
        <family val="1"/>
      </rPr>
      <t>2</t>
    </r>
    <r>
      <rPr>
        <sz val="12"/>
        <color indexed="8"/>
        <rFont val="標楷體"/>
        <family val="4"/>
        <charset val="136"/>
      </rPr>
      <t>件，患者數</t>
    </r>
    <r>
      <rPr>
        <sz val="12"/>
        <color indexed="8"/>
        <rFont val="Times New Roman"/>
        <family val="1"/>
      </rPr>
      <t>13</t>
    </r>
    <r>
      <rPr>
        <sz val="12"/>
        <color indexed="8"/>
        <rFont val="標楷體"/>
        <family val="4"/>
        <charset val="136"/>
      </rPr>
      <t>人。</t>
    </r>
  </si>
  <si>
    <t>1622-06-01</t>
  </si>
  <si>
    <t>單位：人，件</t>
  </si>
  <si>
    <r>
      <t>病</t>
    </r>
    <r>
      <rPr>
        <sz val="14"/>
        <color indexed="8"/>
        <rFont val="Times New Roman"/>
        <family val="1"/>
      </rPr>
      <t xml:space="preserve">  </t>
    </r>
    <r>
      <rPr>
        <sz val="14"/>
        <color indexed="8"/>
        <rFont val="標楷體"/>
        <family val="4"/>
        <charset val="136"/>
      </rPr>
      <t>因</t>
    </r>
    <r>
      <rPr>
        <sz val="14"/>
        <color indexed="8"/>
        <rFont val="Times New Roman"/>
        <family val="1"/>
      </rPr>
      <t xml:space="preserve">  </t>
    </r>
    <r>
      <rPr>
        <sz val="14"/>
        <color indexed="8"/>
        <rFont val="標楷體"/>
        <family val="4"/>
        <charset val="136"/>
      </rPr>
      <t>物</t>
    </r>
    <r>
      <rPr>
        <sz val="14"/>
        <color indexed="8"/>
        <rFont val="Times New Roman"/>
        <family val="1"/>
      </rPr>
      <t xml:space="preserve">  </t>
    </r>
    <r>
      <rPr>
        <sz val="14"/>
        <color indexed="8"/>
        <rFont val="標楷體"/>
        <family val="4"/>
        <charset val="136"/>
      </rPr>
      <t>質</t>
    </r>
  </si>
  <si>
    <t>件　　數</t>
  </si>
  <si>
    <t>患　　者　　數</t>
  </si>
  <si>
    <t>死　　者　　數</t>
  </si>
  <si>
    <t>病因物質判明合計</t>
  </si>
  <si>
    <t>細菌</t>
  </si>
  <si>
    <t>腸炎弧菌</t>
  </si>
  <si>
    <t>沙門氏桿菌</t>
  </si>
  <si>
    <t>病原性大腸桿菌</t>
  </si>
  <si>
    <t>金黃色葡萄球菌</t>
  </si>
  <si>
    <t>仙人掌桿菌</t>
  </si>
  <si>
    <t>肉毒桿菌</t>
  </si>
  <si>
    <t>化學物質</t>
  </si>
  <si>
    <t>小計</t>
  </si>
  <si>
    <t>農藥</t>
  </si>
  <si>
    <t>重金屬</t>
  </si>
  <si>
    <t>天然毒</t>
  </si>
  <si>
    <t>植物性</t>
  </si>
  <si>
    <t>麻痺性貝毒</t>
  </si>
  <si>
    <t>河豚毒</t>
  </si>
  <si>
    <t>組織胺</t>
  </si>
  <si>
    <t>黴菌毒素</t>
  </si>
  <si>
    <t>病因物質不明合計</t>
  </si>
  <si>
    <t>未檢出</t>
  </si>
  <si>
    <t>無檢體</t>
  </si>
  <si>
    <t>審核</t>
  </si>
  <si>
    <t>主辦業務人員</t>
  </si>
  <si>
    <t>主辦統計人員</t>
  </si>
  <si>
    <t>填表說明：本表一式二份，一份送本署統計室，一份自存。</t>
  </si>
  <si>
    <t>行政院衛生署食品藥物管理局</t>
  </si>
  <si>
    <r>
      <t>1</t>
    </r>
    <r>
      <rPr>
        <sz val="12"/>
        <color indexed="8"/>
        <rFont val="標楷體"/>
        <family val="4"/>
        <charset val="136"/>
      </rPr>
      <t>種細菌和天然毒</t>
    </r>
    <r>
      <rPr>
        <sz val="12"/>
        <color indexed="8"/>
        <rFont val="Times New Roman"/>
        <family val="1"/>
      </rPr>
      <t>(</t>
    </r>
    <r>
      <rPr>
        <sz val="12"/>
        <color indexed="8"/>
        <rFont val="標楷體"/>
        <family val="4"/>
        <charset val="136"/>
      </rPr>
      <t>組織胺</t>
    </r>
    <r>
      <rPr>
        <sz val="12"/>
        <color indexed="8"/>
        <rFont val="Times New Roman"/>
        <family val="1"/>
      </rPr>
      <t>)</t>
    </r>
    <r>
      <rPr>
        <sz val="12"/>
        <color indexed="8"/>
        <rFont val="標楷體"/>
        <family val="4"/>
        <charset val="136"/>
      </rPr>
      <t>共同引起之案件有</t>
    </r>
    <r>
      <rPr>
        <sz val="12"/>
        <color indexed="8"/>
        <rFont val="Times New Roman"/>
        <family val="1"/>
      </rPr>
      <t>1</t>
    </r>
    <r>
      <rPr>
        <sz val="12"/>
        <color indexed="8"/>
        <rFont val="標楷體"/>
        <family val="4"/>
        <charset val="136"/>
      </rPr>
      <t>件，患者數</t>
    </r>
    <r>
      <rPr>
        <sz val="12"/>
        <color indexed="8"/>
        <rFont val="Times New Roman"/>
        <family val="1"/>
      </rPr>
      <t>153</t>
    </r>
    <r>
      <rPr>
        <sz val="12"/>
        <color indexed="8"/>
        <rFont val="標楷體"/>
        <family val="4"/>
        <charset val="136"/>
      </rPr>
      <t>人。</t>
    </r>
  </si>
  <si>
    <r>
      <t>1</t>
    </r>
    <r>
      <rPr>
        <sz val="12"/>
        <color indexed="8"/>
        <rFont val="標楷體"/>
        <family val="4"/>
        <charset val="136"/>
      </rPr>
      <t>種細菌和諾羅病毒共同引起之案件有</t>
    </r>
    <r>
      <rPr>
        <sz val="12"/>
        <color indexed="8"/>
        <rFont val="Times New Roman"/>
        <family val="1"/>
      </rPr>
      <t>3</t>
    </r>
    <r>
      <rPr>
        <sz val="12"/>
        <color indexed="8"/>
        <rFont val="標楷體"/>
        <family val="4"/>
        <charset val="136"/>
      </rPr>
      <t>件，患者數</t>
    </r>
    <r>
      <rPr>
        <sz val="12"/>
        <color indexed="8"/>
        <rFont val="Times New Roman"/>
        <family val="1"/>
      </rPr>
      <t>76</t>
    </r>
    <r>
      <rPr>
        <sz val="12"/>
        <color indexed="8"/>
        <rFont val="標楷體"/>
        <family val="4"/>
        <charset val="136"/>
      </rPr>
      <t>人。</t>
    </r>
  </si>
  <si>
    <r>
      <t>2</t>
    </r>
    <r>
      <rPr>
        <sz val="12"/>
        <color indexed="8"/>
        <rFont val="標楷體"/>
        <family val="4"/>
        <charset val="136"/>
      </rPr>
      <t>種細菌共同引起之案件共有</t>
    </r>
    <r>
      <rPr>
        <sz val="12"/>
        <color indexed="8"/>
        <rFont val="Times New Roman"/>
        <family val="1"/>
      </rPr>
      <t>5</t>
    </r>
    <r>
      <rPr>
        <sz val="12"/>
        <color indexed="8"/>
        <rFont val="標楷體"/>
        <family val="4"/>
        <charset val="136"/>
      </rPr>
      <t>件，患者數共</t>
    </r>
    <r>
      <rPr>
        <sz val="12"/>
        <color indexed="8"/>
        <rFont val="Times New Roman"/>
        <family val="1"/>
      </rPr>
      <t>213</t>
    </r>
    <r>
      <rPr>
        <sz val="12"/>
        <color indexed="8"/>
        <rFont val="標楷體"/>
        <family val="4"/>
        <charset val="136"/>
      </rPr>
      <t>人。</t>
    </r>
  </si>
  <si>
    <t>病因物質重複計數之案件如下：</t>
  </si>
  <si>
    <r>
      <t>附</t>
    </r>
    <r>
      <rPr>
        <sz val="12"/>
        <color indexed="8"/>
        <rFont val="Times New Roman"/>
        <family val="1"/>
      </rPr>
      <t xml:space="preserve"> </t>
    </r>
    <r>
      <rPr>
        <sz val="12"/>
        <color indexed="8"/>
        <rFont val="標楷體"/>
        <family val="4"/>
        <charset val="136"/>
      </rPr>
      <t>註：</t>
    </r>
  </si>
  <si>
    <r>
      <t>附</t>
    </r>
    <r>
      <rPr>
        <sz val="12"/>
        <color indexed="8"/>
        <rFont val="Times New Roman"/>
        <family val="1"/>
      </rPr>
      <t xml:space="preserve"> </t>
    </r>
    <r>
      <rPr>
        <sz val="12"/>
        <color indexed="8"/>
        <rFont val="標楷體"/>
        <family val="4"/>
        <charset val="136"/>
      </rPr>
      <t>註</t>
    </r>
    <r>
      <rPr>
        <sz val="12"/>
        <color indexed="8"/>
        <rFont val="Times New Roman"/>
        <family val="1"/>
      </rPr>
      <t>:</t>
    </r>
    <r>
      <rPr>
        <sz val="12"/>
        <color indexed="8"/>
        <rFont val="標楷體"/>
        <family val="4"/>
        <charset val="136"/>
      </rPr>
      <t>＊細菌中毒案件數及患者數之小計，為扣除重複計數之值。</t>
    </r>
  </si>
  <si>
    <t>行政院衛生署食品衛生處</t>
  </si>
  <si>
    <r>
      <t>資料來源：直轄市政府衛生局及各縣市衛生局</t>
    </r>
    <r>
      <rPr>
        <sz val="12"/>
        <color indexed="8"/>
        <rFont val="Times New Roman"/>
        <family val="1"/>
      </rPr>
      <t>(</t>
    </r>
    <r>
      <rPr>
        <sz val="12"/>
        <color indexed="8"/>
        <rFont val="標楷體"/>
        <family val="4"/>
        <charset val="136"/>
      </rPr>
      <t>含金門、連江縣</t>
    </r>
    <r>
      <rPr>
        <sz val="12"/>
        <color indexed="8"/>
        <rFont val="Times New Roman"/>
        <family val="1"/>
      </rPr>
      <t>)</t>
    </r>
    <r>
      <rPr>
        <sz val="12"/>
        <color indexed="8"/>
        <rFont val="標楷體"/>
        <family val="4"/>
        <charset val="136"/>
      </rPr>
      <t>。</t>
    </r>
  </si>
  <si>
    <r>
      <t>小</t>
    </r>
    <r>
      <rPr>
        <sz val="14"/>
        <color indexed="8"/>
        <rFont val="Times New Roman"/>
        <family val="1"/>
      </rPr>
      <t xml:space="preserve">                      </t>
    </r>
    <r>
      <rPr>
        <sz val="14"/>
        <color indexed="8"/>
        <rFont val="標楷體"/>
        <family val="4"/>
        <charset val="136"/>
      </rPr>
      <t>計</t>
    </r>
    <r>
      <rPr>
        <sz val="14"/>
        <color indexed="8"/>
        <rFont val="Times New Roman"/>
        <family val="1"/>
      </rPr>
      <t>*</t>
    </r>
  </si>
  <si>
    <r>
      <t>其</t>
    </r>
    <r>
      <rPr>
        <sz val="14"/>
        <color indexed="8"/>
        <rFont val="Times New Roman"/>
        <family val="1"/>
      </rPr>
      <t xml:space="preserve">       </t>
    </r>
    <r>
      <rPr>
        <sz val="14"/>
        <color indexed="8"/>
        <rFont val="標楷體"/>
        <family val="4"/>
        <charset val="136"/>
      </rPr>
      <t>他</t>
    </r>
    <r>
      <rPr>
        <sz val="14"/>
        <color indexed="8"/>
        <rFont val="Times New Roman"/>
        <family val="1"/>
      </rPr>
      <t xml:space="preserve">       </t>
    </r>
    <r>
      <rPr>
        <sz val="14"/>
        <color indexed="8"/>
        <rFont val="標楷體"/>
        <family val="4"/>
        <charset val="136"/>
      </rPr>
      <t>病</t>
    </r>
    <r>
      <rPr>
        <sz val="14"/>
        <color indexed="8"/>
        <rFont val="Times New Roman"/>
        <family val="1"/>
      </rPr>
      <t xml:space="preserve">       </t>
    </r>
    <r>
      <rPr>
        <sz val="14"/>
        <color indexed="8"/>
        <rFont val="標楷體"/>
        <family val="4"/>
        <charset val="136"/>
      </rPr>
      <t>因</t>
    </r>
    <r>
      <rPr>
        <sz val="14"/>
        <color indexed="8"/>
        <rFont val="Times New Roman"/>
        <family val="1"/>
      </rPr>
      <t xml:space="preserve">       </t>
    </r>
    <r>
      <rPr>
        <sz val="14"/>
        <color indexed="8"/>
        <rFont val="標楷體"/>
        <family val="4"/>
        <charset val="136"/>
      </rPr>
      <t>物</t>
    </r>
    <r>
      <rPr>
        <sz val="14"/>
        <color indexed="8"/>
        <rFont val="Times New Roman"/>
        <family val="1"/>
      </rPr>
      <t xml:space="preserve">       </t>
    </r>
    <r>
      <rPr>
        <sz val="14"/>
        <color indexed="8"/>
        <rFont val="標楷體"/>
        <family val="4"/>
        <charset val="136"/>
      </rPr>
      <t>質</t>
    </r>
  </si>
  <si>
    <t>資料來源：各縣市政府衛生局、台北市政府衛生局、高雄市政府衛生局。</t>
  </si>
  <si>
    <t>填表說明：本表一式三份，一份送行政院主計處，一份送衛生署統計室，一份自存。</t>
  </si>
  <si>
    <t>附 註:＊細菌性中毒案件數及患者數之小計,為扣除重複計數之值。</t>
  </si>
  <si>
    <r>
      <rPr>
        <sz val="12"/>
        <color indexed="8"/>
        <rFont val="標楷體"/>
        <family val="4"/>
        <charset val="136"/>
      </rPr>
      <t>　　　　　　　　　　　　　　　　　　中華民國</t>
    </r>
    <r>
      <rPr>
        <sz val="12"/>
        <color indexed="8"/>
        <rFont val="Times New Roman"/>
        <family val="1"/>
      </rPr>
      <t>111</t>
    </r>
    <r>
      <rPr>
        <sz val="12"/>
        <color indexed="8"/>
        <rFont val="標楷體"/>
        <family val="4"/>
        <charset val="136"/>
      </rPr>
      <t>年</t>
    </r>
    <phoneticPr fontId="3" type="noConversion"/>
  </si>
  <si>
    <t>一、統計範圍及對象：以發生之中毒事件為統計對象。</t>
    <phoneticPr fontId="3" type="noConversion"/>
  </si>
  <si>
    <t>二、統計標準時間：以每年１月１日至１２月３１日發生之中毒事件為準。</t>
    <phoneticPr fontId="3" type="noConversion"/>
  </si>
  <si>
    <t>四、統計項目定義：</t>
    <phoneticPr fontId="3" type="noConversion"/>
  </si>
  <si>
    <t>資料來源：由衛生福利部食品藥物管理署食品組依據直轄市政府衛生局及各縣市衛生局(含金門、連江縣)報送之食品中毒調查表資料彙整統計分析後填報。</t>
    <phoneticPr fontId="3" type="noConversion"/>
  </si>
  <si>
    <t>填表說明：本表一式三份，一份送衛生福利部統計處，一份送本署主計室，一份自存。</t>
    <phoneticPr fontId="3" type="noConversion"/>
  </si>
  <si>
    <t>六、編送對象：本表一式三份，一份送衛生福利部統計處，一份送本署主計室，一份自存。</t>
    <phoneticPr fontId="3" type="noConversion"/>
  </si>
  <si>
    <t>食品中毒案件病因物質分類統計編製說明</t>
  </si>
  <si>
    <t xml:space="preserve">        (二)細菌食品中毒：食品中毒之病原菌，係攝食受腸炎弧菌、沙門氏菌、病原性大腸桿菌、金黃色葡萄球菌、</t>
    <phoneticPr fontId="10" type="noConversion"/>
  </si>
  <si>
    <t xml:space="preserve">            仙人掌桿菌、肉毒桿菌及其他細菌污染之食品，致使發病者。</t>
    <phoneticPr fontId="10" type="noConversion"/>
  </si>
  <si>
    <t xml:space="preserve">        (三)化學物質食品中毒：化學物質食品中毒之原因物質，係攝食受農藥、鉛、砷、鎘、銅、汞等重金屬，</t>
    <phoneticPr fontId="10" type="noConversion"/>
  </si>
  <si>
    <t xml:space="preserve">            及其他有毒化學品污染之食品所致者。</t>
    <phoneticPr fontId="10" type="noConversion"/>
  </si>
  <si>
    <t xml:space="preserve">        (四)天然毒食品中毒：係攝食有毒植物、有毒貝類、含組織胺量高之良品，受到黴菌有毒代謝物污染之食品，</t>
    <phoneticPr fontId="10" type="noConversion"/>
  </si>
  <si>
    <t xml:space="preserve">            及其他天然毒素污染之食品，而引發食品中毒之原因物質者。</t>
    <phoneticPr fontId="10" type="noConversion"/>
  </si>
  <si>
    <t>五、資料蒐集方法及編製程序：由衛生福利部食品藥物管理署食品組依據直轄市政府衛生局及各縣市衛生局</t>
    <phoneticPr fontId="3" type="noConversion"/>
  </si>
  <si>
    <t xml:space="preserve">    (含金門、連江縣)報送之食品中毒調查表資料彙整統計分析後填報。</t>
    <phoneticPr fontId="3" type="noConversion"/>
  </si>
  <si>
    <r>
      <rPr>
        <sz val="14"/>
        <color indexed="8"/>
        <rFont val="標楷體"/>
        <family val="4"/>
        <charset val="136"/>
      </rPr>
      <t>病  因  物  質</t>
    </r>
  </si>
  <si>
    <r>
      <rPr>
        <sz val="14"/>
        <color rgb="FF000000"/>
        <rFont val="標楷體"/>
        <family val="4"/>
        <charset val="136"/>
      </rPr>
      <t>病因物質判明合計</t>
    </r>
    <r>
      <rPr>
        <vertAlign val="superscript"/>
        <sz val="14"/>
        <color indexed="8"/>
        <rFont val="Times New Roman"/>
        <family val="1"/>
      </rPr>
      <t>1</t>
    </r>
  </si>
  <si>
    <t>附 註：</t>
    <phoneticPr fontId="10" type="noConversion"/>
  </si>
  <si>
    <r>
      <rPr>
        <vertAlign val="superscript"/>
        <sz val="12"/>
        <rFont val="Times New Roman"/>
        <family val="1"/>
      </rPr>
      <t>2</t>
    </r>
    <r>
      <rPr>
        <sz val="12"/>
        <rFont val="標楷體"/>
        <family val="4"/>
        <charset val="136"/>
      </rPr>
      <t>細菌之小計，為扣除重複計數之值，</t>
    </r>
    <r>
      <rPr>
        <sz val="12"/>
        <rFont val="Times New Roman"/>
        <family val="1"/>
      </rPr>
      <t>2</t>
    </r>
    <r>
      <rPr>
        <sz val="12"/>
        <rFont val="標楷體"/>
        <family val="4"/>
        <charset val="136"/>
      </rPr>
      <t>種細菌共同引起之案件共有</t>
    </r>
    <r>
      <rPr>
        <sz val="12"/>
        <rFont val="Times New Roman"/>
        <family val="1"/>
      </rPr>
      <t>7</t>
    </r>
    <r>
      <rPr>
        <sz val="12"/>
        <rFont val="標楷體"/>
        <family val="4"/>
        <charset val="136"/>
      </rPr>
      <t>案，患者數共</t>
    </r>
    <r>
      <rPr>
        <sz val="12"/>
        <rFont val="Times New Roman"/>
        <family val="1"/>
      </rPr>
      <t>684</t>
    </r>
    <r>
      <rPr>
        <sz val="12"/>
        <rFont val="標楷體"/>
        <family val="4"/>
        <charset val="136"/>
      </rPr>
      <t>人；</t>
    </r>
    <r>
      <rPr>
        <sz val="12"/>
        <rFont val="Times New Roman"/>
        <family val="1"/>
      </rPr>
      <t>3</t>
    </r>
    <r>
      <rPr>
        <sz val="12"/>
        <rFont val="標楷體"/>
        <family val="4"/>
        <charset val="136"/>
      </rPr>
      <t>種細菌共同引起之案件共有</t>
    </r>
    <r>
      <rPr>
        <sz val="12"/>
        <rFont val="Times New Roman"/>
        <family val="1"/>
      </rPr>
      <t>1</t>
    </r>
    <r>
      <rPr>
        <sz val="12"/>
        <rFont val="標楷體"/>
        <family val="4"/>
        <charset val="136"/>
      </rPr>
      <t>案，患者數共</t>
    </r>
    <r>
      <rPr>
        <sz val="12"/>
        <rFont val="Times New Roman"/>
        <family val="1"/>
      </rPr>
      <t>100</t>
    </r>
    <r>
      <rPr>
        <sz val="12"/>
        <rFont val="標楷體"/>
        <family val="4"/>
        <charset val="136"/>
      </rPr>
      <t>人。</t>
    </r>
    <phoneticPr fontId="10" type="noConversion"/>
  </si>
  <si>
    <r>
      <t xml:space="preserve">    108</t>
    </r>
    <r>
      <rPr>
        <sz val="12"/>
        <color rgb="FF000000"/>
        <rFont val="標楷體"/>
        <family val="4"/>
        <charset val="136"/>
      </rPr>
      <t>年</t>
    </r>
  </si>
  <si>
    <r>
      <t xml:space="preserve">    109</t>
    </r>
    <r>
      <rPr>
        <sz val="12"/>
        <color rgb="FF000000"/>
        <rFont val="標楷體"/>
        <family val="4"/>
        <charset val="136"/>
      </rPr>
      <t>年</t>
    </r>
  </si>
  <si>
    <r>
      <t xml:space="preserve">    110</t>
    </r>
    <r>
      <rPr>
        <sz val="12"/>
        <color rgb="FF000000"/>
        <rFont val="標楷體"/>
        <family val="4"/>
        <charset val="136"/>
      </rPr>
      <t>年</t>
    </r>
  </si>
  <si>
    <r>
      <t xml:space="preserve">    111</t>
    </r>
    <r>
      <rPr>
        <sz val="12"/>
        <color rgb="FF000000"/>
        <rFont val="標楷體"/>
        <family val="4"/>
        <charset val="136"/>
      </rPr>
      <t>年</t>
    </r>
  </si>
  <si>
    <r>
      <rPr>
        <sz val="14"/>
        <color rgb="FF000000"/>
        <rFont val="標楷體"/>
        <family val="4"/>
        <charset val="136"/>
      </rPr>
      <t>次年</t>
    </r>
    <r>
      <rPr>
        <sz val="14"/>
        <color indexed="8"/>
        <rFont val="Times New Roman"/>
        <family val="1"/>
      </rPr>
      <t>4</t>
    </r>
    <r>
      <rPr>
        <sz val="14"/>
        <color indexed="8"/>
        <rFont val="標楷體"/>
        <family val="4"/>
        <charset val="136"/>
      </rPr>
      <t>月底前填報</t>
    </r>
  </si>
  <si>
    <t>附 註:</t>
    <phoneticPr fontId="3" type="noConversion"/>
  </si>
  <si>
    <r>
      <t>1</t>
    </r>
    <r>
      <rPr>
        <sz val="12"/>
        <color indexed="8"/>
        <rFont val="標楷體"/>
        <family val="4"/>
        <charset val="136"/>
      </rPr>
      <t>病因物質判明合計，為扣除重複計數之值，細菌與病毒共同引起之案件有</t>
    </r>
    <r>
      <rPr>
        <sz val="12"/>
        <color indexed="8"/>
        <rFont val="Times New Roman"/>
        <family val="1"/>
      </rPr>
      <t>14</t>
    </r>
    <r>
      <rPr>
        <sz val="12"/>
        <color indexed="8"/>
        <rFont val="標楷體"/>
        <family val="4"/>
        <charset val="136"/>
      </rPr>
      <t>件，患者數共</t>
    </r>
    <r>
      <rPr>
        <sz val="12"/>
        <color indexed="8"/>
        <rFont val="Times New Roman"/>
        <family val="1"/>
      </rPr>
      <t>722</t>
    </r>
    <r>
      <rPr>
        <sz val="12"/>
        <color indexed="8"/>
        <rFont val="標楷體"/>
        <family val="4"/>
        <charset val="136"/>
      </rPr>
      <t>人；細菌與天然毒共同引起之案件有</t>
    </r>
    <r>
      <rPr>
        <sz val="12"/>
        <color indexed="8"/>
        <rFont val="Times New Roman"/>
        <family val="1"/>
      </rPr>
      <t>1</t>
    </r>
    <r>
      <rPr>
        <sz val="12"/>
        <color indexed="8"/>
        <rFont val="標楷體"/>
        <family val="4"/>
        <charset val="136"/>
      </rPr>
      <t>件，患者數共</t>
    </r>
    <r>
      <rPr>
        <sz val="12"/>
        <color indexed="8"/>
        <rFont val="Times New Roman"/>
        <family val="1"/>
      </rPr>
      <t>7</t>
    </r>
    <r>
      <rPr>
        <sz val="12"/>
        <color indexed="8"/>
        <rFont val="標楷體"/>
        <family val="4"/>
        <charset val="136"/>
      </rPr>
      <t>人</t>
    </r>
    <phoneticPr fontId="3" type="noConversion"/>
  </si>
  <si>
    <r>
      <rPr>
        <vertAlign val="superscript"/>
        <sz val="14"/>
        <color rgb="FF000000"/>
        <rFont val="Times New Roman"/>
        <family val="1"/>
      </rPr>
      <t>2</t>
    </r>
    <r>
      <rPr>
        <sz val="12"/>
        <color rgb="FF000000"/>
        <rFont val="標楷體"/>
        <family val="4"/>
        <charset val="136"/>
      </rPr>
      <t>細菌之小計，為扣除重複計數之值，</t>
    </r>
    <r>
      <rPr>
        <sz val="12"/>
        <color rgb="FF000000"/>
        <rFont val="Times New Roman"/>
        <family val="1"/>
      </rPr>
      <t>2</t>
    </r>
    <r>
      <rPr>
        <sz val="12"/>
        <color rgb="FF000000"/>
        <rFont val="標楷體"/>
        <family val="4"/>
        <charset val="136"/>
      </rPr>
      <t>種細菌共同引起之案件共有</t>
    </r>
    <r>
      <rPr>
        <sz val="12"/>
        <color rgb="FF000000"/>
        <rFont val="Times New Roman"/>
        <family val="1"/>
      </rPr>
      <t>7</t>
    </r>
    <r>
      <rPr>
        <sz val="12"/>
        <color rgb="FF000000"/>
        <rFont val="標楷體"/>
        <family val="4"/>
        <charset val="136"/>
      </rPr>
      <t>案，患者數共</t>
    </r>
    <r>
      <rPr>
        <sz val="12"/>
        <color rgb="FF000000"/>
        <rFont val="Times New Roman"/>
        <family val="1"/>
      </rPr>
      <t>449</t>
    </r>
    <r>
      <rPr>
        <sz val="12"/>
        <color rgb="FF000000"/>
        <rFont val="標楷體"/>
        <family val="4"/>
        <charset val="136"/>
      </rPr>
      <t>人；</t>
    </r>
    <r>
      <rPr>
        <sz val="12"/>
        <color rgb="FF000000"/>
        <rFont val="Times New Roman"/>
        <family val="1"/>
      </rPr>
      <t>3</t>
    </r>
    <r>
      <rPr>
        <sz val="12"/>
        <color rgb="FF000000"/>
        <rFont val="標楷體"/>
        <family val="4"/>
        <charset val="136"/>
      </rPr>
      <t>種細菌共同引起之案件共有</t>
    </r>
    <r>
      <rPr>
        <sz val="12"/>
        <color rgb="FF000000"/>
        <rFont val="Times New Roman"/>
        <family val="1"/>
      </rPr>
      <t>1</t>
    </r>
    <r>
      <rPr>
        <sz val="12"/>
        <color rgb="FF000000"/>
        <rFont val="標楷體"/>
        <family val="4"/>
        <charset val="136"/>
      </rPr>
      <t>案，患者數共</t>
    </r>
    <r>
      <rPr>
        <sz val="12"/>
        <color rgb="FF000000"/>
        <rFont val="Times New Roman"/>
        <family val="1"/>
      </rPr>
      <t>256</t>
    </r>
    <r>
      <rPr>
        <sz val="12"/>
        <color rgb="FF000000"/>
        <rFont val="標楷體"/>
        <family val="4"/>
        <charset val="136"/>
      </rPr>
      <t>人。</t>
    </r>
    <phoneticPr fontId="3" type="noConversion"/>
  </si>
  <si>
    <r>
      <rPr>
        <vertAlign val="superscript"/>
        <sz val="14"/>
        <color rgb="FF000000"/>
        <rFont val="Times New Roman"/>
        <family val="1"/>
      </rPr>
      <t>1</t>
    </r>
    <r>
      <rPr>
        <sz val="12"/>
        <color rgb="FF000000"/>
        <rFont val="標楷體"/>
        <family val="4"/>
        <charset val="136"/>
      </rPr>
      <t>病因物質判明合計，為扣除重複計數之值，細菌與其他病因物質</t>
    </r>
    <r>
      <rPr>
        <sz val="12"/>
        <color rgb="FF000000"/>
        <rFont val="Times New Roman"/>
        <family val="1"/>
      </rPr>
      <t>(</t>
    </r>
    <r>
      <rPr>
        <sz val="12"/>
        <color rgb="FF000000"/>
        <rFont val="標楷體"/>
        <family val="4"/>
        <charset val="136"/>
      </rPr>
      <t>病毒</t>
    </r>
    <r>
      <rPr>
        <sz val="12"/>
        <color rgb="FF000000"/>
        <rFont val="Times New Roman"/>
        <family val="1"/>
      </rPr>
      <t>)</t>
    </r>
    <r>
      <rPr>
        <sz val="12"/>
        <color rgb="FF000000"/>
        <rFont val="標楷體"/>
        <family val="4"/>
        <charset val="136"/>
      </rPr>
      <t>共同引起之案件共有</t>
    </r>
    <r>
      <rPr>
        <sz val="12"/>
        <color rgb="FF000000"/>
        <rFont val="Times New Roman"/>
        <family val="1"/>
      </rPr>
      <t>10</t>
    </r>
    <r>
      <rPr>
        <sz val="12"/>
        <color rgb="FF000000"/>
        <rFont val="標楷體"/>
        <family val="4"/>
        <charset val="136"/>
      </rPr>
      <t>案，患者數共</t>
    </r>
    <r>
      <rPr>
        <sz val="12"/>
        <color rgb="FF000000"/>
        <rFont val="Times New Roman"/>
        <family val="1"/>
      </rPr>
      <t>103</t>
    </r>
    <r>
      <rPr>
        <sz val="12"/>
        <color rgb="FF000000"/>
        <rFont val="標楷體"/>
        <family val="4"/>
        <charset val="136"/>
      </rPr>
      <t>人。</t>
    </r>
    <phoneticPr fontId="3" type="noConversion"/>
  </si>
  <si>
    <r>
      <rPr>
        <vertAlign val="superscript"/>
        <sz val="14"/>
        <color rgb="FF000000"/>
        <rFont val="Times New Roman"/>
        <family val="1"/>
      </rPr>
      <t>3</t>
    </r>
    <r>
      <rPr>
        <sz val="12"/>
        <color rgb="FF000000"/>
        <rFont val="標楷體"/>
        <family val="4"/>
        <charset val="136"/>
      </rPr>
      <t>細菌之其他為霍亂弧菌</t>
    </r>
    <r>
      <rPr>
        <sz val="12"/>
        <color rgb="FF000000"/>
        <rFont val="Times New Roman"/>
        <family val="1"/>
      </rPr>
      <t>1</t>
    </r>
    <r>
      <rPr>
        <sz val="12"/>
        <color rgb="FF000000"/>
        <rFont val="標楷體"/>
        <family val="4"/>
        <charset val="136"/>
      </rPr>
      <t>案，患者數共</t>
    </r>
    <r>
      <rPr>
        <sz val="12"/>
        <color rgb="FF000000"/>
        <rFont val="Times New Roman"/>
        <family val="1"/>
      </rPr>
      <t>2</t>
    </r>
    <r>
      <rPr>
        <sz val="12"/>
        <color rgb="FF000000"/>
        <rFont val="標楷體"/>
        <family val="4"/>
        <charset val="136"/>
      </rPr>
      <t>人。</t>
    </r>
    <phoneticPr fontId="3" type="noConversion"/>
  </si>
  <si>
    <r>
      <rPr>
        <vertAlign val="superscript"/>
        <sz val="12"/>
        <color rgb="FF000000"/>
        <rFont val="Times New Roman"/>
        <family val="1"/>
      </rPr>
      <t>1</t>
    </r>
    <r>
      <rPr>
        <sz val="12"/>
        <color rgb="FF000000"/>
        <rFont val="標楷體"/>
        <family val="4"/>
        <charset val="136"/>
      </rPr>
      <t>細菌與病毒共同引起之案件有</t>
    </r>
    <r>
      <rPr>
        <sz val="12"/>
        <color rgb="FF000000"/>
        <rFont val="Times New Roman"/>
        <family val="1"/>
      </rPr>
      <t>1</t>
    </r>
    <r>
      <rPr>
        <sz val="12"/>
        <color rgb="FF000000"/>
        <rFont val="標楷體"/>
        <family val="4"/>
        <charset val="136"/>
      </rPr>
      <t>件，患者數共</t>
    </r>
    <r>
      <rPr>
        <sz val="12"/>
        <color rgb="FF000000"/>
        <rFont val="Times New Roman"/>
        <family val="1"/>
      </rPr>
      <t>49</t>
    </r>
    <r>
      <rPr>
        <sz val="12"/>
        <color rgb="FF000000"/>
        <rFont val="標楷體"/>
        <family val="4"/>
        <charset val="136"/>
      </rPr>
      <t>人</t>
    </r>
    <phoneticPr fontId="3" type="noConversion"/>
  </si>
  <si>
    <r>
      <rPr>
        <vertAlign val="superscript"/>
        <sz val="12"/>
        <color rgb="FF000000"/>
        <rFont val="Times New Roman"/>
        <family val="1"/>
      </rPr>
      <t>3</t>
    </r>
    <r>
      <rPr>
        <sz val="12"/>
        <color rgb="FF000000"/>
        <rFont val="標楷體"/>
        <family val="4"/>
        <charset val="136"/>
      </rPr>
      <t>其他病因物質中毒件數及患者數小計，為扣除重複計數之值，</t>
    </r>
    <r>
      <rPr>
        <sz val="12"/>
        <color rgb="FF000000"/>
        <rFont val="Times New Roman"/>
        <family val="1"/>
      </rPr>
      <t xml:space="preserve">2 </t>
    </r>
    <r>
      <rPr>
        <sz val="12"/>
        <color rgb="FF000000"/>
        <rFont val="標楷體"/>
        <family val="4"/>
        <charset val="136"/>
      </rPr>
      <t>種病毒共同引起之案件共有</t>
    </r>
    <r>
      <rPr>
        <sz val="12"/>
        <color rgb="FF000000"/>
        <rFont val="Times New Roman"/>
        <family val="1"/>
      </rPr>
      <t xml:space="preserve"> 1 </t>
    </r>
    <r>
      <rPr>
        <sz val="12"/>
        <color rgb="FF000000"/>
        <rFont val="標楷體"/>
        <family val="4"/>
        <charset val="136"/>
      </rPr>
      <t>件，患者數共</t>
    </r>
    <r>
      <rPr>
        <sz val="12"/>
        <color rgb="FF000000"/>
        <rFont val="Times New Roman"/>
        <family val="1"/>
      </rPr>
      <t xml:space="preserve"> 13 </t>
    </r>
    <r>
      <rPr>
        <sz val="12"/>
        <color rgb="FF000000"/>
        <rFont val="標楷體"/>
        <family val="4"/>
        <charset val="136"/>
      </rPr>
      <t>人</t>
    </r>
    <phoneticPr fontId="3" type="noConversion"/>
  </si>
  <si>
    <r>
      <rPr>
        <vertAlign val="superscript"/>
        <sz val="12"/>
        <color rgb="FF000000"/>
        <rFont val="Times New Roman"/>
        <family val="1"/>
      </rPr>
      <t>2</t>
    </r>
    <r>
      <rPr>
        <sz val="12"/>
        <color rgb="FF000000"/>
        <rFont val="標楷體"/>
        <family val="4"/>
        <charset val="136"/>
      </rPr>
      <t>細菌性中毒件數及患者數小計，為扣除重複計數之值，</t>
    </r>
    <r>
      <rPr>
        <sz val="12"/>
        <color rgb="FF000000"/>
        <rFont val="Times New Roman"/>
        <family val="1"/>
      </rPr>
      <t xml:space="preserve">2 </t>
    </r>
    <r>
      <rPr>
        <sz val="12"/>
        <color rgb="FF000000"/>
        <rFont val="標楷體"/>
        <family val="4"/>
        <charset val="136"/>
      </rPr>
      <t>種細菌共同引起之案件共有</t>
    </r>
    <r>
      <rPr>
        <sz val="12"/>
        <color rgb="FF000000"/>
        <rFont val="Times New Roman"/>
        <family val="1"/>
      </rPr>
      <t xml:space="preserve"> 2 </t>
    </r>
    <r>
      <rPr>
        <sz val="12"/>
        <color rgb="FF000000"/>
        <rFont val="標楷體"/>
        <family val="4"/>
        <charset val="136"/>
      </rPr>
      <t>件，患者數共</t>
    </r>
    <r>
      <rPr>
        <sz val="12"/>
        <color rgb="FF000000"/>
        <rFont val="Times New Roman"/>
        <family val="1"/>
      </rPr>
      <t xml:space="preserve"> 149 </t>
    </r>
    <r>
      <rPr>
        <sz val="12"/>
        <color rgb="FF000000"/>
        <rFont val="標楷體"/>
        <family val="4"/>
        <charset val="136"/>
      </rPr>
      <t>人。</t>
    </r>
    <phoneticPr fontId="3" type="noConversion"/>
  </si>
  <si>
    <r>
      <rPr>
        <vertAlign val="superscript"/>
        <sz val="12"/>
        <color rgb="FF000000"/>
        <rFont val="Times New Roman"/>
        <family val="1"/>
      </rPr>
      <t>1</t>
    </r>
    <r>
      <rPr>
        <sz val="12"/>
        <color rgb="FF000000"/>
        <rFont val="標楷體"/>
        <family val="4"/>
        <charset val="136"/>
      </rPr>
      <t>病因物質判明合計，為扣除重複計數之值</t>
    </r>
    <r>
      <rPr>
        <sz val="12"/>
        <color rgb="FF000000"/>
        <rFont val="Times New Roman"/>
        <family val="1"/>
      </rPr>
      <t xml:space="preserve"> 2 </t>
    </r>
    <r>
      <rPr>
        <sz val="12"/>
        <color rgb="FF000000"/>
        <rFont val="標楷體"/>
        <family val="4"/>
        <charset val="136"/>
      </rPr>
      <t>細菌性中毒件數及患者數小計，為扣除重複計數之值</t>
    </r>
    <phoneticPr fontId="3" type="noConversion"/>
  </si>
  <si>
    <r>
      <rPr>
        <vertAlign val="superscript"/>
        <sz val="12"/>
        <color rgb="FF000000"/>
        <rFont val="Times New Roman"/>
        <family val="1"/>
      </rPr>
      <t>2</t>
    </r>
    <r>
      <rPr>
        <sz val="12"/>
        <color rgb="FF000000"/>
        <rFont val="標楷體"/>
        <family val="4"/>
        <charset val="136"/>
      </rPr>
      <t>種細菌共同引起之案件共有</t>
    </r>
    <r>
      <rPr>
        <sz val="12"/>
        <color rgb="FF000000"/>
        <rFont val="Times New Roman"/>
        <family val="1"/>
      </rPr>
      <t xml:space="preserve"> 2 </t>
    </r>
    <r>
      <rPr>
        <sz val="12"/>
        <color rgb="FF000000"/>
        <rFont val="標楷體"/>
        <family val="4"/>
        <charset val="136"/>
      </rPr>
      <t>件，患者數共</t>
    </r>
    <r>
      <rPr>
        <sz val="12"/>
        <color rgb="FF000000"/>
        <rFont val="Times New Roman"/>
        <family val="1"/>
      </rPr>
      <t xml:space="preserve"> 104 </t>
    </r>
    <r>
      <rPr>
        <sz val="12"/>
        <color rgb="FF000000"/>
        <rFont val="標楷體"/>
        <family val="4"/>
        <charset val="136"/>
      </rPr>
      <t>人</t>
    </r>
    <r>
      <rPr>
        <sz val="12"/>
        <color rgb="FF000000"/>
        <rFont val="Times New Roman"/>
        <family val="1"/>
      </rPr>
      <t xml:space="preserve"> </t>
    </r>
    <r>
      <rPr>
        <sz val="12"/>
        <color rgb="FF000000"/>
        <rFont val="標楷體"/>
        <family val="4"/>
        <charset val="136"/>
      </rPr>
      <t>細菌與病毒共同引起之案件有</t>
    </r>
    <r>
      <rPr>
        <sz val="12"/>
        <color rgb="FF000000"/>
        <rFont val="Times New Roman"/>
        <family val="1"/>
      </rPr>
      <t xml:space="preserve"> 4 </t>
    </r>
    <r>
      <rPr>
        <sz val="12"/>
        <color rgb="FF000000"/>
        <rFont val="標楷體"/>
        <family val="4"/>
        <charset val="136"/>
      </rPr>
      <t>件，患者數共</t>
    </r>
    <r>
      <rPr>
        <sz val="12"/>
        <color rgb="FF000000"/>
        <rFont val="Times New Roman"/>
        <family val="1"/>
      </rPr>
      <t xml:space="preserve"> 156 </t>
    </r>
    <r>
      <rPr>
        <sz val="12"/>
        <color rgb="FF000000"/>
        <rFont val="標楷體"/>
        <family val="4"/>
        <charset val="136"/>
      </rPr>
      <t>人</t>
    </r>
    <phoneticPr fontId="3" type="noConversion"/>
  </si>
  <si>
    <r>
      <rPr>
        <vertAlign val="superscript"/>
        <sz val="12"/>
        <color rgb="FF000000"/>
        <rFont val="Times New Roman"/>
        <family val="1"/>
      </rPr>
      <t>3</t>
    </r>
    <r>
      <rPr>
        <sz val="12"/>
        <color rgb="FF000000"/>
        <rFont val="標楷體"/>
        <family val="4"/>
        <charset val="136"/>
      </rPr>
      <t>為霍亂弧菌</t>
    </r>
    <r>
      <rPr>
        <sz val="12"/>
        <color rgb="FF000000"/>
        <rFont val="Times New Roman"/>
        <family val="1"/>
      </rPr>
      <t xml:space="preserve"> 2 </t>
    </r>
    <r>
      <rPr>
        <sz val="12"/>
        <color rgb="FF000000"/>
        <rFont val="標楷體"/>
        <family val="4"/>
        <charset val="136"/>
      </rPr>
      <t>件</t>
    </r>
    <r>
      <rPr>
        <sz val="12"/>
        <color rgb="FF000000"/>
        <rFont val="Times New Roman"/>
        <family val="1"/>
      </rPr>
      <t>(</t>
    </r>
    <r>
      <rPr>
        <sz val="12"/>
        <color rgb="FF000000"/>
        <rFont val="標楷體"/>
        <family val="4"/>
        <charset val="136"/>
      </rPr>
      <t>患者</t>
    </r>
    <r>
      <rPr>
        <sz val="12"/>
        <color rgb="FF000000"/>
        <rFont val="Times New Roman"/>
        <family val="1"/>
      </rPr>
      <t xml:space="preserve"> 8 </t>
    </r>
    <r>
      <rPr>
        <sz val="12"/>
        <color rgb="FF000000"/>
        <rFont val="標楷體"/>
        <family val="4"/>
        <charset val="136"/>
      </rPr>
      <t>人</t>
    </r>
    <r>
      <rPr>
        <sz val="12"/>
        <color rgb="FF000000"/>
        <rFont val="Times New Roman"/>
        <family val="1"/>
      </rPr>
      <t>)</t>
    </r>
    <r>
      <rPr>
        <sz val="12"/>
        <color rgb="FF000000"/>
        <rFont val="標楷體"/>
        <family val="4"/>
        <charset val="136"/>
      </rPr>
      <t>及產氣莢膜梭菌</t>
    </r>
    <r>
      <rPr>
        <sz val="12"/>
        <color rgb="FF000000"/>
        <rFont val="Times New Roman"/>
        <family val="1"/>
      </rPr>
      <t xml:space="preserve"> 1 </t>
    </r>
    <r>
      <rPr>
        <sz val="12"/>
        <color rgb="FF000000"/>
        <rFont val="標楷體"/>
        <family val="4"/>
        <charset val="136"/>
      </rPr>
      <t>件</t>
    </r>
    <r>
      <rPr>
        <sz val="12"/>
        <color rgb="FF000000"/>
        <rFont val="Times New Roman"/>
        <family val="1"/>
      </rPr>
      <t>(</t>
    </r>
    <r>
      <rPr>
        <sz val="12"/>
        <color rgb="FF000000"/>
        <rFont val="標楷體"/>
        <family val="4"/>
        <charset val="136"/>
      </rPr>
      <t>患者</t>
    </r>
    <r>
      <rPr>
        <sz val="12"/>
        <color rgb="FF000000"/>
        <rFont val="Times New Roman"/>
        <family val="1"/>
      </rPr>
      <t xml:space="preserve"> 82 </t>
    </r>
    <r>
      <rPr>
        <sz val="12"/>
        <color rgb="FF000000"/>
        <rFont val="標楷體"/>
        <family val="4"/>
        <charset val="136"/>
      </rPr>
      <t>人</t>
    </r>
    <r>
      <rPr>
        <sz val="12"/>
        <color rgb="FF000000"/>
        <rFont val="Times New Roman"/>
        <family val="1"/>
      </rPr>
      <t>)</t>
    </r>
    <phoneticPr fontId="3" type="noConversion"/>
  </si>
  <si>
    <r>
      <rPr>
        <vertAlign val="superscript"/>
        <sz val="12"/>
        <color rgb="FF000000"/>
        <rFont val="Times New Roman"/>
        <family val="1"/>
      </rPr>
      <t>4</t>
    </r>
    <r>
      <rPr>
        <sz val="12"/>
        <color rgb="FF000000"/>
        <rFont val="標楷體"/>
        <family val="4"/>
        <charset val="136"/>
      </rPr>
      <t>為諾羅病毒</t>
    </r>
    <r>
      <rPr>
        <sz val="12"/>
        <color rgb="FF000000"/>
        <rFont val="Times New Roman"/>
        <family val="1"/>
      </rPr>
      <t xml:space="preserve"> 77 </t>
    </r>
    <r>
      <rPr>
        <sz val="12"/>
        <color rgb="FF000000"/>
        <rFont val="標楷體"/>
        <family val="4"/>
        <charset val="136"/>
      </rPr>
      <t>件</t>
    </r>
    <r>
      <rPr>
        <sz val="12"/>
        <color rgb="FF000000"/>
        <rFont val="Times New Roman"/>
        <family val="1"/>
      </rPr>
      <t>(</t>
    </r>
    <r>
      <rPr>
        <sz val="12"/>
        <color rgb="FF000000"/>
        <rFont val="標楷體"/>
        <family val="4"/>
        <charset val="136"/>
      </rPr>
      <t>患者</t>
    </r>
    <r>
      <rPr>
        <sz val="12"/>
        <color rgb="FF000000"/>
        <rFont val="Times New Roman"/>
        <family val="1"/>
      </rPr>
      <t xml:space="preserve"> 1,138 </t>
    </r>
    <r>
      <rPr>
        <sz val="12"/>
        <color rgb="FF000000"/>
        <rFont val="標楷體"/>
        <family val="4"/>
        <charset val="136"/>
      </rPr>
      <t>人</t>
    </r>
    <r>
      <rPr>
        <sz val="12"/>
        <color rgb="FF000000"/>
        <rFont val="Times New Roman"/>
        <family val="1"/>
      </rPr>
      <t>)</t>
    </r>
    <phoneticPr fontId="3" type="noConversion"/>
  </si>
  <si>
    <r>
      <rPr>
        <vertAlign val="superscript"/>
        <sz val="12"/>
        <color rgb="FF000000"/>
        <rFont val="Times New Roman"/>
        <family val="1"/>
      </rPr>
      <t>1</t>
    </r>
    <r>
      <rPr>
        <sz val="12"/>
        <color indexed="8"/>
        <rFont val="標楷體"/>
        <family val="4"/>
        <charset val="136"/>
      </rPr>
      <t>病因物質判明合計，為扣除重複計數之值</t>
    </r>
    <phoneticPr fontId="3" type="noConversion"/>
  </si>
  <si>
    <r>
      <rPr>
        <vertAlign val="superscript"/>
        <sz val="12"/>
        <color rgb="FF000000"/>
        <rFont val="Times New Roman"/>
        <family val="1"/>
      </rPr>
      <t>3</t>
    </r>
    <r>
      <rPr>
        <sz val="12"/>
        <color indexed="8"/>
        <rFont val="標楷體"/>
        <family val="4"/>
        <charset val="136"/>
      </rPr>
      <t>為霍亂弧菌</t>
    </r>
    <r>
      <rPr>
        <sz val="12"/>
        <color indexed="8"/>
        <rFont val="Times New Roman"/>
        <family val="1"/>
      </rPr>
      <t>2</t>
    </r>
    <r>
      <rPr>
        <sz val="12"/>
        <color indexed="8"/>
        <rFont val="標楷體"/>
        <family val="4"/>
        <charset val="136"/>
      </rPr>
      <t>件</t>
    </r>
    <r>
      <rPr>
        <sz val="12"/>
        <color indexed="8"/>
        <rFont val="Times New Roman"/>
        <family val="1"/>
      </rPr>
      <t>(</t>
    </r>
    <r>
      <rPr>
        <sz val="12"/>
        <color indexed="8"/>
        <rFont val="標楷體"/>
        <family val="4"/>
        <charset val="136"/>
      </rPr>
      <t>患者</t>
    </r>
    <r>
      <rPr>
        <sz val="12"/>
        <color indexed="8"/>
        <rFont val="Times New Roman"/>
        <family val="1"/>
      </rPr>
      <t>4</t>
    </r>
    <r>
      <rPr>
        <sz val="12"/>
        <color indexed="8"/>
        <rFont val="標楷體"/>
        <family val="4"/>
        <charset val="136"/>
      </rPr>
      <t>人</t>
    </r>
    <r>
      <rPr>
        <sz val="12"/>
        <color indexed="8"/>
        <rFont val="Times New Roman"/>
        <family val="1"/>
      </rPr>
      <t>)</t>
    </r>
    <r>
      <rPr>
        <sz val="12"/>
        <color indexed="8"/>
        <rFont val="標楷體"/>
        <family val="4"/>
        <charset val="136"/>
      </rPr>
      <t>及志賀桿菌</t>
    </r>
    <r>
      <rPr>
        <sz val="12"/>
        <color indexed="8"/>
        <rFont val="Times New Roman"/>
        <family val="1"/>
      </rPr>
      <t>1</t>
    </r>
    <r>
      <rPr>
        <sz val="12"/>
        <color indexed="8"/>
        <rFont val="標楷體"/>
        <family val="4"/>
        <charset val="136"/>
      </rPr>
      <t>件</t>
    </r>
    <r>
      <rPr>
        <sz val="12"/>
        <color indexed="8"/>
        <rFont val="Times New Roman"/>
        <family val="1"/>
      </rPr>
      <t>(</t>
    </r>
    <r>
      <rPr>
        <sz val="12"/>
        <color indexed="8"/>
        <rFont val="標楷體"/>
        <family val="4"/>
        <charset val="136"/>
      </rPr>
      <t>患者</t>
    </r>
    <r>
      <rPr>
        <sz val="12"/>
        <color indexed="8"/>
        <rFont val="Times New Roman"/>
        <family val="1"/>
      </rPr>
      <t>12</t>
    </r>
    <r>
      <rPr>
        <sz val="12"/>
        <color indexed="8"/>
        <rFont val="標楷體"/>
        <family val="4"/>
        <charset val="136"/>
      </rPr>
      <t>人</t>
    </r>
    <r>
      <rPr>
        <sz val="12"/>
        <color indexed="8"/>
        <rFont val="Times New Roman"/>
        <family val="1"/>
      </rPr>
      <t>)</t>
    </r>
    <r>
      <rPr>
        <sz val="12"/>
        <color indexed="8"/>
        <rFont val="標楷體"/>
        <family val="4"/>
        <charset val="136"/>
      </rPr>
      <t>。</t>
    </r>
    <phoneticPr fontId="3" type="noConversion"/>
  </si>
  <si>
    <r>
      <rPr>
        <vertAlign val="superscript"/>
        <sz val="12"/>
        <color rgb="FF000000"/>
        <rFont val="Times New Roman"/>
        <family val="1"/>
      </rPr>
      <t>2</t>
    </r>
    <r>
      <rPr>
        <sz val="12"/>
        <color rgb="FF000000"/>
        <rFont val="標楷體"/>
        <family val="4"/>
        <charset val="136"/>
      </rPr>
      <t>細菌性中毒件數及患者數小計，為扣除重複計數之值。</t>
    </r>
    <phoneticPr fontId="3" type="noConversion"/>
  </si>
  <si>
    <r>
      <rPr>
        <vertAlign val="superscript"/>
        <sz val="12"/>
        <color rgb="FF000000"/>
        <rFont val="Times New Roman"/>
        <family val="1"/>
      </rPr>
      <t>4</t>
    </r>
    <r>
      <rPr>
        <sz val="12"/>
        <color indexed="8"/>
        <rFont val="標楷體"/>
        <family val="4"/>
        <charset val="136"/>
      </rPr>
      <t>為諾羅病毒</t>
    </r>
    <r>
      <rPr>
        <sz val="12"/>
        <color indexed="8"/>
        <rFont val="Times New Roman"/>
        <family val="1"/>
      </rPr>
      <t>64</t>
    </r>
    <r>
      <rPr>
        <sz val="12"/>
        <color indexed="8"/>
        <rFont val="標楷體"/>
        <family val="4"/>
        <charset val="136"/>
      </rPr>
      <t>件</t>
    </r>
    <r>
      <rPr>
        <sz val="12"/>
        <color indexed="8"/>
        <rFont val="Times New Roman"/>
        <family val="1"/>
      </rPr>
      <t>(</t>
    </r>
    <r>
      <rPr>
        <sz val="12"/>
        <color indexed="8"/>
        <rFont val="標楷體"/>
        <family val="4"/>
        <charset val="136"/>
      </rPr>
      <t>患者</t>
    </r>
    <r>
      <rPr>
        <sz val="12"/>
        <color indexed="8"/>
        <rFont val="Times New Roman"/>
        <family val="1"/>
      </rPr>
      <t>1653</t>
    </r>
    <r>
      <rPr>
        <sz val="12"/>
        <color indexed="8"/>
        <rFont val="標楷體"/>
        <family val="4"/>
        <charset val="136"/>
      </rPr>
      <t>人</t>
    </r>
    <r>
      <rPr>
        <sz val="12"/>
        <color indexed="8"/>
        <rFont val="Times New Roman"/>
        <family val="1"/>
      </rPr>
      <t>)</t>
    </r>
    <r>
      <rPr>
        <sz val="12"/>
        <color indexed="8"/>
        <rFont val="標楷體"/>
        <family val="4"/>
        <charset val="136"/>
      </rPr>
      <t>及輪狀病毒</t>
    </r>
    <r>
      <rPr>
        <sz val="12"/>
        <color indexed="8"/>
        <rFont val="Times New Roman"/>
        <family val="1"/>
      </rPr>
      <t>3</t>
    </r>
    <r>
      <rPr>
        <sz val="12"/>
        <color indexed="8"/>
        <rFont val="標楷體"/>
        <family val="4"/>
        <charset val="136"/>
      </rPr>
      <t>件</t>
    </r>
    <r>
      <rPr>
        <sz val="12"/>
        <color indexed="8"/>
        <rFont val="Times New Roman"/>
        <family val="1"/>
      </rPr>
      <t>(</t>
    </r>
    <r>
      <rPr>
        <sz val="12"/>
        <color indexed="8"/>
        <rFont val="標楷體"/>
        <family val="4"/>
        <charset val="136"/>
      </rPr>
      <t>患者</t>
    </r>
    <r>
      <rPr>
        <sz val="12"/>
        <color indexed="8"/>
        <rFont val="Times New Roman"/>
        <family val="1"/>
      </rPr>
      <t>31</t>
    </r>
    <r>
      <rPr>
        <sz val="12"/>
        <color indexed="8"/>
        <rFont val="標楷體"/>
        <family val="4"/>
        <charset val="136"/>
      </rPr>
      <t>人</t>
    </r>
    <r>
      <rPr>
        <sz val="12"/>
        <color indexed="8"/>
        <rFont val="Times New Roman"/>
        <family val="1"/>
      </rPr>
      <t>)</t>
    </r>
    <phoneticPr fontId="3" type="noConversion"/>
  </si>
  <si>
    <r>
      <t xml:space="preserve">  3</t>
    </r>
    <r>
      <rPr>
        <sz val="12"/>
        <color rgb="FF000000"/>
        <rFont val="標楷體"/>
        <family val="4"/>
        <charset val="136"/>
      </rPr>
      <t>種細菌共同引起之案件共有</t>
    </r>
    <r>
      <rPr>
        <sz val="12"/>
        <color rgb="FF000000"/>
        <rFont val="Times New Roman"/>
        <family val="1"/>
      </rPr>
      <t>1</t>
    </r>
    <r>
      <rPr>
        <sz val="12"/>
        <color rgb="FF000000"/>
        <rFont val="標楷體"/>
        <family val="4"/>
        <charset val="136"/>
      </rPr>
      <t>件，患者數共</t>
    </r>
    <r>
      <rPr>
        <sz val="12"/>
        <color rgb="FF000000"/>
        <rFont val="Times New Roman"/>
        <family val="1"/>
      </rPr>
      <t>43</t>
    </r>
    <r>
      <rPr>
        <sz val="12"/>
        <color rgb="FF000000"/>
        <rFont val="標楷體"/>
        <family val="4"/>
        <charset val="136"/>
      </rPr>
      <t>人。</t>
    </r>
  </si>
  <si>
    <r>
      <t xml:space="preserve">  </t>
    </r>
    <r>
      <rPr>
        <sz val="12"/>
        <color rgb="FF000000"/>
        <rFont val="標楷體"/>
        <family val="4"/>
        <charset val="136"/>
      </rPr>
      <t>細菌與病毒共同引起之案件有</t>
    </r>
    <r>
      <rPr>
        <sz val="12"/>
        <color rgb="FF000000"/>
        <rFont val="Times New Roman"/>
        <family val="1"/>
      </rPr>
      <t>9</t>
    </r>
    <r>
      <rPr>
        <sz val="12"/>
        <color rgb="FF000000"/>
        <rFont val="標楷體"/>
        <family val="4"/>
        <charset val="136"/>
      </rPr>
      <t>件，患者數共</t>
    </r>
    <r>
      <rPr>
        <sz val="12"/>
        <color rgb="FF000000"/>
        <rFont val="Times New Roman"/>
        <family val="1"/>
      </rPr>
      <t>196</t>
    </r>
    <r>
      <rPr>
        <sz val="12"/>
        <color rgb="FF000000"/>
        <rFont val="標楷體"/>
        <family val="4"/>
        <charset val="136"/>
      </rPr>
      <t>人。</t>
    </r>
  </si>
  <si>
    <r>
      <t xml:space="preserve">  2</t>
    </r>
    <r>
      <rPr>
        <sz val="12"/>
        <color rgb="FF000000"/>
        <rFont val="標楷體"/>
        <family val="4"/>
        <charset val="136"/>
      </rPr>
      <t>種細菌共同引起之案件共有</t>
    </r>
    <r>
      <rPr>
        <sz val="12"/>
        <color rgb="FF000000"/>
        <rFont val="Times New Roman"/>
        <family val="1"/>
      </rPr>
      <t>3</t>
    </r>
    <r>
      <rPr>
        <sz val="12"/>
        <color rgb="FF000000"/>
        <rFont val="標楷體"/>
        <family val="4"/>
        <charset val="136"/>
      </rPr>
      <t>件，患者數共</t>
    </r>
    <r>
      <rPr>
        <sz val="12"/>
        <color rgb="FF000000"/>
        <rFont val="Times New Roman"/>
        <family val="1"/>
      </rPr>
      <t>55</t>
    </r>
    <r>
      <rPr>
        <sz val="12"/>
        <color rgb="FF000000"/>
        <rFont val="標楷體"/>
        <family val="4"/>
        <charset val="136"/>
      </rPr>
      <t>人。</t>
    </r>
    <phoneticPr fontId="3" type="noConversion"/>
  </si>
  <si>
    <r>
      <rPr>
        <vertAlign val="superscript"/>
        <sz val="12"/>
        <color rgb="FF000000"/>
        <rFont val="Times New Roman"/>
        <family val="1"/>
      </rPr>
      <t>2</t>
    </r>
    <r>
      <rPr>
        <sz val="12"/>
        <color indexed="8"/>
        <rFont val="標楷體"/>
        <family val="4"/>
        <charset val="136"/>
      </rPr>
      <t>為霍亂弧菌。</t>
    </r>
    <phoneticPr fontId="3" type="noConversion"/>
  </si>
  <si>
    <r>
      <rPr>
        <vertAlign val="superscript"/>
        <sz val="12"/>
        <color rgb="FF000000"/>
        <rFont val="Times New Roman"/>
        <family val="1"/>
      </rPr>
      <t>3</t>
    </r>
    <r>
      <rPr>
        <sz val="12"/>
        <color indexed="8"/>
        <rFont val="標楷體"/>
        <family val="4"/>
        <charset val="136"/>
      </rPr>
      <t>為過氧化氫。</t>
    </r>
    <phoneticPr fontId="3" type="noConversion"/>
  </si>
  <si>
    <r>
      <rPr>
        <vertAlign val="superscript"/>
        <sz val="12"/>
        <color rgb="FF000000"/>
        <rFont val="Times New Roman"/>
        <family val="1"/>
      </rPr>
      <t>4</t>
    </r>
    <r>
      <rPr>
        <sz val="12"/>
        <color indexed="8"/>
        <rFont val="標楷體"/>
        <family val="4"/>
        <charset val="136"/>
      </rPr>
      <t>為熱帶性海魚毒。</t>
    </r>
    <phoneticPr fontId="3" type="noConversion"/>
  </si>
  <si>
    <r>
      <rPr>
        <vertAlign val="superscript"/>
        <sz val="12"/>
        <color rgb="FF000000"/>
        <rFont val="Times New Roman"/>
        <family val="1"/>
      </rPr>
      <t>5</t>
    </r>
    <r>
      <rPr>
        <sz val="12"/>
        <color indexed="8"/>
        <rFont val="標楷體"/>
        <family val="4"/>
        <charset val="136"/>
      </rPr>
      <t>為諾羅病毒。</t>
    </r>
    <phoneticPr fontId="3" type="noConversion"/>
  </si>
  <si>
    <r>
      <rPr>
        <vertAlign val="superscript"/>
        <sz val="12"/>
        <color rgb="FF000000"/>
        <rFont val="Times New Roman"/>
        <family val="1"/>
      </rPr>
      <t>1</t>
    </r>
    <r>
      <rPr>
        <sz val="12"/>
        <color indexed="8"/>
        <rFont val="標楷體"/>
        <family val="4"/>
        <charset val="136"/>
      </rPr>
      <t>細菌性中毒件數及患者數小計，為扣除重複計數之值。</t>
    </r>
    <r>
      <rPr>
        <sz val="12"/>
        <color indexed="8"/>
        <rFont val="Times New Roman"/>
        <family val="1"/>
      </rPr>
      <t>(2</t>
    </r>
    <r>
      <rPr>
        <sz val="12"/>
        <color indexed="8"/>
        <rFont val="標楷體"/>
        <family val="4"/>
        <charset val="136"/>
      </rPr>
      <t>種細菌共同引起之案件共有</t>
    </r>
    <r>
      <rPr>
        <sz val="12"/>
        <color indexed="8"/>
        <rFont val="Times New Roman"/>
        <family val="1"/>
      </rPr>
      <t>6</t>
    </r>
    <r>
      <rPr>
        <sz val="12"/>
        <color indexed="8"/>
        <rFont val="標楷體"/>
        <family val="4"/>
        <charset val="136"/>
      </rPr>
      <t>件，患者數共</t>
    </r>
    <r>
      <rPr>
        <sz val="12"/>
        <color indexed="8"/>
        <rFont val="Times New Roman"/>
        <family val="1"/>
      </rPr>
      <t>213</t>
    </r>
    <r>
      <rPr>
        <sz val="12"/>
        <color indexed="8"/>
        <rFont val="標楷體"/>
        <family val="4"/>
        <charset val="136"/>
      </rPr>
      <t>人</t>
    </r>
    <r>
      <rPr>
        <sz val="12"/>
        <color indexed="8"/>
        <rFont val="Times New Roman"/>
        <family val="1"/>
      </rPr>
      <t>)</t>
    </r>
    <phoneticPr fontId="3" type="noConversion"/>
  </si>
  <si>
    <r>
      <rPr>
        <vertAlign val="superscript"/>
        <sz val="12"/>
        <color rgb="FF000000"/>
        <rFont val="Times New Roman"/>
        <family val="1"/>
      </rPr>
      <t>2</t>
    </r>
    <r>
      <rPr>
        <sz val="12"/>
        <color indexed="8"/>
        <rFont val="標楷體"/>
        <family val="4"/>
        <charset val="136"/>
      </rPr>
      <t>包括霍亂弧菌</t>
    </r>
    <r>
      <rPr>
        <sz val="12"/>
        <color indexed="8"/>
        <rFont val="Times New Roman"/>
        <family val="1"/>
      </rPr>
      <t>3</t>
    </r>
    <r>
      <rPr>
        <sz val="12"/>
        <color indexed="8"/>
        <rFont val="標楷體"/>
        <family val="4"/>
        <charset val="136"/>
      </rPr>
      <t>件</t>
    </r>
    <r>
      <rPr>
        <sz val="12"/>
        <color indexed="8"/>
        <rFont val="Times New Roman"/>
        <family val="1"/>
      </rPr>
      <t>(</t>
    </r>
    <r>
      <rPr>
        <sz val="12"/>
        <color indexed="8"/>
        <rFont val="標楷體"/>
        <family val="4"/>
        <charset val="136"/>
      </rPr>
      <t>患者數</t>
    </r>
    <r>
      <rPr>
        <sz val="12"/>
        <color indexed="8"/>
        <rFont val="Times New Roman"/>
        <family val="1"/>
      </rPr>
      <t>48</t>
    </r>
    <r>
      <rPr>
        <sz val="12"/>
        <color indexed="8"/>
        <rFont val="標楷體"/>
        <family val="4"/>
        <charset val="136"/>
      </rPr>
      <t>人</t>
    </r>
    <r>
      <rPr>
        <sz val="12"/>
        <color indexed="8"/>
        <rFont val="Times New Roman"/>
        <family val="1"/>
      </rPr>
      <t>)</t>
    </r>
    <r>
      <rPr>
        <sz val="12"/>
        <color indexed="8"/>
        <rFont val="標楷體"/>
        <family val="4"/>
        <charset val="136"/>
      </rPr>
      <t>及志賀氏桿菌</t>
    </r>
    <r>
      <rPr>
        <sz val="12"/>
        <color indexed="8"/>
        <rFont val="Times New Roman"/>
        <family val="1"/>
      </rPr>
      <t>1</t>
    </r>
    <r>
      <rPr>
        <sz val="12"/>
        <color indexed="8"/>
        <rFont val="標楷體"/>
        <family val="4"/>
        <charset val="136"/>
      </rPr>
      <t>件</t>
    </r>
    <r>
      <rPr>
        <sz val="12"/>
        <color indexed="8"/>
        <rFont val="Times New Roman"/>
        <family val="1"/>
      </rPr>
      <t>(</t>
    </r>
    <r>
      <rPr>
        <sz val="12"/>
        <color indexed="8"/>
        <rFont val="標楷體"/>
        <family val="4"/>
        <charset val="136"/>
      </rPr>
      <t>患者數</t>
    </r>
    <r>
      <rPr>
        <sz val="12"/>
        <color indexed="8"/>
        <rFont val="Times New Roman"/>
        <family val="1"/>
      </rPr>
      <t>5</t>
    </r>
    <r>
      <rPr>
        <sz val="12"/>
        <color indexed="8"/>
        <rFont val="標楷體"/>
        <family val="4"/>
        <charset val="136"/>
      </rPr>
      <t>人</t>
    </r>
    <r>
      <rPr>
        <sz val="12"/>
        <color indexed="8"/>
        <rFont val="Times New Roman"/>
        <family val="1"/>
      </rPr>
      <t>)</t>
    </r>
    <r>
      <rPr>
        <sz val="12"/>
        <color indexed="8"/>
        <rFont val="標楷體"/>
        <family val="4"/>
        <charset val="136"/>
      </rPr>
      <t>。</t>
    </r>
    <phoneticPr fontId="3" type="noConversion"/>
  </si>
  <si>
    <r>
      <rPr>
        <vertAlign val="superscript"/>
        <sz val="12"/>
        <color rgb="FF000000"/>
        <rFont val="Times New Roman"/>
        <family val="1"/>
      </rPr>
      <t>1</t>
    </r>
    <r>
      <rPr>
        <sz val="12"/>
        <color indexed="8"/>
        <rFont val="標楷體"/>
        <family val="4"/>
        <charset val="136"/>
      </rPr>
      <t>病因物質判明件數及患者數合計，為扣除重複計數之值。</t>
    </r>
    <phoneticPr fontId="3" type="noConversion"/>
  </si>
  <si>
    <r>
      <rPr>
        <vertAlign val="superscript"/>
        <sz val="12"/>
        <color rgb="FF000000"/>
        <rFont val="Times New Roman"/>
        <family val="1"/>
      </rPr>
      <t>2</t>
    </r>
    <r>
      <rPr>
        <sz val="12"/>
        <color indexed="8"/>
        <rFont val="標楷體"/>
        <family val="4"/>
        <charset val="136"/>
      </rPr>
      <t>細菌性中毒件數及患者數小計，為扣除重複計數之值。</t>
    </r>
    <phoneticPr fontId="3" type="noConversion"/>
  </si>
  <si>
    <r>
      <rPr>
        <vertAlign val="superscript"/>
        <sz val="12"/>
        <color rgb="FF000000"/>
        <rFont val="Times New Roman"/>
        <family val="1"/>
      </rPr>
      <t>3</t>
    </r>
    <r>
      <rPr>
        <sz val="12"/>
        <color indexed="8"/>
        <rFont val="標楷體"/>
        <family val="4"/>
        <charset val="136"/>
      </rPr>
      <t>為霍亂弧菌。</t>
    </r>
    <phoneticPr fontId="3" type="noConversion"/>
  </si>
  <si>
    <r>
      <rPr>
        <vertAlign val="superscript"/>
        <sz val="12"/>
        <color rgb="FF000000"/>
        <rFont val="Times New Roman"/>
        <family val="1"/>
      </rPr>
      <t>4</t>
    </r>
    <r>
      <rPr>
        <sz val="12"/>
        <color indexed="8"/>
        <rFont val="標楷體"/>
        <family val="4"/>
        <charset val="136"/>
      </rPr>
      <t>為亞硝酸鹽。</t>
    </r>
    <phoneticPr fontId="3" type="noConversion"/>
  </si>
  <si>
    <r>
      <rPr>
        <vertAlign val="superscript"/>
        <sz val="12"/>
        <color rgb="FF000000"/>
        <rFont val="Times New Roman"/>
        <family val="1"/>
      </rPr>
      <t>1</t>
    </r>
    <r>
      <rPr>
        <sz val="12"/>
        <color rgb="FF000000"/>
        <rFont val="標楷體"/>
        <family val="4"/>
        <charset val="136"/>
      </rPr>
      <t>病因物質判明件數及患者數合計，為扣除重複計數之值。</t>
    </r>
    <phoneticPr fontId="3" type="noConversion"/>
  </si>
  <si>
    <r>
      <rPr>
        <vertAlign val="superscript"/>
        <sz val="12"/>
        <color rgb="FF000000"/>
        <rFont val="Times New Roman"/>
        <family val="1"/>
      </rPr>
      <t>3</t>
    </r>
    <r>
      <rPr>
        <sz val="12"/>
        <color rgb="FF000000"/>
        <rFont val="標楷體"/>
        <family val="4"/>
        <charset val="136"/>
      </rPr>
      <t>為霍亂弧菌</t>
    </r>
    <phoneticPr fontId="3" type="noConversion"/>
  </si>
  <si>
    <r>
      <rPr>
        <vertAlign val="superscript"/>
        <sz val="12"/>
        <color rgb="FF000000"/>
        <rFont val="Times New Roman"/>
        <family val="1"/>
      </rPr>
      <t>4</t>
    </r>
    <r>
      <rPr>
        <sz val="12"/>
        <color rgb="FF000000"/>
        <rFont val="標楷體"/>
        <family val="4"/>
        <charset val="136"/>
      </rPr>
      <t>為過氧化氫</t>
    </r>
    <phoneticPr fontId="3" type="noConversion"/>
  </si>
  <si>
    <r>
      <rPr>
        <vertAlign val="superscript"/>
        <sz val="12"/>
        <color rgb="FF000000"/>
        <rFont val="Times New Roman"/>
        <family val="1"/>
      </rPr>
      <t>5</t>
    </r>
    <r>
      <rPr>
        <sz val="12"/>
        <color rgb="FF000000"/>
        <rFont val="標楷體"/>
        <family val="4"/>
        <charset val="136"/>
      </rPr>
      <t>為熱帶性海魚毒</t>
    </r>
    <phoneticPr fontId="3" type="noConversion"/>
  </si>
  <si>
    <r>
      <rPr>
        <vertAlign val="superscript"/>
        <sz val="12"/>
        <color rgb="FF000000"/>
        <rFont val="Times New Roman"/>
        <family val="1"/>
      </rPr>
      <t>6</t>
    </r>
    <r>
      <rPr>
        <sz val="12"/>
        <color rgb="FF000000"/>
        <rFont val="標楷體"/>
        <family val="4"/>
        <charset val="136"/>
      </rPr>
      <t>為諾羅病毒</t>
    </r>
    <phoneticPr fontId="3" type="noConversion"/>
  </si>
  <si>
    <r>
      <rPr>
        <vertAlign val="superscript"/>
        <sz val="12"/>
        <color rgb="FF000000"/>
        <rFont val="Times New Roman"/>
        <family val="1"/>
      </rPr>
      <t>4</t>
    </r>
    <r>
      <rPr>
        <sz val="12"/>
        <color indexed="8"/>
        <rFont val="標楷體"/>
        <family val="4"/>
        <charset val="136"/>
      </rPr>
      <t>為諾羅病毒。</t>
    </r>
    <phoneticPr fontId="3" type="noConversion"/>
  </si>
  <si>
    <r>
      <t>1</t>
    </r>
    <r>
      <rPr>
        <sz val="12"/>
        <color rgb="FF000000"/>
        <rFont val="標楷體"/>
        <family val="4"/>
        <charset val="136"/>
      </rPr>
      <t>種細菌和組織胺共同引起之案件有</t>
    </r>
    <r>
      <rPr>
        <sz val="12"/>
        <color rgb="FF000000"/>
        <rFont val="Times New Roman"/>
        <family val="1"/>
      </rPr>
      <t xml:space="preserve">1 </t>
    </r>
    <r>
      <rPr>
        <sz val="12"/>
        <color rgb="FF000000"/>
        <rFont val="標楷體"/>
        <family val="4"/>
        <charset val="136"/>
      </rPr>
      <t>件，患者數</t>
    </r>
    <r>
      <rPr>
        <sz val="12"/>
        <color rgb="FF000000"/>
        <rFont val="Times New Roman"/>
        <family val="1"/>
      </rPr>
      <t xml:space="preserve">42 </t>
    </r>
    <r>
      <rPr>
        <sz val="12"/>
        <color rgb="FF000000"/>
        <rFont val="標楷體"/>
        <family val="4"/>
        <charset val="136"/>
      </rPr>
      <t>人。</t>
    </r>
    <phoneticPr fontId="3" type="noConversion"/>
  </si>
  <si>
    <r>
      <t>1</t>
    </r>
    <r>
      <rPr>
        <sz val="12"/>
        <color rgb="FF000000"/>
        <rFont val="標楷體"/>
        <family val="4"/>
        <charset val="136"/>
      </rPr>
      <t>種細菌和諾羅病毒共同引起之案件有</t>
    </r>
    <r>
      <rPr>
        <sz val="12"/>
        <color rgb="FF000000"/>
        <rFont val="Times New Roman"/>
        <family val="1"/>
      </rPr>
      <t xml:space="preserve">8 </t>
    </r>
    <r>
      <rPr>
        <sz val="12"/>
        <color rgb="FF000000"/>
        <rFont val="標楷體"/>
        <family val="4"/>
        <charset val="136"/>
      </rPr>
      <t>件，患者數</t>
    </r>
    <r>
      <rPr>
        <sz val="12"/>
        <color rgb="FF000000"/>
        <rFont val="Times New Roman"/>
        <family val="1"/>
      </rPr>
      <t xml:space="preserve">174 </t>
    </r>
    <r>
      <rPr>
        <sz val="12"/>
        <color rgb="FF000000"/>
        <rFont val="標楷體"/>
        <family val="4"/>
        <charset val="136"/>
      </rPr>
      <t>人。</t>
    </r>
    <phoneticPr fontId="3" type="noConversion"/>
  </si>
  <si>
    <r>
      <t>2</t>
    </r>
    <r>
      <rPr>
        <sz val="12"/>
        <color rgb="FF000000"/>
        <rFont val="標楷體"/>
        <family val="4"/>
        <charset val="136"/>
      </rPr>
      <t>種細菌和諾羅病毒共同引起之案件有</t>
    </r>
    <r>
      <rPr>
        <sz val="12"/>
        <color rgb="FF000000"/>
        <rFont val="Times New Roman"/>
        <family val="1"/>
      </rPr>
      <t xml:space="preserve">2 </t>
    </r>
    <r>
      <rPr>
        <sz val="12"/>
        <color rgb="FF000000"/>
        <rFont val="標楷體"/>
        <family val="4"/>
        <charset val="136"/>
      </rPr>
      <t>件，患者數</t>
    </r>
    <r>
      <rPr>
        <sz val="12"/>
        <color rgb="FF000000"/>
        <rFont val="Times New Roman"/>
        <family val="1"/>
      </rPr>
      <t xml:space="preserve">314 </t>
    </r>
    <r>
      <rPr>
        <sz val="12"/>
        <color rgb="FF000000"/>
        <rFont val="標楷體"/>
        <family val="4"/>
        <charset val="136"/>
      </rPr>
      <t>人。</t>
    </r>
    <phoneticPr fontId="3" type="noConversion"/>
  </si>
  <si>
    <r>
      <t>2</t>
    </r>
    <r>
      <rPr>
        <sz val="12"/>
        <color rgb="FF000000"/>
        <rFont val="標楷體"/>
        <family val="4"/>
        <charset val="136"/>
      </rPr>
      <t>種細菌共同引起之案件共有</t>
    </r>
    <r>
      <rPr>
        <sz val="12"/>
        <color rgb="FF000000"/>
        <rFont val="Times New Roman"/>
        <family val="1"/>
      </rPr>
      <t xml:space="preserve">20 </t>
    </r>
    <r>
      <rPr>
        <sz val="12"/>
        <color rgb="FF000000"/>
        <rFont val="標楷體"/>
        <family val="4"/>
        <charset val="136"/>
      </rPr>
      <t>件，患者數共</t>
    </r>
    <r>
      <rPr>
        <sz val="12"/>
        <color rgb="FF000000"/>
        <rFont val="Times New Roman"/>
        <family val="1"/>
      </rPr>
      <t xml:space="preserve">848 </t>
    </r>
    <r>
      <rPr>
        <sz val="12"/>
        <color rgb="FF000000"/>
        <rFont val="標楷體"/>
        <family val="4"/>
        <charset val="136"/>
      </rPr>
      <t>人。</t>
    </r>
    <phoneticPr fontId="3" type="noConversion"/>
  </si>
  <si>
    <r>
      <t>3</t>
    </r>
    <r>
      <rPr>
        <sz val="12"/>
        <color rgb="FF000000"/>
        <rFont val="標楷體"/>
        <family val="4"/>
        <charset val="136"/>
      </rPr>
      <t>種細菌共同引起之案件共有</t>
    </r>
    <r>
      <rPr>
        <sz val="12"/>
        <color rgb="FF000000"/>
        <rFont val="Times New Roman"/>
        <family val="1"/>
      </rPr>
      <t xml:space="preserve">3 </t>
    </r>
    <r>
      <rPr>
        <sz val="12"/>
        <color rgb="FF000000"/>
        <rFont val="標楷體"/>
        <family val="4"/>
        <charset val="136"/>
      </rPr>
      <t>件，患者數共</t>
    </r>
    <r>
      <rPr>
        <sz val="12"/>
        <color rgb="FF000000"/>
        <rFont val="Times New Roman"/>
        <family val="1"/>
      </rPr>
      <t xml:space="preserve">25 </t>
    </r>
    <r>
      <rPr>
        <sz val="12"/>
        <color rgb="FF000000"/>
        <rFont val="標楷體"/>
        <family val="4"/>
        <charset val="136"/>
      </rPr>
      <t>人。</t>
    </r>
    <phoneticPr fontId="3" type="noConversion"/>
  </si>
  <si>
    <r>
      <t>1</t>
    </r>
    <r>
      <rPr>
        <sz val="12"/>
        <color indexed="8"/>
        <rFont val="標楷體"/>
        <family val="4"/>
        <charset val="136"/>
      </rPr>
      <t>病因物質判明合計，為扣除重複計數之值，細菌與病毒共同引起之案件共有</t>
    </r>
    <r>
      <rPr>
        <sz val="12"/>
        <color indexed="8"/>
        <rFont val="Times New Roman"/>
        <family val="1"/>
      </rPr>
      <t>29</t>
    </r>
    <r>
      <rPr>
        <sz val="12"/>
        <color indexed="8"/>
        <rFont val="標楷體"/>
        <family val="4"/>
        <charset val="136"/>
      </rPr>
      <t>案，患者數共</t>
    </r>
    <r>
      <rPr>
        <sz val="12"/>
        <color indexed="8"/>
        <rFont val="Times New Roman"/>
        <family val="1"/>
      </rPr>
      <t>989</t>
    </r>
    <r>
      <rPr>
        <sz val="12"/>
        <color indexed="8"/>
        <rFont val="標楷體"/>
        <family val="4"/>
        <charset val="136"/>
      </rPr>
      <t>人；細菌與天然毒共同引起之案件共有</t>
    </r>
    <r>
      <rPr>
        <sz val="12"/>
        <color indexed="8"/>
        <rFont val="Times New Roman"/>
        <family val="1"/>
      </rPr>
      <t>2</t>
    </r>
    <r>
      <rPr>
        <sz val="12"/>
        <color indexed="8"/>
        <rFont val="標楷體"/>
        <family val="4"/>
        <charset val="136"/>
      </rPr>
      <t>案，患者數共</t>
    </r>
    <r>
      <rPr>
        <sz val="12"/>
        <color indexed="8"/>
        <rFont val="Times New Roman"/>
        <family val="1"/>
      </rPr>
      <t>8</t>
    </r>
    <r>
      <rPr>
        <sz val="12"/>
        <color indexed="8"/>
        <rFont val="標楷體"/>
        <family val="4"/>
        <charset val="136"/>
      </rPr>
      <t>人；病毒與天
然毒共同引起之案件有</t>
    </r>
    <r>
      <rPr>
        <sz val="12"/>
        <color indexed="8"/>
        <rFont val="Times New Roman"/>
        <family val="1"/>
      </rPr>
      <t>1</t>
    </r>
    <r>
      <rPr>
        <sz val="12"/>
        <color indexed="8"/>
        <rFont val="標楷體"/>
        <family val="4"/>
        <charset val="136"/>
      </rPr>
      <t>案，患者數</t>
    </r>
    <r>
      <rPr>
        <sz val="12"/>
        <color indexed="8"/>
        <rFont val="Times New Roman"/>
        <family val="1"/>
      </rPr>
      <t>10</t>
    </r>
    <r>
      <rPr>
        <sz val="12"/>
        <color indexed="8"/>
        <rFont val="標楷體"/>
        <family val="4"/>
        <charset val="136"/>
      </rPr>
      <t>人</t>
    </r>
    <phoneticPr fontId="3" type="noConversion"/>
  </si>
  <si>
    <r>
      <t>1</t>
    </r>
    <r>
      <rPr>
        <sz val="12"/>
        <color rgb="FF000000"/>
        <rFont val="標楷體"/>
        <family val="4"/>
        <charset val="136"/>
      </rPr>
      <t>種細菌和過氧化氫共同引起之案件有</t>
    </r>
    <r>
      <rPr>
        <sz val="12"/>
        <color rgb="FF000000"/>
        <rFont val="Times New Roman"/>
        <family val="1"/>
      </rPr>
      <t xml:space="preserve">1 </t>
    </r>
    <r>
      <rPr>
        <sz val="12"/>
        <color rgb="FF000000"/>
        <rFont val="標楷體"/>
        <family val="4"/>
        <charset val="136"/>
      </rPr>
      <t>件，患者數</t>
    </r>
    <r>
      <rPr>
        <sz val="12"/>
        <color rgb="FF000000"/>
        <rFont val="Times New Roman"/>
        <family val="1"/>
      </rPr>
      <t xml:space="preserve">26 </t>
    </r>
    <r>
      <rPr>
        <sz val="12"/>
        <color rgb="FF000000"/>
        <rFont val="標楷體"/>
        <family val="4"/>
        <charset val="136"/>
      </rPr>
      <t>人。</t>
    </r>
    <phoneticPr fontId="3" type="noConversion"/>
  </si>
  <si>
    <r>
      <t>1</t>
    </r>
    <r>
      <rPr>
        <sz val="12"/>
        <color rgb="FF000000"/>
        <rFont val="標楷體"/>
        <family val="4"/>
        <charset val="136"/>
      </rPr>
      <t>種細菌和諾羅病毒共同引起之案件有</t>
    </r>
    <r>
      <rPr>
        <sz val="12"/>
        <color rgb="FF000000"/>
        <rFont val="Times New Roman"/>
        <family val="1"/>
      </rPr>
      <t xml:space="preserve">6 </t>
    </r>
    <r>
      <rPr>
        <sz val="12"/>
        <color rgb="FF000000"/>
        <rFont val="標楷體"/>
        <family val="4"/>
        <charset val="136"/>
      </rPr>
      <t>件，患者數</t>
    </r>
    <r>
      <rPr>
        <sz val="12"/>
        <color rgb="FF000000"/>
        <rFont val="Times New Roman"/>
        <family val="1"/>
      </rPr>
      <t xml:space="preserve">883 </t>
    </r>
    <r>
      <rPr>
        <sz val="12"/>
        <color rgb="FF000000"/>
        <rFont val="標楷體"/>
        <family val="4"/>
        <charset val="136"/>
      </rPr>
      <t>人。</t>
    </r>
    <phoneticPr fontId="3" type="noConversion"/>
  </si>
  <si>
    <r>
      <t>2</t>
    </r>
    <r>
      <rPr>
        <sz val="12"/>
        <color rgb="FF000000"/>
        <rFont val="標楷體"/>
        <family val="4"/>
        <charset val="136"/>
      </rPr>
      <t>種細菌和諾羅病毒共同引起之案件有</t>
    </r>
    <r>
      <rPr>
        <sz val="12"/>
        <color rgb="FF000000"/>
        <rFont val="Times New Roman"/>
        <family val="1"/>
      </rPr>
      <t xml:space="preserve">1 </t>
    </r>
    <r>
      <rPr>
        <sz val="12"/>
        <color rgb="FF000000"/>
        <rFont val="標楷體"/>
        <family val="4"/>
        <charset val="136"/>
      </rPr>
      <t>件，患者數</t>
    </r>
    <r>
      <rPr>
        <sz val="12"/>
        <color rgb="FF000000"/>
        <rFont val="Times New Roman"/>
        <family val="1"/>
      </rPr>
      <t xml:space="preserve">15 </t>
    </r>
    <r>
      <rPr>
        <sz val="12"/>
        <color rgb="FF000000"/>
        <rFont val="標楷體"/>
        <family val="4"/>
        <charset val="136"/>
      </rPr>
      <t>人。</t>
    </r>
    <phoneticPr fontId="3" type="noConversion"/>
  </si>
  <si>
    <r>
      <t>2</t>
    </r>
    <r>
      <rPr>
        <sz val="12"/>
        <color rgb="FF000000"/>
        <rFont val="標楷體"/>
        <family val="4"/>
        <charset val="136"/>
      </rPr>
      <t>種細菌共同引起之案件共有</t>
    </r>
    <r>
      <rPr>
        <sz val="12"/>
        <color rgb="FF000000"/>
        <rFont val="Times New Roman"/>
        <family val="1"/>
      </rPr>
      <t xml:space="preserve"> 17 </t>
    </r>
    <r>
      <rPr>
        <sz val="12"/>
        <color rgb="FF000000"/>
        <rFont val="標楷體"/>
        <family val="4"/>
        <charset val="136"/>
      </rPr>
      <t>件，患者數共</t>
    </r>
    <r>
      <rPr>
        <sz val="12"/>
        <color rgb="FF000000"/>
        <rFont val="Times New Roman"/>
        <family val="1"/>
      </rPr>
      <t xml:space="preserve"> 298 </t>
    </r>
    <r>
      <rPr>
        <sz val="12"/>
        <color rgb="FF000000"/>
        <rFont val="標楷體"/>
        <family val="4"/>
        <charset val="136"/>
      </rPr>
      <t>人</t>
    </r>
    <phoneticPr fontId="3" type="noConversion"/>
  </si>
  <si>
    <r>
      <rPr>
        <sz val="12"/>
        <color rgb="FF000000"/>
        <rFont val="標楷體"/>
        <family val="4"/>
        <charset val="136"/>
      </rPr>
      <t>　　　　　　　　　　　　　　　　　　中華民國</t>
    </r>
    <r>
      <rPr>
        <sz val="12"/>
        <color rgb="FF000000"/>
        <rFont val="Times New Roman"/>
        <family val="1"/>
      </rPr>
      <t>102</t>
    </r>
    <r>
      <rPr>
        <sz val="12"/>
        <color rgb="FF000000"/>
        <rFont val="標楷體"/>
        <family val="4"/>
        <charset val="136"/>
      </rPr>
      <t>年</t>
    </r>
  </si>
  <si>
    <r>
      <rPr>
        <sz val="12"/>
        <color rgb="FF000000"/>
        <rFont val="標楷體"/>
        <family val="4"/>
        <charset val="136"/>
      </rPr>
      <t>　　　　　　　　　　　　　　　　　　中華民國</t>
    </r>
    <r>
      <rPr>
        <sz val="12"/>
        <color indexed="8"/>
        <rFont val="Times New Roman"/>
        <family val="1"/>
      </rPr>
      <t>99</t>
    </r>
    <r>
      <rPr>
        <sz val="12"/>
        <color indexed="8"/>
        <rFont val="標楷體"/>
        <family val="4"/>
        <charset val="136"/>
      </rPr>
      <t>年</t>
    </r>
  </si>
  <si>
    <r>
      <rPr>
        <sz val="12"/>
        <color rgb="FF000000"/>
        <rFont val="標楷體"/>
        <family val="4"/>
        <charset val="136"/>
      </rPr>
      <t>　　　　　　　　　　　　　　　　　　中華民國</t>
    </r>
    <r>
      <rPr>
        <sz val="12"/>
        <color rgb="FF000000"/>
        <rFont val="Times New Roman"/>
        <family val="1"/>
      </rPr>
      <t>100</t>
    </r>
    <r>
      <rPr>
        <sz val="12"/>
        <color rgb="FF000000"/>
        <rFont val="標楷體"/>
        <family val="4"/>
        <charset val="136"/>
      </rPr>
      <t>年</t>
    </r>
  </si>
  <si>
    <r>
      <rPr>
        <sz val="12"/>
        <color rgb="FF000000"/>
        <rFont val="標楷體"/>
        <family val="4"/>
        <charset val="136"/>
      </rPr>
      <t>　　　　　　　　　　　　　　　　　　中華民國</t>
    </r>
    <r>
      <rPr>
        <sz val="12"/>
        <color rgb="FF000000"/>
        <rFont val="Times New Roman"/>
        <family val="1"/>
      </rPr>
      <t>101</t>
    </r>
    <r>
      <rPr>
        <sz val="12"/>
        <color rgb="FF000000"/>
        <rFont val="標楷體"/>
        <family val="4"/>
        <charset val="136"/>
      </rPr>
      <t>年</t>
    </r>
  </si>
  <si>
    <r>
      <rPr>
        <sz val="12"/>
        <color rgb="FF000000"/>
        <rFont val="標楷體"/>
        <family val="4"/>
        <charset val="136"/>
      </rPr>
      <t>　　　　　　　　　　　　　　　　　　中華民國</t>
    </r>
    <r>
      <rPr>
        <sz val="12"/>
        <color rgb="FF000000"/>
        <rFont val="Times New Roman"/>
        <family val="1"/>
      </rPr>
      <t>98</t>
    </r>
    <r>
      <rPr>
        <sz val="12"/>
        <color indexed="8"/>
        <rFont val="標楷體"/>
        <family val="4"/>
        <charset val="136"/>
      </rPr>
      <t>年</t>
    </r>
    <phoneticPr fontId="3" type="noConversion"/>
  </si>
  <si>
    <r>
      <rPr>
        <sz val="12"/>
        <color rgb="FF000000"/>
        <rFont val="標楷體"/>
        <family val="4"/>
        <charset val="136"/>
      </rPr>
      <t>　　　　　　　　　　　　　　　　　　中華民國</t>
    </r>
    <r>
      <rPr>
        <sz val="12"/>
        <color indexed="8"/>
        <rFont val="Times New Roman"/>
        <family val="1"/>
      </rPr>
      <t>97</t>
    </r>
    <r>
      <rPr>
        <sz val="12"/>
        <color indexed="8"/>
        <rFont val="標楷體"/>
        <family val="4"/>
        <charset val="136"/>
      </rPr>
      <t>年</t>
    </r>
    <phoneticPr fontId="3" type="noConversion"/>
  </si>
  <si>
    <r>
      <rPr>
        <sz val="12"/>
        <color rgb="FF000000"/>
        <rFont val="標楷體"/>
        <family val="4"/>
        <charset val="136"/>
      </rPr>
      <t>　　　　　　　　　　　　　　　　　　中華民國</t>
    </r>
    <r>
      <rPr>
        <sz val="12"/>
        <color rgb="FF000000"/>
        <rFont val="Times New Roman"/>
        <family val="1"/>
      </rPr>
      <t>96</t>
    </r>
    <r>
      <rPr>
        <sz val="12"/>
        <color rgb="FF000000"/>
        <rFont val="標楷體"/>
        <family val="4"/>
        <charset val="136"/>
      </rPr>
      <t>年</t>
    </r>
    <phoneticPr fontId="3" type="noConversion"/>
  </si>
  <si>
    <r>
      <rPr>
        <vertAlign val="superscript"/>
        <sz val="12"/>
        <rFont val="Times New Roman"/>
        <family val="1"/>
      </rPr>
      <t>1</t>
    </r>
    <r>
      <rPr>
        <sz val="12"/>
        <rFont val="標楷體"/>
        <family val="4"/>
        <charset val="136"/>
      </rPr>
      <t>病因物質判明合計，為扣除重複計數之值，細菌與病毒共同引起之案件共有</t>
    </r>
    <r>
      <rPr>
        <sz val="12"/>
        <rFont val="Times New Roman"/>
        <family val="1"/>
      </rPr>
      <t>9</t>
    </r>
    <r>
      <rPr>
        <sz val="12"/>
        <rFont val="標楷體"/>
        <family val="4"/>
        <charset val="136"/>
      </rPr>
      <t>案，患者數共</t>
    </r>
    <r>
      <rPr>
        <sz val="12"/>
        <rFont val="Times New Roman"/>
        <family val="1"/>
      </rPr>
      <t>134</t>
    </r>
    <r>
      <rPr>
        <sz val="12"/>
        <rFont val="標楷體"/>
        <family val="4"/>
        <charset val="136"/>
      </rPr>
      <t>人；細菌與天然毒共同引起之案件共有</t>
    </r>
    <r>
      <rPr>
        <sz val="12"/>
        <rFont val="Times New Roman"/>
        <family val="1"/>
      </rPr>
      <t>1</t>
    </r>
    <r>
      <rPr>
        <sz val="12"/>
        <rFont val="標楷體"/>
        <family val="4"/>
        <charset val="136"/>
      </rPr>
      <t>案，患者數共</t>
    </r>
    <r>
      <rPr>
        <sz val="12"/>
        <rFont val="Times New Roman"/>
        <family val="1"/>
      </rPr>
      <t>7</t>
    </r>
    <r>
      <rPr>
        <sz val="12"/>
        <rFont val="標楷體"/>
        <family val="4"/>
        <charset val="136"/>
      </rPr>
      <t>人；</t>
    </r>
    <r>
      <rPr>
        <sz val="12"/>
        <rFont val="Times New Roman"/>
        <family val="1"/>
      </rPr>
      <t>2</t>
    </r>
    <r>
      <rPr>
        <sz val="12"/>
        <rFont val="標楷體"/>
        <family val="4"/>
        <charset val="136"/>
      </rPr>
      <t>種病毒共
同引起之案件共有</t>
    </r>
    <r>
      <rPr>
        <sz val="12"/>
        <rFont val="Times New Roman"/>
        <family val="1"/>
      </rPr>
      <t>2</t>
    </r>
    <r>
      <rPr>
        <sz val="12"/>
        <rFont val="標楷體"/>
        <family val="4"/>
        <charset val="136"/>
      </rPr>
      <t>案，患者數共</t>
    </r>
    <r>
      <rPr>
        <sz val="12"/>
        <rFont val="Times New Roman"/>
        <family val="1"/>
      </rPr>
      <t>7</t>
    </r>
    <r>
      <rPr>
        <sz val="12"/>
        <rFont val="標楷體"/>
        <family val="4"/>
        <charset val="136"/>
      </rPr>
      <t>人。</t>
    </r>
    <phoneticPr fontId="10" type="noConversion"/>
  </si>
  <si>
    <r>
      <rPr>
        <sz val="14"/>
        <color rgb="FF000000"/>
        <rFont val="標楷體"/>
        <family val="4"/>
        <charset val="136"/>
      </rPr>
      <t>小計</t>
    </r>
    <r>
      <rPr>
        <vertAlign val="superscript"/>
        <sz val="14"/>
        <color indexed="8"/>
        <rFont val="Times New Roman"/>
        <family val="1"/>
      </rPr>
      <t>2</t>
    </r>
  </si>
  <si>
    <r>
      <rPr>
        <sz val="14"/>
        <color rgb="FF000000"/>
        <rFont val="標楷體"/>
        <family val="4"/>
        <charset val="136"/>
      </rPr>
      <t>其他</t>
    </r>
  </si>
  <si>
    <r>
      <rPr>
        <sz val="14"/>
        <color rgb="FF000000"/>
        <rFont val="標楷體"/>
        <family val="4"/>
        <charset val="136"/>
      </rPr>
      <t>其他病因物質</t>
    </r>
  </si>
  <si>
    <r>
      <rPr>
        <sz val="14"/>
        <color rgb="FF000000"/>
        <rFont val="標楷體"/>
        <family val="4"/>
        <charset val="136"/>
      </rPr>
      <t>病因物質判明合計</t>
    </r>
  </si>
  <si>
    <r>
      <rPr>
        <sz val="14"/>
        <color rgb="FF000000"/>
        <rFont val="標楷體"/>
        <family val="4"/>
        <charset val="136"/>
      </rPr>
      <t>細菌</t>
    </r>
  </si>
  <si>
    <r>
      <rPr>
        <sz val="14"/>
        <color rgb="FF000000"/>
        <rFont val="標楷體"/>
        <family val="4"/>
        <charset val="136"/>
      </rPr>
      <t>腸炎弧菌</t>
    </r>
  </si>
  <si>
    <r>
      <rPr>
        <sz val="14"/>
        <color rgb="FF000000"/>
        <rFont val="標楷體"/>
        <family val="4"/>
        <charset val="136"/>
      </rPr>
      <t>沙門氏桿菌</t>
    </r>
  </si>
  <si>
    <r>
      <rPr>
        <sz val="14"/>
        <color rgb="FF000000"/>
        <rFont val="標楷體"/>
        <family val="4"/>
        <charset val="136"/>
      </rPr>
      <t>病原性大腸桿菌</t>
    </r>
  </si>
  <si>
    <r>
      <rPr>
        <sz val="14"/>
        <color rgb="FF000000"/>
        <rFont val="標楷體"/>
        <family val="4"/>
        <charset val="136"/>
      </rPr>
      <t>金黃色葡萄球菌</t>
    </r>
  </si>
  <si>
    <r>
      <rPr>
        <sz val="14"/>
        <color rgb="FF000000"/>
        <rFont val="標楷體"/>
        <family val="4"/>
        <charset val="136"/>
      </rPr>
      <t>仙人掌桿菌</t>
    </r>
  </si>
  <si>
    <r>
      <rPr>
        <sz val="14"/>
        <color rgb="FF000000"/>
        <rFont val="標楷體"/>
        <family val="4"/>
        <charset val="136"/>
      </rPr>
      <t>肉毒桿菌</t>
    </r>
  </si>
  <si>
    <r>
      <rPr>
        <sz val="14"/>
        <color rgb="FF000000"/>
        <rFont val="標楷體"/>
        <family val="4"/>
        <charset val="136"/>
      </rPr>
      <t>化學物質</t>
    </r>
  </si>
  <si>
    <r>
      <rPr>
        <sz val="14"/>
        <color rgb="FF000000"/>
        <rFont val="標楷體"/>
        <family val="4"/>
        <charset val="136"/>
      </rPr>
      <t>小計</t>
    </r>
  </si>
  <si>
    <r>
      <rPr>
        <sz val="14"/>
        <color rgb="FF000000"/>
        <rFont val="標楷體"/>
        <family val="4"/>
        <charset val="136"/>
      </rPr>
      <t>農藥</t>
    </r>
  </si>
  <si>
    <r>
      <rPr>
        <sz val="14"/>
        <color rgb="FF000000"/>
        <rFont val="標楷體"/>
        <family val="4"/>
        <charset val="136"/>
      </rPr>
      <t>重金屬</t>
    </r>
  </si>
  <si>
    <r>
      <rPr>
        <sz val="14"/>
        <color rgb="FF000000"/>
        <rFont val="標楷體"/>
        <family val="4"/>
        <charset val="136"/>
      </rPr>
      <t>天然毒</t>
    </r>
  </si>
  <si>
    <r>
      <rPr>
        <sz val="14"/>
        <color rgb="FF000000"/>
        <rFont val="標楷體"/>
        <family val="4"/>
        <charset val="136"/>
      </rPr>
      <t>植物性</t>
    </r>
  </si>
  <si>
    <r>
      <rPr>
        <sz val="14"/>
        <color rgb="FF000000"/>
        <rFont val="標楷體"/>
        <family val="4"/>
        <charset val="136"/>
      </rPr>
      <t>麻痺性貝毒</t>
    </r>
  </si>
  <si>
    <r>
      <rPr>
        <sz val="14"/>
        <color rgb="FF000000"/>
        <rFont val="標楷體"/>
        <family val="4"/>
        <charset val="136"/>
      </rPr>
      <t>河豚毒</t>
    </r>
  </si>
  <si>
    <r>
      <rPr>
        <sz val="14"/>
        <color rgb="FF000000"/>
        <rFont val="標楷體"/>
        <family val="4"/>
        <charset val="136"/>
      </rPr>
      <t>組織胺</t>
    </r>
  </si>
  <si>
    <r>
      <rPr>
        <sz val="14"/>
        <color rgb="FF000000"/>
        <rFont val="標楷體"/>
        <family val="4"/>
        <charset val="136"/>
      </rPr>
      <t>黴菌毒素</t>
    </r>
  </si>
  <si>
    <r>
      <rPr>
        <sz val="14"/>
        <color rgb="FF000000"/>
        <rFont val="標楷體"/>
        <family val="4"/>
        <charset val="136"/>
      </rPr>
      <t>病因物質不明合計</t>
    </r>
  </si>
  <si>
    <r>
      <rPr>
        <sz val="14"/>
        <color rgb="FF000000"/>
        <rFont val="標楷體"/>
        <family val="4"/>
        <charset val="136"/>
      </rPr>
      <t>未檢出</t>
    </r>
  </si>
  <si>
    <r>
      <rPr>
        <sz val="14"/>
        <color rgb="FF000000"/>
        <rFont val="標楷體"/>
        <family val="4"/>
        <charset val="136"/>
      </rPr>
      <t>無檢體</t>
    </r>
  </si>
  <si>
    <r>
      <rPr>
        <sz val="14"/>
        <color rgb="FF000000"/>
        <rFont val="標楷體"/>
        <family val="4"/>
        <charset val="136"/>
      </rPr>
      <t>其他</t>
    </r>
    <r>
      <rPr>
        <vertAlign val="superscript"/>
        <sz val="14"/>
        <color indexed="8"/>
        <rFont val="Times New Roman"/>
        <family val="1"/>
      </rPr>
      <t>3</t>
    </r>
  </si>
  <si>
    <r>
      <rPr>
        <sz val="14"/>
        <color rgb="FF000000"/>
        <rFont val="標楷體"/>
        <family val="4"/>
        <charset val="136"/>
      </rPr>
      <t>其他病因物質</t>
    </r>
    <r>
      <rPr>
        <vertAlign val="superscript"/>
        <sz val="14"/>
        <color indexed="8"/>
        <rFont val="Times New Roman"/>
        <family val="1"/>
      </rPr>
      <t>4</t>
    </r>
  </si>
  <si>
    <r>
      <rPr>
        <sz val="14"/>
        <color rgb="FF000000"/>
        <rFont val="標楷體"/>
        <family val="4"/>
        <charset val="136"/>
      </rPr>
      <t>其他</t>
    </r>
    <r>
      <rPr>
        <sz val="11"/>
        <color indexed="8"/>
        <rFont val="Times New Roman"/>
        <family val="1"/>
      </rPr>
      <t>4</t>
    </r>
  </si>
  <si>
    <r>
      <rPr>
        <sz val="14"/>
        <color rgb="FF000000"/>
        <rFont val="標楷體"/>
        <family val="4"/>
        <charset val="136"/>
      </rPr>
      <t>其他病因物質</t>
    </r>
    <r>
      <rPr>
        <vertAlign val="superscript"/>
        <sz val="14"/>
        <color indexed="8"/>
        <rFont val="Times New Roman"/>
        <family val="1"/>
      </rPr>
      <t>5</t>
    </r>
  </si>
  <si>
    <r>
      <rPr>
        <sz val="14"/>
        <color rgb="FF000000"/>
        <rFont val="標楷體"/>
        <family val="4"/>
        <charset val="136"/>
      </rPr>
      <t>小計</t>
    </r>
    <r>
      <rPr>
        <vertAlign val="superscript"/>
        <sz val="14"/>
        <color indexed="8"/>
        <rFont val="Times New Roman"/>
        <family val="1"/>
      </rPr>
      <t>1</t>
    </r>
  </si>
  <si>
    <r>
      <rPr>
        <sz val="14"/>
        <color rgb="FF000000"/>
        <rFont val="標楷體"/>
        <family val="4"/>
        <charset val="136"/>
      </rPr>
      <t>其他</t>
    </r>
    <r>
      <rPr>
        <vertAlign val="superscript"/>
        <sz val="14"/>
        <color indexed="8"/>
        <rFont val="Times New Roman"/>
        <family val="1"/>
      </rPr>
      <t>2</t>
    </r>
  </si>
  <si>
    <r>
      <rPr>
        <sz val="14"/>
        <color rgb="FF000000"/>
        <rFont val="標楷體"/>
        <family val="4"/>
        <charset val="136"/>
      </rPr>
      <t>其他</t>
    </r>
    <r>
      <rPr>
        <sz val="11"/>
        <color indexed="8"/>
        <rFont val="Times New Roman"/>
        <family val="1"/>
      </rPr>
      <t>3</t>
    </r>
  </si>
  <si>
    <r>
      <rPr>
        <sz val="14"/>
        <color rgb="FF000000"/>
        <rFont val="標楷體"/>
        <family val="4"/>
        <charset val="136"/>
      </rPr>
      <t>其他</t>
    </r>
    <r>
      <rPr>
        <vertAlign val="superscript"/>
        <sz val="14"/>
        <color rgb="FF000000"/>
        <rFont val="Times New Roman"/>
        <family val="1"/>
      </rPr>
      <t>4</t>
    </r>
    <phoneticPr fontId="3" type="noConversion"/>
  </si>
  <si>
    <r>
      <rPr>
        <sz val="14"/>
        <color rgb="FF000000"/>
        <rFont val="標楷體"/>
        <family val="4"/>
        <charset val="136"/>
      </rPr>
      <t>其他病因物質</t>
    </r>
    <r>
      <rPr>
        <vertAlign val="superscript"/>
        <sz val="14"/>
        <color indexed="8"/>
        <rFont val="Times New Roman"/>
        <family val="1"/>
      </rPr>
      <t>5</t>
    </r>
    <phoneticPr fontId="3" type="noConversion"/>
  </si>
  <si>
    <r>
      <rPr>
        <sz val="12"/>
        <color rgb="FF000000"/>
        <rFont val="標楷體"/>
        <family val="4"/>
        <charset val="136"/>
      </rPr>
      <t>資料來源：由本部食品藥物管理署依據直轄市政府衛生局及各縣市衛生局</t>
    </r>
    <r>
      <rPr>
        <sz val="12"/>
        <color indexed="8"/>
        <rFont val="Times New Roman"/>
        <family val="1"/>
      </rPr>
      <t>(</t>
    </r>
    <r>
      <rPr>
        <sz val="12"/>
        <color indexed="8"/>
        <rFont val="標楷體"/>
        <family val="4"/>
        <charset val="136"/>
      </rPr>
      <t>含金門、連江縣</t>
    </r>
    <r>
      <rPr>
        <sz val="12"/>
        <color indexed="8"/>
        <rFont val="Times New Roman"/>
        <family val="1"/>
      </rPr>
      <t>)</t>
    </r>
    <r>
      <rPr>
        <sz val="12"/>
        <color indexed="8"/>
        <rFont val="標楷體"/>
        <family val="4"/>
        <charset val="136"/>
      </rPr>
      <t>報送之食品中毒調查表資料彙整統計分析後填報。</t>
    </r>
  </si>
  <si>
    <r>
      <rPr>
        <sz val="12"/>
        <color rgb="FF000000"/>
        <rFont val="標楷體"/>
        <family val="4"/>
        <charset val="136"/>
      </rPr>
      <t>資料來源：由本部食品藥物管理署食品組依據直轄市政府衛生局及各縣市衛生局</t>
    </r>
    <r>
      <rPr>
        <sz val="12"/>
        <color rgb="FF000000"/>
        <rFont val="Times New Roman"/>
        <family val="1"/>
      </rPr>
      <t>(</t>
    </r>
    <r>
      <rPr>
        <sz val="12"/>
        <color rgb="FF000000"/>
        <rFont val="標楷體"/>
        <family val="4"/>
        <charset val="136"/>
      </rPr>
      <t>含金門、連江縣</t>
    </r>
    <r>
      <rPr>
        <sz val="12"/>
        <color rgb="FF000000"/>
        <rFont val="Times New Roman"/>
        <family val="1"/>
      </rPr>
      <t>)</t>
    </r>
    <r>
      <rPr>
        <sz val="12"/>
        <color rgb="FF000000"/>
        <rFont val="標楷體"/>
        <family val="4"/>
        <charset val="136"/>
      </rPr>
      <t>報送之食品中毒調查表資料彙整統計分析後填報。</t>
    </r>
  </si>
  <si>
    <r>
      <rPr>
        <sz val="14"/>
        <color rgb="FF000000"/>
        <rFont val="標楷體"/>
        <family val="4"/>
        <charset val="136"/>
      </rPr>
      <t>其他病因物質</t>
    </r>
    <phoneticPr fontId="3" type="noConversion"/>
  </si>
  <si>
    <r>
      <rPr>
        <sz val="12"/>
        <color rgb="FF000000"/>
        <rFont val="標楷體"/>
        <family val="4"/>
        <charset val="136"/>
      </rPr>
      <t>資料來源：由衛生福利部食品藥物管理署食品組依據直轄市政府衛生局及各縣市衛生局</t>
    </r>
    <r>
      <rPr>
        <sz val="12"/>
        <color rgb="FF000000"/>
        <rFont val="Times New Roman"/>
        <family val="1"/>
      </rPr>
      <t>(</t>
    </r>
    <r>
      <rPr>
        <sz val="12"/>
        <color rgb="FF000000"/>
        <rFont val="標楷體"/>
        <family val="4"/>
        <charset val="136"/>
      </rPr>
      <t>含金門、連江縣</t>
    </r>
    <r>
      <rPr>
        <sz val="12"/>
        <color rgb="FF000000"/>
        <rFont val="Times New Roman"/>
        <family val="1"/>
      </rPr>
      <t>)</t>
    </r>
    <r>
      <rPr>
        <sz val="12"/>
        <color rgb="FF000000"/>
        <rFont val="標楷體"/>
        <family val="4"/>
        <charset val="136"/>
      </rPr>
      <t>報送之食品中毒調查表資料彙整統計分析後填報。</t>
    </r>
    <phoneticPr fontId="3" type="noConversion"/>
  </si>
  <si>
    <r>
      <rPr>
        <sz val="12"/>
        <rFont val="標楷體"/>
        <family val="4"/>
        <charset val="136"/>
      </rPr>
      <t>資料來源：由本署食品藥物管理局食品組依據直轄市政府衛生局及各縣市衛生局</t>
    </r>
    <r>
      <rPr>
        <sz val="12"/>
        <rFont val="Times New Roman"/>
        <family val="1"/>
      </rPr>
      <t>(</t>
    </r>
    <r>
      <rPr>
        <sz val="12"/>
        <rFont val="標楷體"/>
        <family val="4"/>
        <charset val="136"/>
      </rPr>
      <t>含金門、連江縣</t>
    </r>
    <r>
      <rPr>
        <sz val="12"/>
        <rFont val="Times New Roman"/>
        <family val="1"/>
      </rPr>
      <t>)</t>
    </r>
    <r>
      <rPr>
        <sz val="12"/>
        <rFont val="標楷體"/>
        <family val="4"/>
        <charset val="136"/>
      </rPr>
      <t>報送之食品中毒調查表資料彙整統計分析後填報。</t>
    </r>
  </si>
  <si>
    <r>
      <rPr>
        <vertAlign val="superscript"/>
        <sz val="12"/>
        <color rgb="FF000000"/>
        <rFont val="Times New Roman"/>
        <family val="1"/>
      </rPr>
      <t>1</t>
    </r>
    <r>
      <rPr>
        <sz val="12"/>
        <color indexed="8"/>
        <rFont val="標楷體"/>
        <family val="4"/>
        <charset val="136"/>
      </rPr>
      <t>細菌性中毒件數及患者數小計，為扣除重複計數之值。</t>
    </r>
    <phoneticPr fontId="3" type="noConversion"/>
  </si>
  <si>
    <r>
      <rPr>
        <vertAlign val="superscript"/>
        <sz val="12"/>
        <color indexed="8"/>
        <rFont val="Times New Roman"/>
        <family val="1"/>
      </rPr>
      <t>1</t>
    </r>
    <r>
      <rPr>
        <sz val="12"/>
        <color indexed="8"/>
        <rFont val="標楷體"/>
        <family val="4"/>
        <charset val="136"/>
      </rPr>
      <t>病因物質判明合計，為扣除重複計數之值，細菌與病毒共同引起之案件共有</t>
    </r>
    <r>
      <rPr>
        <sz val="12"/>
        <color indexed="8"/>
        <rFont val="Times New Roman"/>
        <family val="1"/>
      </rPr>
      <t>10</t>
    </r>
    <r>
      <rPr>
        <sz val="12"/>
        <color indexed="8"/>
        <rFont val="標楷體"/>
        <family val="4"/>
        <charset val="136"/>
      </rPr>
      <t>案，患者數共</t>
    </r>
    <r>
      <rPr>
        <sz val="12"/>
        <color indexed="8"/>
        <rFont val="Times New Roman"/>
        <family val="1"/>
      </rPr>
      <t>140</t>
    </r>
    <r>
      <rPr>
        <sz val="12"/>
        <color indexed="8"/>
        <rFont val="標楷體"/>
        <family val="4"/>
        <charset val="136"/>
      </rPr>
      <t>人。</t>
    </r>
  </si>
  <si>
    <r>
      <rPr>
        <vertAlign val="superscript"/>
        <sz val="12"/>
        <color indexed="8"/>
        <rFont val="Times New Roman"/>
        <family val="1"/>
      </rPr>
      <t>2</t>
    </r>
    <r>
      <rPr>
        <sz val="12"/>
        <color indexed="8"/>
        <rFont val="標楷體"/>
        <family val="4"/>
        <charset val="136"/>
      </rPr>
      <t>細菌之小計，為扣除重複計數之值，</t>
    </r>
    <r>
      <rPr>
        <sz val="12"/>
        <color indexed="8"/>
        <rFont val="Times New Roman"/>
        <family val="1"/>
      </rPr>
      <t>2</t>
    </r>
    <r>
      <rPr>
        <sz val="12"/>
        <color indexed="8"/>
        <rFont val="標楷體"/>
        <family val="4"/>
        <charset val="136"/>
      </rPr>
      <t>種細菌共同引起之案件共有</t>
    </r>
    <r>
      <rPr>
        <sz val="12"/>
        <color indexed="8"/>
        <rFont val="Times New Roman"/>
        <family val="1"/>
      </rPr>
      <t>5</t>
    </r>
    <r>
      <rPr>
        <sz val="12"/>
        <color indexed="8"/>
        <rFont val="標楷體"/>
        <family val="4"/>
        <charset val="136"/>
      </rPr>
      <t>案，患者數共</t>
    </r>
    <r>
      <rPr>
        <sz val="12"/>
        <color indexed="8"/>
        <rFont val="Times New Roman"/>
        <family val="1"/>
      </rPr>
      <t>163</t>
    </r>
    <r>
      <rPr>
        <sz val="12"/>
        <color indexed="8"/>
        <rFont val="標楷體"/>
        <family val="4"/>
        <charset val="136"/>
      </rPr>
      <t>人。</t>
    </r>
  </si>
  <si>
    <r>
      <rPr>
        <vertAlign val="superscript"/>
        <sz val="12"/>
        <color indexed="8"/>
        <rFont val="Times New Roman"/>
        <family val="1"/>
      </rPr>
      <t>1</t>
    </r>
    <r>
      <rPr>
        <sz val="12"/>
        <color indexed="8"/>
        <rFont val="標楷體"/>
        <family val="4"/>
        <charset val="136"/>
      </rPr>
      <t>病因物質判明合計，為扣除重複計數之值，細菌與病毒共同引起之案件共有</t>
    </r>
    <r>
      <rPr>
        <sz val="12"/>
        <color indexed="8"/>
        <rFont val="Times New Roman"/>
        <family val="1"/>
      </rPr>
      <t>4</t>
    </r>
    <r>
      <rPr>
        <sz val="12"/>
        <color indexed="8"/>
        <rFont val="標楷體"/>
        <family val="4"/>
        <charset val="136"/>
      </rPr>
      <t>案，患者數共</t>
    </r>
    <r>
      <rPr>
        <sz val="12"/>
        <color indexed="8"/>
        <rFont val="Times New Roman"/>
        <family val="1"/>
      </rPr>
      <t>594</t>
    </r>
    <r>
      <rPr>
        <sz val="12"/>
        <color indexed="8"/>
        <rFont val="標楷體"/>
        <family val="4"/>
        <charset val="136"/>
      </rPr>
      <t>人。</t>
    </r>
  </si>
  <si>
    <r>
      <rPr>
        <vertAlign val="superscript"/>
        <sz val="12"/>
        <color indexed="8"/>
        <rFont val="Times New Roman"/>
        <family val="1"/>
      </rPr>
      <t>2</t>
    </r>
    <r>
      <rPr>
        <sz val="12"/>
        <color indexed="8"/>
        <rFont val="標楷體"/>
        <family val="4"/>
        <charset val="136"/>
      </rPr>
      <t>細菌之小計，為扣除重複計數之值，</t>
    </r>
    <r>
      <rPr>
        <sz val="12"/>
        <color indexed="8"/>
        <rFont val="Times New Roman"/>
        <family val="1"/>
      </rPr>
      <t>2</t>
    </r>
    <r>
      <rPr>
        <sz val="12"/>
        <color indexed="8"/>
        <rFont val="標楷體"/>
        <family val="4"/>
        <charset val="136"/>
      </rPr>
      <t>種細菌共同引起之案件共有</t>
    </r>
    <r>
      <rPr>
        <sz val="12"/>
        <color indexed="8"/>
        <rFont val="Times New Roman"/>
        <family val="1"/>
      </rPr>
      <t>6</t>
    </r>
    <r>
      <rPr>
        <sz val="12"/>
        <color indexed="8"/>
        <rFont val="標楷體"/>
        <family val="4"/>
        <charset val="136"/>
      </rPr>
      <t>案，患者數共</t>
    </r>
    <r>
      <rPr>
        <sz val="12"/>
        <color indexed="8"/>
        <rFont val="Times New Roman"/>
        <family val="1"/>
      </rPr>
      <t>562</t>
    </r>
    <r>
      <rPr>
        <sz val="12"/>
        <color indexed="8"/>
        <rFont val="標楷體"/>
        <family val="4"/>
        <charset val="136"/>
      </rPr>
      <t>人；</t>
    </r>
    <r>
      <rPr>
        <sz val="12"/>
        <color indexed="8"/>
        <rFont val="Times New Roman"/>
        <family val="1"/>
      </rPr>
      <t>3</t>
    </r>
    <r>
      <rPr>
        <sz val="12"/>
        <color indexed="8"/>
        <rFont val="標楷體"/>
        <family val="4"/>
        <charset val="136"/>
      </rPr>
      <t>種細菌共同引起之案件共有</t>
    </r>
    <r>
      <rPr>
        <sz val="12"/>
        <color indexed="8"/>
        <rFont val="Times New Roman"/>
        <family val="1"/>
      </rPr>
      <t>3</t>
    </r>
    <r>
      <rPr>
        <sz val="12"/>
        <color indexed="8"/>
        <rFont val="標楷體"/>
        <family val="4"/>
        <charset val="136"/>
      </rPr>
      <t>案，患者數共</t>
    </r>
    <r>
      <rPr>
        <sz val="12"/>
        <color indexed="8"/>
        <rFont val="Times New Roman"/>
        <family val="1"/>
      </rPr>
      <t>123</t>
    </r>
    <r>
      <rPr>
        <sz val="12"/>
        <color indexed="8"/>
        <rFont val="標楷體"/>
        <family val="4"/>
        <charset val="136"/>
      </rPr>
      <t>人。</t>
    </r>
  </si>
  <si>
    <r>
      <rPr>
        <vertAlign val="superscript"/>
        <sz val="12"/>
        <color indexed="8"/>
        <rFont val="Times New Roman"/>
        <family val="1"/>
      </rPr>
      <t>3</t>
    </r>
    <r>
      <rPr>
        <sz val="12"/>
        <color indexed="8"/>
        <rFont val="標楷體"/>
        <family val="4"/>
        <charset val="136"/>
      </rPr>
      <t>細菌之其他為產氣莢膜桿菌</t>
    </r>
    <r>
      <rPr>
        <sz val="12"/>
        <color indexed="8"/>
        <rFont val="Times New Roman"/>
        <family val="1"/>
      </rPr>
      <t>1</t>
    </r>
    <r>
      <rPr>
        <sz val="12"/>
        <color indexed="8"/>
        <rFont val="標楷體"/>
        <family val="4"/>
        <charset val="136"/>
      </rPr>
      <t>案，患者數共</t>
    </r>
    <r>
      <rPr>
        <sz val="12"/>
        <color indexed="8"/>
        <rFont val="Times New Roman"/>
        <family val="1"/>
      </rPr>
      <t>232</t>
    </r>
    <r>
      <rPr>
        <sz val="12"/>
        <color indexed="8"/>
        <rFont val="標楷體"/>
        <family val="4"/>
        <charset val="136"/>
      </rPr>
      <t>人。</t>
    </r>
  </si>
  <si>
    <r>
      <rPr>
        <sz val="12"/>
        <color indexed="8"/>
        <rFont val="標楷體"/>
        <family val="4"/>
        <charset val="136"/>
      </rPr>
      <t>　　　　　　　　　　　　　　　中華民國</t>
    </r>
    <r>
      <rPr>
        <sz val="12"/>
        <color indexed="8"/>
        <rFont val="Times New Roman"/>
        <family val="1"/>
      </rPr>
      <t>112</t>
    </r>
    <r>
      <rPr>
        <sz val="12"/>
        <color indexed="8"/>
        <rFont val="標楷體"/>
        <family val="4"/>
        <charset val="136"/>
      </rPr>
      <t>年</t>
    </r>
    <phoneticPr fontId="3" type="noConversion"/>
  </si>
  <si>
    <t>總計</t>
    <phoneticPr fontId="3" type="noConversion"/>
  </si>
  <si>
    <r>
      <rPr>
        <sz val="12"/>
        <color indexed="8"/>
        <rFont val="標楷體"/>
        <family val="4"/>
        <charset val="136"/>
      </rPr>
      <t>　　　　　　　　　　　　　　　中華民國</t>
    </r>
    <r>
      <rPr>
        <sz val="12"/>
        <color indexed="8"/>
        <rFont val="Times New Roman"/>
        <family val="1"/>
      </rPr>
      <t>113</t>
    </r>
    <r>
      <rPr>
        <sz val="12"/>
        <color indexed="8"/>
        <rFont val="標楷體"/>
        <family val="4"/>
        <charset val="136"/>
      </rPr>
      <t>年</t>
    </r>
    <phoneticPr fontId="3" type="noConversion"/>
  </si>
  <si>
    <r>
      <rPr>
        <sz val="14"/>
        <color indexed="8"/>
        <rFont val="標楷體"/>
        <family val="4"/>
        <charset val="136"/>
      </rPr>
      <t>腸炎弧菌</t>
    </r>
    <phoneticPr fontId="10" type="noConversion"/>
  </si>
  <si>
    <r>
      <rPr>
        <sz val="14"/>
        <color indexed="8"/>
        <rFont val="標楷體"/>
        <family val="4"/>
        <charset val="136"/>
      </rPr>
      <t>沙門氏桿菌</t>
    </r>
    <phoneticPr fontId="10" type="noConversion"/>
  </si>
  <si>
    <r>
      <rPr>
        <sz val="14"/>
        <color indexed="8"/>
        <rFont val="標楷體"/>
        <family val="4"/>
        <charset val="136"/>
      </rPr>
      <t>病原性大腸桿菌</t>
    </r>
    <phoneticPr fontId="10" type="noConversion"/>
  </si>
  <si>
    <r>
      <rPr>
        <sz val="14"/>
        <color indexed="8"/>
        <rFont val="標楷體"/>
        <family val="4"/>
        <charset val="136"/>
      </rPr>
      <t>金黃色葡萄球菌</t>
    </r>
    <phoneticPr fontId="10" type="noConversion"/>
  </si>
  <si>
    <r>
      <rPr>
        <sz val="14"/>
        <color indexed="8"/>
        <rFont val="標楷體"/>
        <family val="4"/>
        <charset val="136"/>
      </rPr>
      <t>仙人掌桿菌</t>
    </r>
    <phoneticPr fontId="10" type="noConversion"/>
  </si>
  <si>
    <r>
      <rPr>
        <sz val="14"/>
        <color indexed="8"/>
        <rFont val="標楷體"/>
        <family val="4"/>
        <charset val="136"/>
      </rPr>
      <t>肉毒桿菌</t>
    </r>
    <phoneticPr fontId="10" type="noConversion"/>
  </si>
  <si>
    <r>
      <rPr>
        <sz val="14"/>
        <color rgb="FF000000"/>
        <rFont val="標楷體"/>
        <family val="4"/>
        <charset val="136"/>
      </rPr>
      <t>其他</t>
    </r>
    <phoneticPr fontId="10" type="noConversion"/>
  </si>
  <si>
    <r>
      <rPr>
        <sz val="14"/>
        <color rgb="FF000000"/>
        <rFont val="標楷體"/>
        <family val="4"/>
        <charset val="136"/>
      </rPr>
      <t>小計</t>
    </r>
    <r>
      <rPr>
        <vertAlign val="superscript"/>
        <sz val="14"/>
        <color indexed="8"/>
        <rFont val="Times New Roman"/>
        <family val="1"/>
      </rPr>
      <t>1</t>
    </r>
    <phoneticPr fontId="10" type="noConversion"/>
  </si>
  <si>
    <t>病因物質判明合計</t>
    <phoneticPr fontId="3" type="noConversion"/>
  </si>
  <si>
    <r>
      <rPr>
        <sz val="14"/>
        <color theme="1"/>
        <rFont val="標楷體"/>
        <family val="4"/>
        <charset val="136"/>
      </rPr>
      <t>病毒</t>
    </r>
    <phoneticPr fontId="10" type="noConversion"/>
  </si>
  <si>
    <r>
      <rPr>
        <sz val="14"/>
        <color theme="1"/>
        <rFont val="標楷體"/>
        <family val="4"/>
        <charset val="136"/>
      </rPr>
      <t>諾羅病毒</t>
    </r>
    <phoneticPr fontId="10" type="noConversion"/>
  </si>
  <si>
    <r>
      <rPr>
        <sz val="14"/>
        <color theme="1"/>
        <rFont val="標楷體"/>
        <family val="4"/>
        <charset val="136"/>
      </rPr>
      <t>輪狀病毒</t>
    </r>
    <phoneticPr fontId="10" type="noConversion"/>
  </si>
  <si>
    <r>
      <rPr>
        <sz val="14"/>
        <color theme="1"/>
        <rFont val="標楷體"/>
        <family val="4"/>
        <charset val="136"/>
      </rPr>
      <t>其他</t>
    </r>
    <phoneticPr fontId="10" type="noConversion"/>
  </si>
  <si>
    <t>三、分類標準：分細菌、化學物質、天然毒、病毒及病因物質不明等項，再按患者及死者分類。</t>
    <phoneticPr fontId="3" type="noConversion"/>
  </si>
  <si>
    <t xml:space="preserve">        (一)病因物質：食品中毒係因攝食含綑菌、化學物質、天然毒及病毒等污染之食品致使發病者。</t>
    <phoneticPr fontId="10" type="noConversion"/>
  </si>
  <si>
    <t xml:space="preserve">        (五)病毒食品中毒：係攝食受諾羅病毒、輪狀病毒及其他病毒污染之食品，致使發病者。</t>
    <phoneticPr fontId="3" type="noConversion"/>
  </si>
  <si>
    <r>
      <t xml:space="preserve">    113</t>
    </r>
    <r>
      <rPr>
        <sz val="12"/>
        <color rgb="FF000000"/>
        <rFont val="標楷體"/>
        <family val="4"/>
        <charset val="136"/>
      </rPr>
      <t>年</t>
    </r>
    <phoneticPr fontId="3" type="noConversion"/>
  </si>
  <si>
    <r>
      <t xml:space="preserve">    112</t>
    </r>
    <r>
      <rPr>
        <sz val="12"/>
        <color rgb="FF000000"/>
        <rFont val="標楷體"/>
        <family val="4"/>
        <charset val="136"/>
      </rPr>
      <t>年</t>
    </r>
    <phoneticPr fontId="3" type="noConversion"/>
  </si>
  <si>
    <r>
      <rPr>
        <sz val="10"/>
        <color rgb="FF000000"/>
        <rFont val="標楷體"/>
        <family val="4"/>
        <charset val="136"/>
      </rPr>
      <t>中華民國</t>
    </r>
    <r>
      <rPr>
        <sz val="10"/>
        <color rgb="FF000000"/>
        <rFont val="Times New Roman"/>
        <family val="1"/>
      </rPr>
      <t xml:space="preserve"> 96</t>
    </r>
    <r>
      <rPr>
        <sz val="10"/>
        <color rgb="FF000000"/>
        <rFont val="標楷體"/>
        <family val="4"/>
        <charset val="136"/>
      </rPr>
      <t>年至</t>
    </r>
    <r>
      <rPr>
        <sz val="10"/>
        <color rgb="FF000000"/>
        <rFont val="Times New Roman"/>
        <family val="1"/>
      </rPr>
      <t>113</t>
    </r>
    <r>
      <rPr>
        <sz val="10"/>
        <color rgb="FF000000"/>
        <rFont val="標楷體"/>
        <family val="4"/>
        <charset val="136"/>
      </rPr>
      <t>年</t>
    </r>
    <phoneticPr fontId="3" type="noConversion"/>
  </si>
  <si>
    <t>Food Poisoning, 2007-2024</t>
    <phoneticPr fontId="3" type="noConversion"/>
  </si>
  <si>
    <t>　　件　　數</t>
    <phoneticPr fontId="3" type="noConversion"/>
  </si>
  <si>
    <r>
      <rPr>
        <sz val="12"/>
        <color theme="1"/>
        <rFont val="標楷體"/>
        <family val="4"/>
        <charset val="136"/>
      </rPr>
      <t>附</t>
    </r>
    <r>
      <rPr>
        <sz val="12"/>
        <color theme="1"/>
        <rFont val="Times New Roman"/>
        <family val="4"/>
      </rPr>
      <t xml:space="preserve"> </t>
    </r>
    <r>
      <rPr>
        <sz val="12"/>
        <color theme="1"/>
        <rFont val="Times New Roman"/>
        <family val="1"/>
      </rPr>
      <t xml:space="preserve"> </t>
    </r>
    <r>
      <rPr>
        <sz val="12"/>
        <color theme="1"/>
        <rFont val="標楷體"/>
        <family val="4"/>
        <charset val="136"/>
      </rPr>
      <t>註：</t>
    </r>
    <r>
      <rPr>
        <vertAlign val="superscript"/>
        <sz val="12"/>
        <color theme="1"/>
        <rFont val="Times New Roman"/>
        <family val="1"/>
      </rPr>
      <t>1</t>
    </r>
    <r>
      <rPr>
        <sz val="12"/>
        <color theme="1"/>
        <rFont val="標楷體"/>
        <family val="4"/>
        <charset val="136"/>
      </rPr>
      <t>細菌中毒案件數及患者數之小計，為扣除重複計數之值。</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</si>
</sst>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 &quot;#,##0&quot; &quot;;&quot;-&quot;#,##0&quot; &quot;;&quot; - &quot;;&quot; &quot;@&quot; &quot;"/>
    <numFmt numFmtId="177" formatCode="&quot;$&quot;0&quot; &quot;;&quot;(&quot;&quot;$&quot;0&quot;)&quot;"/>
    <numFmt numFmtId="178" formatCode="#&quot; &quot;###&quot; &quot;##0;&quot;-&quot;#&quot; &quot;###&quot; &quot;##0;&quot;-&quot;"/>
  </numFmts>
  <fonts count="69" x14ac:knownFonts="1">
    <font>
      <sz val="12"/>
      <color rgb="FF000000"/>
      <name val="新細明體"/>
      <family val="1"/>
      <charset val="136"/>
    </font>
    <font>
      <sz val="12"/>
      <color indexed="8"/>
      <name val="標楷體"/>
      <family val="4"/>
      <charset val="136"/>
    </font>
    <font>
      <sz val="12"/>
      <color indexed="8"/>
      <name val="Times New Roman"/>
      <family val="1"/>
    </font>
    <font>
      <sz val="9"/>
      <name val="新細明體"/>
      <family val="1"/>
      <charset val="136"/>
    </font>
    <font>
      <sz val="14"/>
      <color indexed="8"/>
      <name val="標楷體"/>
      <family val="4"/>
      <charset val="136"/>
    </font>
    <font>
      <sz val="14"/>
      <color indexed="8"/>
      <name val="Times New Roman"/>
      <family val="1"/>
    </font>
    <font>
      <b/>
      <sz val="16"/>
      <color indexed="8"/>
      <name val="標楷體"/>
      <family val="4"/>
      <charset val="136"/>
    </font>
    <font>
      <sz val="12"/>
      <color indexed="10"/>
      <name val="標楷體"/>
      <family val="4"/>
      <charset val="136"/>
    </font>
    <font>
      <vertAlign val="superscript"/>
      <sz val="14"/>
      <color indexed="8"/>
      <name val="Times New Roman"/>
      <family val="1"/>
    </font>
    <font>
      <sz val="11"/>
      <color indexed="8"/>
      <name val="Times New Roman"/>
      <family val="1"/>
    </font>
    <font>
      <sz val="9"/>
      <name val="細明體"/>
      <family val="3"/>
      <charset val="136"/>
    </font>
    <font>
      <sz val="12"/>
      <name val="標楷體"/>
      <family val="4"/>
      <charset val="136"/>
    </font>
    <font>
      <sz val="12"/>
      <color rgb="FF000000"/>
      <name val="新細明體"/>
      <family val="1"/>
      <charset val="136"/>
    </font>
    <font>
      <sz val="12"/>
      <color rgb="FFFFFFFF"/>
      <name val="新細明體"/>
      <family val="1"/>
      <charset val="136"/>
    </font>
    <font>
      <sz val="8"/>
      <color rgb="FF000000"/>
      <name val="新細明體"/>
      <family val="1"/>
      <charset val="136"/>
    </font>
    <font>
      <sz val="12"/>
      <color rgb="FF993300"/>
      <name val="新細明體"/>
      <family val="1"/>
      <charset val="136"/>
    </font>
    <font>
      <b/>
      <sz val="12"/>
      <color rgb="FF000000"/>
      <name val="新細明體"/>
      <family val="1"/>
      <charset val="136"/>
    </font>
    <font>
      <sz val="12"/>
      <color rgb="FF008000"/>
      <name val="新細明體"/>
      <family val="1"/>
      <charset val="136"/>
    </font>
    <font>
      <b/>
      <sz val="12"/>
      <color rgb="FFFF9900"/>
      <name val="新細明體"/>
      <family val="1"/>
      <charset val="136"/>
    </font>
    <font>
      <sz val="12"/>
      <color rgb="FFFF9900"/>
      <name val="新細明體"/>
      <family val="1"/>
      <charset val="136"/>
    </font>
    <font>
      <i/>
      <sz val="12"/>
      <color rgb="FF808080"/>
      <name val="新細明體"/>
      <family val="1"/>
      <charset val="136"/>
    </font>
    <font>
      <b/>
      <sz val="18"/>
      <color rgb="FF003366"/>
      <name val="新細明體"/>
      <family val="1"/>
      <charset val="136"/>
    </font>
    <font>
      <b/>
      <sz val="15"/>
      <color rgb="FF003366"/>
      <name val="新細明體"/>
      <family val="1"/>
      <charset val="136"/>
    </font>
    <font>
      <b/>
      <sz val="13"/>
      <color rgb="FF003366"/>
      <name val="新細明體"/>
      <family val="1"/>
      <charset val="136"/>
    </font>
    <font>
      <b/>
      <sz val="11"/>
      <color rgb="FF003366"/>
      <name val="新細明體"/>
      <family val="1"/>
      <charset val="136"/>
    </font>
    <font>
      <sz val="12"/>
      <color rgb="FF333399"/>
      <name val="新細明體"/>
      <family val="1"/>
      <charset val="136"/>
    </font>
    <font>
      <b/>
      <sz val="12"/>
      <color rgb="FF333333"/>
      <name val="新細明體"/>
      <family val="1"/>
      <charset val="136"/>
    </font>
    <font>
      <b/>
      <sz val="12"/>
      <color rgb="FFFFFFFF"/>
      <name val="新細明體"/>
      <family val="1"/>
      <charset val="136"/>
    </font>
    <font>
      <sz val="12"/>
      <color rgb="FF800080"/>
      <name val="新細明體"/>
      <family val="1"/>
      <charset val="136"/>
    </font>
    <font>
      <sz val="12"/>
      <color rgb="FFFF0000"/>
      <name val="新細明體"/>
      <family val="1"/>
      <charset val="136"/>
    </font>
    <font>
      <b/>
      <sz val="18"/>
      <color rgb="FF000000"/>
      <name val="標楷體"/>
      <family val="4"/>
      <charset val="136"/>
    </font>
    <font>
      <sz val="8"/>
      <color rgb="FF000000"/>
      <name val="Times New Roman"/>
      <family val="1"/>
    </font>
    <font>
      <sz val="10"/>
      <color rgb="FF000000"/>
      <name val="標楷體"/>
      <family val="4"/>
      <charset val="136"/>
    </font>
    <font>
      <sz val="9"/>
      <color rgb="FF000000"/>
      <name val="Times New Roman"/>
      <family val="1"/>
    </font>
    <font>
      <sz val="12"/>
      <color rgb="FF000000"/>
      <name val="標楷體"/>
      <family val="4"/>
      <charset val="136"/>
    </font>
    <font>
      <sz val="8"/>
      <color rgb="FF000000"/>
      <name val="標楷體"/>
      <family val="4"/>
      <charset val="136"/>
    </font>
    <font>
      <sz val="12"/>
      <color rgb="FF000000"/>
      <name val="Times New Roman"/>
      <family val="1"/>
    </font>
    <font>
      <b/>
      <sz val="8"/>
      <color rgb="FF000000"/>
      <name val="新細明體"/>
      <family val="1"/>
      <charset val="136"/>
    </font>
    <font>
      <sz val="14"/>
      <color rgb="FF000000"/>
      <name val="標楷體"/>
      <family val="4"/>
      <charset val="136"/>
    </font>
    <font>
      <sz val="14"/>
      <color rgb="FF000000"/>
      <name val="Times New Roman"/>
      <family val="1"/>
    </font>
    <font>
      <vertAlign val="superscript"/>
      <sz val="12"/>
      <color rgb="FF000000"/>
      <name val="Times New Roman"/>
      <family val="1"/>
    </font>
    <font>
      <sz val="12"/>
      <color rgb="FF000000"/>
      <name val="細明體"/>
      <family val="3"/>
      <charset val="136"/>
    </font>
    <font>
      <sz val="12"/>
      <color rgb="FFFF0000"/>
      <name val="標楷體"/>
      <family val="4"/>
      <charset val="136"/>
    </font>
    <font>
      <b/>
      <sz val="14"/>
      <color rgb="FF000000"/>
      <name val="Times New Roman"/>
      <family val="1"/>
    </font>
    <font>
      <sz val="9"/>
      <color rgb="FF000000"/>
      <name val="標楷體"/>
      <family val="4"/>
      <charset val="136"/>
    </font>
    <font>
      <b/>
      <sz val="16"/>
      <color rgb="FF000000"/>
      <name val="標楷體"/>
      <family val="4"/>
      <charset val="136"/>
    </font>
    <font>
      <b/>
      <sz val="16"/>
      <color rgb="FF000000"/>
      <name val="Times New Roman"/>
      <family val="1"/>
    </font>
    <font>
      <sz val="12"/>
      <color indexed="8"/>
      <name val="Times New Roman"/>
      <family val="4"/>
      <charset val="136"/>
    </font>
    <font>
      <sz val="14"/>
      <name val="標楷體"/>
      <family val="4"/>
      <charset val="136"/>
    </font>
    <font>
      <sz val="12"/>
      <name val="Times New Roman"/>
      <family val="1"/>
    </font>
    <font>
      <vertAlign val="superscript"/>
      <sz val="12"/>
      <name val="Times New Roman"/>
      <family val="1"/>
    </font>
    <font>
      <sz val="14"/>
      <name val="Times New Roman"/>
      <family val="1"/>
    </font>
    <font>
      <sz val="10"/>
      <color rgb="FF000000"/>
      <name val="Times New Roman"/>
      <family val="1"/>
    </font>
    <font>
      <vertAlign val="superscript"/>
      <sz val="14"/>
      <color rgb="FF000000"/>
      <name val="Times New Roman"/>
      <family val="1"/>
    </font>
    <font>
      <sz val="12"/>
      <color rgb="FF000000"/>
      <name val="Times New Roman"/>
      <family val="4"/>
      <charset val="136"/>
    </font>
    <font>
      <vertAlign val="superscript"/>
      <sz val="12"/>
      <color indexed="8"/>
      <name val="Times New Roman"/>
      <family val="1"/>
    </font>
    <font>
      <sz val="14"/>
      <color rgb="FF000000"/>
      <name val="新細明體"/>
      <family val="1"/>
      <charset val="136"/>
    </font>
    <font>
      <sz val="14"/>
      <color rgb="FF000000"/>
      <name val="Times New Roman"/>
      <family val="4"/>
      <charset val="136"/>
    </font>
    <font>
      <sz val="14"/>
      <color theme="1"/>
      <name val="Times New Roman"/>
      <family val="1"/>
    </font>
    <font>
      <sz val="14"/>
      <color theme="1"/>
      <name val="標楷體"/>
      <family val="4"/>
      <charset val="136"/>
    </font>
    <font>
      <b/>
      <sz val="16"/>
      <color theme="1"/>
      <name val="標楷體"/>
      <family val="4"/>
      <charset val="136"/>
    </font>
    <font>
      <sz val="12"/>
      <color theme="1"/>
      <name val="新細明體"/>
      <family val="1"/>
      <charset val="136"/>
    </font>
    <font>
      <b/>
      <sz val="16"/>
      <color theme="1"/>
      <name val="Times New Roman"/>
      <family val="1"/>
    </font>
    <font>
      <sz val="12"/>
      <color theme="1"/>
      <name val="標楷體"/>
      <family val="4"/>
      <charset val="136"/>
    </font>
    <font>
      <sz val="10"/>
      <color rgb="FF000000"/>
      <name val="Times New Roman"/>
      <family val="4"/>
      <charset val="136"/>
    </font>
    <font>
      <sz val="12"/>
      <color theme="1"/>
      <name val="Times New Roman"/>
      <family val="1"/>
    </font>
    <font>
      <vertAlign val="superscript"/>
      <sz val="12"/>
      <color theme="1"/>
      <name val="Times New Roman"/>
      <family val="1"/>
    </font>
    <font>
      <sz val="12"/>
      <color theme="1"/>
      <name val="Times New Roman"/>
      <family val="4"/>
    </font>
    <font>
      <sz val="12"/>
      <color theme="1"/>
      <name val="Times New Roman"/>
      <family val="4"/>
      <charset val="136"/>
    </font>
  </fonts>
  <fills count="25">
    <fill>
      <patternFill patternType="none"/>
    </fill>
    <fill>
      <patternFill patternType="gray125"/>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rgb="FFFFFF99"/>
        <bgColor rgb="FFFFFF99"/>
      </patternFill>
    </fill>
    <fill>
      <patternFill patternType="solid">
        <fgColor rgb="FFC0C0C0"/>
        <bgColor rgb="FFC0C0C0"/>
      </patternFill>
    </fill>
    <fill>
      <patternFill patternType="solid">
        <fgColor rgb="FFFFFFCC"/>
        <bgColor rgb="FFFFFFCC"/>
      </patternFill>
    </fill>
    <fill>
      <patternFill patternType="solid">
        <fgColor rgb="FF333399"/>
        <bgColor rgb="FF333399"/>
      </patternFill>
    </fill>
    <fill>
      <patternFill patternType="solid">
        <fgColor rgb="FFFF0000"/>
        <bgColor rgb="FFFF0000"/>
      </patternFill>
    </fill>
    <fill>
      <patternFill patternType="solid">
        <fgColor rgb="FF339966"/>
        <bgColor rgb="FF339966"/>
      </patternFill>
    </fill>
    <fill>
      <patternFill patternType="solid">
        <fgColor rgb="FFFF6600"/>
        <bgColor rgb="FFFF6600"/>
      </patternFill>
    </fill>
    <fill>
      <patternFill patternType="solid">
        <fgColor rgb="FF969696"/>
        <bgColor rgb="FF969696"/>
      </patternFill>
    </fill>
    <fill>
      <patternFill patternType="solid">
        <fgColor rgb="FFFFFFFF"/>
        <bgColor rgb="FFFFFFFF"/>
      </patternFill>
    </fill>
  </fills>
  <borders count="38">
    <border>
      <left/>
      <right/>
      <top/>
      <bottom/>
      <diagonal/>
    </border>
    <border>
      <left/>
      <right/>
      <top style="thin">
        <color rgb="FF333399"/>
      </top>
      <bottom style="double">
        <color rgb="FF333399"/>
      </bottom>
      <diagonal/>
    </border>
    <border>
      <left style="thin">
        <color rgb="FF808080"/>
      </left>
      <right style="thin">
        <color rgb="FF808080"/>
      </right>
      <top style="thin">
        <color rgb="FF808080"/>
      </top>
      <bottom style="thin">
        <color rgb="FF808080"/>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style="thin">
        <color rgb="FF333333"/>
      </left>
      <right style="thin">
        <color rgb="FF333333"/>
      </right>
      <top style="thin">
        <color rgb="FF333333"/>
      </top>
      <bottom style="thin">
        <color rgb="FF333333"/>
      </bottom>
      <diagonal/>
    </border>
    <border>
      <left style="double">
        <color rgb="FF333333"/>
      </left>
      <right style="double">
        <color rgb="FF333333"/>
      </right>
      <top style="double">
        <color rgb="FF333333"/>
      </top>
      <bottom style="double">
        <color rgb="FF333333"/>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medium">
        <color rgb="FF000000"/>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s>
  <cellStyleXfs count="44">
    <xf numFmtId="0" fontId="0" fillId="0" borderId="0"/>
    <xf numFmtId="0" fontId="12" fillId="2" borderId="0" applyNumberFormat="0" applyFont="0" applyBorder="0" applyAlignment="0" applyProtection="0"/>
    <xf numFmtId="0" fontId="12" fillId="3" borderId="0" applyNumberFormat="0" applyFont="0" applyBorder="0" applyAlignment="0" applyProtection="0"/>
    <xf numFmtId="0" fontId="12" fillId="4" borderId="0" applyNumberFormat="0" applyFont="0" applyBorder="0" applyAlignment="0" applyProtection="0"/>
    <xf numFmtId="0" fontId="12" fillId="5" borderId="0" applyNumberFormat="0" applyFont="0" applyBorder="0" applyAlignment="0" applyProtection="0"/>
    <xf numFmtId="0" fontId="12" fillId="6" borderId="0" applyNumberFormat="0" applyFont="0" applyBorder="0" applyAlignment="0" applyProtection="0"/>
    <xf numFmtId="0" fontId="12" fillId="7" borderId="0" applyNumberFormat="0" applyFont="0" applyBorder="0" applyAlignment="0" applyProtection="0"/>
    <xf numFmtId="0" fontId="12" fillId="8" borderId="0" applyNumberFormat="0" applyFont="0" applyBorder="0" applyAlignment="0" applyProtection="0"/>
    <xf numFmtId="0" fontId="12" fillId="9" borderId="0" applyNumberFormat="0" applyFont="0" applyBorder="0" applyAlignment="0" applyProtection="0"/>
    <xf numFmtId="0" fontId="12" fillId="10" borderId="0" applyNumberFormat="0" applyFont="0" applyBorder="0" applyAlignment="0" applyProtection="0"/>
    <xf numFmtId="0" fontId="12" fillId="5" borderId="0" applyNumberFormat="0" applyFont="0" applyBorder="0" applyAlignment="0" applyProtection="0"/>
    <xf numFmtId="0" fontId="12" fillId="8" borderId="0" applyNumberFormat="0" applyFont="0" applyBorder="0" applyAlignment="0" applyProtection="0"/>
    <xf numFmtId="0" fontId="12" fillId="11" borderId="0" applyNumberFormat="0" applyFon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0" borderId="0" applyNumberFormat="0" applyBorder="0" applyProtection="0"/>
    <xf numFmtId="0" fontId="14" fillId="0" borderId="0" applyNumberFormat="0" applyBorder="0" applyProtection="0"/>
    <xf numFmtId="0" fontId="15" fillId="16" borderId="0" applyNumberFormat="0" applyBorder="0" applyAlignment="0" applyProtection="0"/>
    <xf numFmtId="0" fontId="16" fillId="0" borderId="1" applyNumberFormat="0" applyFill="0" applyAlignment="0" applyProtection="0"/>
    <xf numFmtId="0" fontId="17" fillId="4" borderId="0" applyNumberFormat="0" applyBorder="0" applyAlignment="0" applyProtection="0"/>
    <xf numFmtId="0" fontId="18" fillId="17" borderId="2" applyNumberFormat="0" applyAlignment="0" applyProtection="0"/>
    <xf numFmtId="0" fontId="19" fillId="0" borderId="3" applyNumberFormat="0" applyFill="0" applyAlignment="0" applyProtection="0"/>
    <xf numFmtId="0" fontId="12" fillId="18" borderId="4" applyNumberFormat="0" applyFont="0" applyAlignment="0" applyProtection="0"/>
    <xf numFmtId="0" fontId="20" fillId="0" borderId="0" applyNumberFormat="0" applyFill="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21" fillId="0" borderId="0" applyNumberFormat="0" applyFill="0" applyBorder="0" applyAlignment="0" applyProtection="0"/>
    <xf numFmtId="0" fontId="22" fillId="0" borderId="5" applyNumberFormat="0" applyFill="0" applyAlignment="0" applyProtection="0"/>
    <xf numFmtId="0" fontId="23" fillId="0" borderId="6" applyNumberFormat="0" applyFill="0" applyAlignment="0" applyProtection="0"/>
    <xf numFmtId="0" fontId="24" fillId="0" borderId="7" applyNumberFormat="0" applyFill="0" applyAlignment="0" applyProtection="0"/>
    <xf numFmtId="0" fontId="24" fillId="0" borderId="0" applyNumberFormat="0" applyFill="0" applyBorder="0" applyAlignment="0" applyProtection="0"/>
    <xf numFmtId="0" fontId="25" fillId="7" borderId="2" applyNumberFormat="0" applyAlignment="0" applyProtection="0"/>
    <xf numFmtId="0" fontId="26" fillId="17" borderId="8" applyNumberFormat="0" applyAlignment="0" applyProtection="0"/>
    <xf numFmtId="0" fontId="27" fillId="23" borderId="9" applyNumberFormat="0" applyAlignment="0" applyProtection="0"/>
    <xf numFmtId="0" fontId="28" fillId="3" borderId="0" applyNumberFormat="0" applyBorder="0" applyAlignment="0" applyProtection="0"/>
    <xf numFmtId="0" fontId="29" fillId="0" borderId="0" applyNumberFormat="0" applyFill="0" applyBorder="0" applyAlignment="0" applyProtection="0"/>
  </cellStyleXfs>
  <cellXfs count="140">
    <xf numFmtId="0" fontId="0" fillId="0" borderId="0" xfId="0"/>
    <xf numFmtId="0" fontId="30" fillId="0" borderId="0" xfId="20" applyFont="1" applyFill="1" applyAlignment="1" applyProtection="1">
      <alignment horizontal="center" vertical="center"/>
    </xf>
    <xf numFmtId="0" fontId="31" fillId="0" borderId="0" xfId="20" applyFont="1" applyFill="1" applyAlignment="1" applyProtection="1">
      <alignment vertical="center"/>
    </xf>
    <xf numFmtId="0" fontId="14" fillId="0" borderId="0" xfId="20" applyFont="1" applyFill="1" applyAlignment="1" applyProtection="1">
      <alignment horizontal="center" vertical="center"/>
    </xf>
    <xf numFmtId="0" fontId="32" fillId="0" borderId="0" xfId="20" applyFont="1" applyFill="1" applyAlignment="1" applyProtection="1">
      <alignment horizontal="center" vertical="center"/>
    </xf>
    <xf numFmtId="0" fontId="31" fillId="24" borderId="0" xfId="20" applyFont="1" applyFill="1" applyAlignment="1" applyProtection="1">
      <alignment vertical="center"/>
    </xf>
    <xf numFmtId="0" fontId="31" fillId="24" borderId="0" xfId="20" applyFont="1" applyFill="1" applyAlignment="1" applyProtection="1">
      <alignment horizontal="left" vertical="center"/>
    </xf>
    <xf numFmtId="0" fontId="33" fillId="24" borderId="0" xfId="20" applyFont="1" applyFill="1" applyAlignment="1" applyProtection="1">
      <alignment horizontal="right" vertical="center"/>
    </xf>
    <xf numFmtId="0" fontId="31" fillId="0" borderId="0" xfId="20" applyFont="1" applyFill="1" applyAlignment="1" applyProtection="1">
      <alignment horizontal="right" vertical="center"/>
    </xf>
    <xf numFmtId="0" fontId="34" fillId="24" borderId="10" xfId="20" applyFont="1" applyFill="1" applyBorder="1" applyAlignment="1" applyProtection="1">
      <alignment horizontal="center" vertical="center"/>
    </xf>
    <xf numFmtId="0" fontId="34" fillId="24" borderId="11" xfId="20" applyFont="1" applyFill="1" applyBorder="1" applyAlignment="1" applyProtection="1">
      <alignment horizontal="center" vertical="center"/>
    </xf>
    <xf numFmtId="0" fontId="34" fillId="24" borderId="12" xfId="20" applyFont="1" applyFill="1" applyBorder="1" applyAlignment="1" applyProtection="1">
      <alignment horizontal="center" vertical="center"/>
    </xf>
    <xf numFmtId="0" fontId="35" fillId="0" borderId="0" xfId="20" applyFont="1" applyFill="1" applyAlignment="1" applyProtection="1">
      <alignment horizontal="center" vertical="center"/>
    </xf>
    <xf numFmtId="0" fontId="36" fillId="24" borderId="13" xfId="20" applyFont="1" applyFill="1" applyBorder="1" applyAlignment="1" applyProtection="1">
      <alignment horizontal="left" vertical="center"/>
    </xf>
    <xf numFmtId="0" fontId="36" fillId="24" borderId="14" xfId="20" applyFont="1" applyFill="1" applyBorder="1" applyAlignment="1" applyProtection="1">
      <alignment horizontal="left" vertical="center"/>
    </xf>
    <xf numFmtId="0" fontId="36" fillId="24" borderId="15" xfId="20" applyFont="1" applyFill="1" applyBorder="1" applyAlignment="1" applyProtection="1">
      <alignment horizontal="center" vertical="center"/>
    </xf>
    <xf numFmtId="0" fontId="36" fillId="24" borderId="16" xfId="20" applyFont="1" applyFill="1" applyBorder="1" applyAlignment="1" applyProtection="1">
      <alignment horizontal="center" vertical="center"/>
    </xf>
    <xf numFmtId="0" fontId="31" fillId="0" borderId="0" xfId="20" applyFont="1" applyFill="1" applyAlignment="1" applyProtection="1">
      <alignment horizontal="center" vertical="center"/>
    </xf>
    <xf numFmtId="0" fontId="33" fillId="0" borderId="0" xfId="20" applyFont="1" applyFill="1" applyAlignment="1" applyProtection="1">
      <alignment vertical="center"/>
    </xf>
    <xf numFmtId="0" fontId="36" fillId="24" borderId="0" xfId="20" applyFont="1" applyFill="1" applyAlignment="1" applyProtection="1">
      <alignment horizontal="center" vertical="center"/>
    </xf>
    <xf numFmtId="0" fontId="36" fillId="24" borderId="17" xfId="20" applyFont="1" applyFill="1" applyBorder="1" applyAlignment="1" applyProtection="1">
      <alignment horizontal="left" vertical="center"/>
    </xf>
    <xf numFmtId="176" fontId="36" fillId="24" borderId="0" xfId="20" applyNumberFormat="1" applyFont="1" applyFill="1" applyAlignment="1" applyProtection="1">
      <alignment horizontal="right" vertical="center"/>
    </xf>
    <xf numFmtId="178" fontId="31" fillId="0" borderId="0" xfId="20" applyNumberFormat="1" applyFont="1" applyFill="1" applyAlignment="1" applyProtection="1">
      <alignment horizontal="right"/>
    </xf>
    <xf numFmtId="0" fontId="14" fillId="0" borderId="0" xfId="20" applyFont="1" applyFill="1" applyAlignment="1" applyProtection="1">
      <alignment horizontal="right"/>
    </xf>
    <xf numFmtId="0" fontId="37" fillId="0" borderId="0" xfId="20" applyFont="1" applyFill="1" applyAlignment="1" applyProtection="1">
      <alignment horizontal="right"/>
    </xf>
    <xf numFmtId="0" fontId="36" fillId="24" borderId="0" xfId="19" applyFont="1" applyFill="1" applyAlignment="1">
      <alignment horizontal="center" vertical="center"/>
    </xf>
    <xf numFmtId="0" fontId="36" fillId="24" borderId="17" xfId="19" applyFont="1" applyFill="1" applyBorder="1" applyAlignment="1">
      <alignment horizontal="left" vertical="center"/>
    </xf>
    <xf numFmtId="176" fontId="36" fillId="24" borderId="0" xfId="19" applyNumberFormat="1" applyFont="1" applyFill="1" applyAlignment="1">
      <alignment horizontal="right" vertical="center"/>
    </xf>
    <xf numFmtId="178" fontId="31" fillId="0" borderId="0" xfId="19" applyNumberFormat="1" applyFont="1" applyFill="1" applyAlignment="1">
      <alignment horizontal="right"/>
    </xf>
    <xf numFmtId="0" fontId="37" fillId="0" borderId="0" xfId="19" applyFont="1" applyFill="1" applyAlignment="1">
      <alignment horizontal="right"/>
    </xf>
    <xf numFmtId="0" fontId="35" fillId="24" borderId="18" xfId="20" applyFont="1" applyFill="1" applyBorder="1" applyAlignment="1" applyProtection="1">
      <alignment vertical="center"/>
    </xf>
    <xf numFmtId="0" fontId="31" fillId="24" borderId="18" xfId="20" applyFont="1" applyFill="1" applyBorder="1" applyAlignment="1" applyProtection="1"/>
    <xf numFmtId="0" fontId="31" fillId="0" borderId="0" xfId="20" applyFont="1" applyFill="1" applyAlignment="1" applyProtection="1">
      <alignment horizontal="left" vertical="center"/>
    </xf>
    <xf numFmtId="178" fontId="31" fillId="0" borderId="0" xfId="20" applyNumberFormat="1" applyFont="1" applyFill="1" applyAlignment="1" applyProtection="1">
      <alignment vertical="center"/>
    </xf>
    <xf numFmtId="0" fontId="31" fillId="0" borderId="0" xfId="20" applyFont="1" applyFill="1" applyAlignment="1" applyProtection="1"/>
    <xf numFmtId="0" fontId="38" fillId="0" borderId="19" xfId="0" applyFont="1" applyBorder="1" applyAlignment="1">
      <alignment horizontal="center" vertical="center"/>
    </xf>
    <xf numFmtId="0" fontId="39" fillId="0" borderId="0" xfId="0" applyFont="1" applyAlignment="1">
      <alignment vertical="center"/>
    </xf>
    <xf numFmtId="0" fontId="34" fillId="0" borderId="19" xfId="0" applyFont="1" applyBorder="1" applyAlignment="1">
      <alignment horizontal="center" vertical="center"/>
    </xf>
    <xf numFmtId="0" fontId="38" fillId="0" borderId="20" xfId="0" applyFont="1" applyBorder="1" applyAlignment="1">
      <alignment horizontal="center" vertical="center"/>
    </xf>
    <xf numFmtId="0" fontId="38" fillId="0" borderId="0" xfId="0" applyFont="1" applyAlignment="1">
      <alignment vertical="center"/>
    </xf>
    <xf numFmtId="0" fontId="34" fillId="0" borderId="20" xfId="0" applyFont="1" applyBorder="1" applyAlignment="1">
      <alignment horizontal="center" vertical="center"/>
    </xf>
    <xf numFmtId="0" fontId="39" fillId="0" borderId="20" xfId="0" applyFont="1" applyBorder="1" applyAlignment="1">
      <alignment horizontal="center" vertical="center"/>
    </xf>
    <xf numFmtId="0" fontId="36" fillId="0" borderId="0" xfId="0" applyFont="1" applyAlignment="1">
      <alignment vertical="center"/>
    </xf>
    <xf numFmtId="0" fontId="36" fillId="0" borderId="0" xfId="0" applyFont="1" applyAlignment="1">
      <alignment horizontal="right" vertical="center"/>
    </xf>
    <xf numFmtId="0" fontId="39" fillId="0" borderId="19" xfId="0" applyFont="1" applyBorder="1" applyAlignment="1">
      <alignment horizontal="center" vertical="center"/>
    </xf>
    <xf numFmtId="176" fontId="39" fillId="0" borderId="21" xfId="0" applyNumberFormat="1" applyFont="1" applyBorder="1" applyAlignment="1">
      <alignment horizontal="right" vertical="center"/>
    </xf>
    <xf numFmtId="176" fontId="39" fillId="0" borderId="22" xfId="0" applyNumberFormat="1" applyFont="1" applyBorder="1" applyAlignment="1">
      <alignment horizontal="right" vertical="center"/>
    </xf>
    <xf numFmtId="176" fontId="39" fillId="0" borderId="23" xfId="0" applyNumberFormat="1" applyFont="1" applyBorder="1" applyAlignment="1">
      <alignment horizontal="right" vertical="center"/>
    </xf>
    <xf numFmtId="0" fontId="38" fillId="0" borderId="19" xfId="0" applyFont="1" applyBorder="1" applyAlignment="1">
      <alignment horizontal="left" vertical="center"/>
    </xf>
    <xf numFmtId="0" fontId="39" fillId="0" borderId="19" xfId="0" applyFont="1" applyBorder="1" applyAlignment="1">
      <alignment horizontal="left" vertical="center"/>
    </xf>
    <xf numFmtId="0" fontId="39" fillId="0" borderId="24" xfId="0" applyFont="1" applyBorder="1" applyAlignment="1">
      <alignment horizontal="left" vertical="center"/>
    </xf>
    <xf numFmtId="0" fontId="39" fillId="0" borderId="25" xfId="0" applyFont="1" applyBorder="1" applyAlignment="1">
      <alignment horizontal="left" vertical="center"/>
    </xf>
    <xf numFmtId="0" fontId="39" fillId="0" borderId="26" xfId="0" applyFont="1" applyBorder="1" applyAlignment="1">
      <alignment vertical="center"/>
    </xf>
    <xf numFmtId="176" fontId="39" fillId="0" borderId="27" xfId="0" applyNumberFormat="1" applyFont="1" applyBorder="1" applyAlignment="1">
      <alignment horizontal="right" vertical="center"/>
    </xf>
    <xf numFmtId="176" fontId="39" fillId="0" borderId="26" xfId="0" applyNumberFormat="1" applyFont="1" applyBorder="1" applyAlignment="1">
      <alignment horizontal="right" vertical="center"/>
    </xf>
    <xf numFmtId="177" fontId="36" fillId="0" borderId="0" xfId="0" applyNumberFormat="1" applyFont="1" applyFill="1" applyAlignment="1" applyProtection="1">
      <alignment horizontal="left" vertical="center"/>
      <protection locked="0"/>
    </xf>
    <xf numFmtId="177" fontId="36" fillId="0" borderId="0" xfId="0" applyNumberFormat="1" applyFont="1" applyFill="1" applyAlignment="1" applyProtection="1">
      <alignment horizontal="center" vertical="center"/>
      <protection locked="0"/>
    </xf>
    <xf numFmtId="0" fontId="36" fillId="0" borderId="0" xfId="0" applyFont="1" applyFill="1" applyAlignment="1" applyProtection="1">
      <alignment vertical="center"/>
      <protection locked="0"/>
    </xf>
    <xf numFmtId="177" fontId="36" fillId="0" borderId="0" xfId="0" applyNumberFormat="1" applyFont="1" applyFill="1" applyAlignment="1" applyProtection="1">
      <alignment horizontal="right" vertical="center"/>
      <protection locked="0"/>
    </xf>
    <xf numFmtId="0" fontId="34" fillId="0" borderId="0" xfId="0" applyFont="1" applyAlignment="1">
      <alignment vertical="center"/>
    </xf>
    <xf numFmtId="0" fontId="34" fillId="0" borderId="0" xfId="0" applyFont="1" applyAlignment="1">
      <alignment vertical="center" wrapText="1"/>
    </xf>
    <xf numFmtId="0" fontId="40" fillId="0" borderId="0" xfId="0" applyFont="1"/>
    <xf numFmtId="0" fontId="41" fillId="0" borderId="0" xfId="0" applyFont="1" applyAlignment="1">
      <alignment vertical="center"/>
    </xf>
    <xf numFmtId="0" fontId="36" fillId="0" borderId="0" xfId="0" applyFont="1"/>
    <xf numFmtId="0" fontId="40" fillId="0" borderId="0" xfId="0" applyFont="1" applyAlignment="1">
      <alignment vertical="center"/>
    </xf>
    <xf numFmtId="0" fontId="34" fillId="0" borderId="0" xfId="0" applyFont="1" applyAlignment="1">
      <alignment horizontal="right" vertical="center"/>
    </xf>
    <xf numFmtId="0" fontId="38" fillId="0" borderId="25" xfId="0" applyFont="1" applyBorder="1" applyAlignment="1">
      <alignment horizontal="left" vertical="center"/>
    </xf>
    <xf numFmtId="177" fontId="34" fillId="0" borderId="0" xfId="0" applyNumberFormat="1" applyFont="1" applyFill="1" applyAlignment="1" applyProtection="1">
      <alignment horizontal="left" vertical="center"/>
      <protection locked="0"/>
    </xf>
    <xf numFmtId="0" fontId="38" fillId="0" borderId="24" xfId="0" applyFont="1" applyBorder="1" applyAlignment="1">
      <alignment horizontal="left" vertical="center"/>
    </xf>
    <xf numFmtId="0" fontId="38" fillId="0" borderId="26" xfId="0" applyFont="1" applyBorder="1" applyAlignment="1">
      <alignment vertical="center"/>
    </xf>
    <xf numFmtId="177" fontId="34" fillId="0" borderId="0" xfId="0" applyNumberFormat="1" applyFont="1" applyFill="1" applyAlignment="1" applyProtection="1">
      <alignment horizontal="center" vertical="center"/>
      <protection locked="0"/>
    </xf>
    <xf numFmtId="0" fontId="34" fillId="0" borderId="0" xfId="0" applyFont="1" applyFill="1" applyAlignment="1" applyProtection="1">
      <alignment vertical="center"/>
      <protection locked="0"/>
    </xf>
    <xf numFmtId="177" fontId="34" fillId="0" borderId="0" xfId="0" applyNumberFormat="1" applyFont="1" applyFill="1" applyAlignment="1" applyProtection="1">
      <alignment horizontal="right" vertical="center"/>
      <protection locked="0"/>
    </xf>
    <xf numFmtId="0" fontId="42" fillId="0" borderId="0" xfId="0" applyFont="1" applyAlignment="1">
      <alignment vertical="center"/>
    </xf>
    <xf numFmtId="0" fontId="11" fillId="0" borderId="0" xfId="0" applyFont="1" applyAlignment="1">
      <alignment vertical="center"/>
    </xf>
    <xf numFmtId="0" fontId="48" fillId="0" borderId="0" xfId="0" applyFont="1" applyAlignment="1">
      <alignment vertical="center"/>
    </xf>
    <xf numFmtId="0" fontId="0" fillId="0" borderId="0" xfId="0" applyAlignment="1">
      <alignment vertical="center"/>
    </xf>
    <xf numFmtId="176" fontId="39" fillId="0" borderId="0" xfId="0" applyNumberFormat="1" applyFont="1" applyBorder="1" applyAlignment="1">
      <alignment horizontal="right" vertical="center"/>
    </xf>
    <xf numFmtId="176" fontId="39" fillId="0" borderId="37" xfId="0" applyNumberFormat="1" applyFont="1" applyBorder="1" applyAlignment="1">
      <alignment horizontal="right" vertical="center"/>
    </xf>
    <xf numFmtId="0" fontId="11" fillId="0" borderId="0" xfId="0" applyFont="1" applyAlignment="1">
      <alignment vertical="center" wrapText="1"/>
    </xf>
    <xf numFmtId="0" fontId="49" fillId="0" borderId="0" xfId="0" applyFont="1" applyAlignment="1">
      <alignment horizontal="left" vertical="center"/>
    </xf>
    <xf numFmtId="0" fontId="0" fillId="0" borderId="0" xfId="0" applyAlignment="1">
      <alignment vertical="center" wrapText="1"/>
    </xf>
    <xf numFmtId="0" fontId="34" fillId="0" borderId="0" xfId="0" applyFont="1" applyAlignment="1">
      <alignment vertical="top"/>
    </xf>
    <xf numFmtId="0" fontId="36" fillId="0" borderId="0" xfId="0" applyFont="1" applyAlignment="1">
      <alignment horizontal="center" vertical="center"/>
    </xf>
    <xf numFmtId="0" fontId="49" fillId="0" borderId="0" xfId="0" applyFont="1" applyAlignment="1">
      <alignment vertical="center"/>
    </xf>
    <xf numFmtId="176" fontId="39" fillId="0" borderId="0" xfId="0" applyNumberFormat="1" applyFont="1" applyAlignment="1">
      <alignment horizontal="right" vertical="center"/>
    </xf>
    <xf numFmtId="176" fontId="39" fillId="0" borderId="0" xfId="0" applyNumberFormat="1" applyFont="1" applyAlignment="1">
      <alignment horizontal="right" vertical="center"/>
    </xf>
    <xf numFmtId="0" fontId="56" fillId="0" borderId="0" xfId="0" applyFont="1" applyFill="1" applyAlignment="1">
      <alignment vertical="center"/>
    </xf>
    <xf numFmtId="0" fontId="48" fillId="0" borderId="0" xfId="0" applyFont="1" applyFill="1" applyAlignment="1">
      <alignment vertical="center"/>
    </xf>
    <xf numFmtId="176" fontId="39" fillId="0" borderId="0" xfId="0" applyNumberFormat="1" applyFont="1" applyAlignment="1">
      <alignment horizontal="right" vertical="center"/>
    </xf>
    <xf numFmtId="176" fontId="51" fillId="0" borderId="0" xfId="0" applyNumberFormat="1" applyFont="1" applyFill="1" applyAlignment="1">
      <alignment horizontal="right" vertical="center"/>
    </xf>
    <xf numFmtId="0" fontId="57" fillId="0" borderId="19" xfId="0" applyFont="1" applyBorder="1" applyAlignment="1">
      <alignment horizontal="left" vertical="center"/>
    </xf>
    <xf numFmtId="0" fontId="58" fillId="0" borderId="34" xfId="0" applyFont="1" applyBorder="1" applyAlignment="1">
      <alignment horizontal="distributed" vertical="center"/>
    </xf>
    <xf numFmtId="0" fontId="61" fillId="0" borderId="0" xfId="0" applyFont="1"/>
    <xf numFmtId="0" fontId="62" fillId="0" borderId="0" xfId="0" applyFont="1" applyAlignment="1">
      <alignment horizontal="center"/>
    </xf>
    <xf numFmtId="0" fontId="63" fillId="0" borderId="0" xfId="0" applyFont="1" applyAlignment="1">
      <alignment horizontal="left" indent="2"/>
    </xf>
    <xf numFmtId="0" fontId="63" fillId="0" borderId="0" xfId="0" applyFont="1" applyAlignment="1">
      <alignment horizontal="left" indent="1"/>
    </xf>
    <xf numFmtId="0" fontId="68" fillId="0" borderId="0" xfId="0" applyFont="1" applyAlignment="1">
      <alignment vertical="center"/>
    </xf>
    <xf numFmtId="0" fontId="30" fillId="24" borderId="0" xfId="20" applyFont="1" applyFill="1" applyAlignment="1" applyProtection="1">
      <alignment horizontal="center" vertical="center"/>
    </xf>
    <xf numFmtId="0" fontId="43" fillId="24" borderId="0" xfId="20" applyFont="1" applyFill="1" applyAlignment="1" applyProtection="1">
      <alignment horizontal="center" vertical="center"/>
    </xf>
    <xf numFmtId="0" fontId="64" fillId="24" borderId="0" xfId="20" applyFont="1" applyFill="1" applyAlignment="1" applyProtection="1">
      <alignment horizontal="center" vertical="center"/>
    </xf>
    <xf numFmtId="0" fontId="52" fillId="24" borderId="0" xfId="20" applyFont="1" applyFill="1" applyAlignment="1" applyProtection="1">
      <alignment horizontal="center" vertical="center"/>
    </xf>
    <xf numFmtId="0" fontId="44" fillId="24" borderId="13" xfId="20" applyFont="1" applyFill="1" applyBorder="1" applyAlignment="1" applyProtection="1">
      <alignment vertical="center"/>
    </xf>
    <xf numFmtId="0" fontId="34" fillId="24" borderId="28" xfId="20" applyFont="1" applyFill="1" applyBorder="1" applyAlignment="1" applyProtection="1">
      <alignment horizontal="center" vertical="center"/>
    </xf>
    <xf numFmtId="0" fontId="45" fillId="0" borderId="22" xfId="0" applyFont="1" applyFill="1" applyBorder="1" applyAlignment="1">
      <alignment horizontal="center" vertical="center"/>
    </xf>
    <xf numFmtId="0" fontId="47" fillId="0" borderId="26" xfId="0" applyFont="1" applyFill="1" applyBorder="1" applyAlignment="1">
      <alignment horizontal="center" vertical="center"/>
    </xf>
    <xf numFmtId="0" fontId="36" fillId="0" borderId="26" xfId="0" applyFont="1" applyFill="1" applyBorder="1" applyAlignment="1">
      <alignment horizontal="center" vertical="center"/>
    </xf>
    <xf numFmtId="0" fontId="38" fillId="0" borderId="25" xfId="0" applyFont="1" applyFill="1" applyBorder="1" applyAlignment="1">
      <alignment horizontal="center" vertical="center"/>
    </xf>
    <xf numFmtId="0" fontId="38" fillId="0" borderId="29" xfId="0" applyFont="1" applyFill="1" applyBorder="1" applyAlignment="1">
      <alignment horizontal="center" vertical="center"/>
    </xf>
    <xf numFmtId="0" fontId="4" fillId="0" borderId="24" xfId="0" applyFont="1" applyFill="1" applyBorder="1" applyAlignment="1">
      <alignment horizontal="left" vertical="center"/>
    </xf>
    <xf numFmtId="0" fontId="39" fillId="0" borderId="25" xfId="0" applyFont="1" applyFill="1" applyBorder="1" applyAlignment="1">
      <alignment horizontal="left" vertical="center"/>
    </xf>
    <xf numFmtId="176" fontId="39" fillId="0" borderId="22" xfId="0" applyNumberFormat="1" applyFont="1" applyFill="1" applyBorder="1" applyAlignment="1">
      <alignment horizontal="right" vertical="center"/>
    </xf>
    <xf numFmtId="0" fontId="38" fillId="0" borderId="19" xfId="0" applyFont="1" applyFill="1" applyBorder="1" applyAlignment="1">
      <alignment horizontal="left" vertical="top"/>
    </xf>
    <xf numFmtId="0" fontId="39" fillId="0" borderId="19" xfId="0" applyFont="1" applyFill="1" applyBorder="1" applyAlignment="1">
      <alignment horizontal="left" vertical="top"/>
    </xf>
    <xf numFmtId="176" fontId="39" fillId="0" borderId="0" xfId="0" applyNumberFormat="1" applyFont="1" applyAlignment="1">
      <alignment horizontal="right" vertical="center"/>
    </xf>
    <xf numFmtId="0" fontId="39" fillId="0" borderId="30" xfId="0" applyFont="1" applyFill="1" applyBorder="1" applyAlignment="1">
      <alignment horizontal="center" vertical="center" textRotation="255"/>
    </xf>
    <xf numFmtId="0" fontId="39" fillId="0" borderId="31" xfId="0" applyFont="1" applyFill="1" applyBorder="1" applyAlignment="1">
      <alignment horizontal="center" vertical="center" textRotation="255"/>
    </xf>
    <xf numFmtId="0" fontId="39" fillId="0" borderId="32" xfId="0" applyFont="1" applyFill="1" applyBorder="1" applyAlignment="1">
      <alignment horizontal="center" vertical="center" textRotation="255"/>
    </xf>
    <xf numFmtId="176" fontId="39" fillId="0" borderId="0" xfId="0" applyNumberFormat="1" applyFont="1" applyFill="1" applyAlignment="1">
      <alignment horizontal="right" vertical="center"/>
    </xf>
    <xf numFmtId="0" fontId="39" fillId="0" borderId="24" xfId="0" applyFont="1" applyFill="1" applyBorder="1" applyAlignment="1">
      <alignment horizontal="left" vertical="center"/>
    </xf>
    <xf numFmtId="176" fontId="39" fillId="0" borderId="26" xfId="0" applyNumberFormat="1" applyFont="1" applyFill="1" applyBorder="1" applyAlignment="1">
      <alignment horizontal="right" vertical="center"/>
    </xf>
    <xf numFmtId="0" fontId="58" fillId="0" borderId="33" xfId="0" applyFont="1" applyBorder="1" applyAlignment="1">
      <alignment horizontal="center" vertical="distributed" textRotation="255"/>
    </xf>
    <xf numFmtId="0" fontId="58" fillId="0" borderId="35" xfId="0" applyFont="1" applyBorder="1" applyAlignment="1">
      <alignment horizontal="center" vertical="distributed" textRotation="255"/>
    </xf>
    <xf numFmtId="0" fontId="58" fillId="0" borderId="36" xfId="0" applyFont="1" applyBorder="1" applyAlignment="1">
      <alignment horizontal="center" vertical="distributed" textRotation="255"/>
    </xf>
    <xf numFmtId="0" fontId="49" fillId="0" borderId="0" xfId="0" applyFont="1" applyAlignment="1">
      <alignment horizontal="left" vertical="center" wrapText="1"/>
    </xf>
    <xf numFmtId="0" fontId="39" fillId="0" borderId="25" xfId="0" applyFont="1" applyFill="1" applyBorder="1" applyAlignment="1">
      <alignment horizontal="center" vertical="center" textRotation="255"/>
    </xf>
    <xf numFmtId="0" fontId="39" fillId="0" borderId="25" xfId="0" applyFont="1" applyFill="1" applyBorder="1" applyAlignment="1">
      <alignment horizontal="center" vertical="center"/>
    </xf>
    <xf numFmtId="0" fontId="39" fillId="0" borderId="29" xfId="0" applyFont="1" applyFill="1" applyBorder="1" applyAlignment="1">
      <alignment horizontal="center" vertical="center"/>
    </xf>
    <xf numFmtId="0" fontId="38" fillId="0" borderId="25" xfId="0" applyFont="1" applyFill="1" applyBorder="1" applyAlignment="1">
      <alignment horizontal="left" vertical="center"/>
    </xf>
    <xf numFmtId="0" fontId="40" fillId="0" borderId="0" xfId="0" applyFont="1" applyAlignment="1">
      <alignment wrapText="1"/>
    </xf>
    <xf numFmtId="0" fontId="0" fillId="0" borderId="0" xfId="0" applyAlignment="1"/>
    <xf numFmtId="0" fontId="46" fillId="0" borderId="22" xfId="0" applyFont="1" applyFill="1" applyBorder="1" applyAlignment="1">
      <alignment horizontal="center" vertical="center"/>
    </xf>
    <xf numFmtId="0" fontId="36" fillId="0" borderId="0" xfId="0" applyFont="1" applyAlignment="1">
      <alignment vertical="center" wrapText="1"/>
    </xf>
    <xf numFmtId="0" fontId="0" fillId="0" borderId="0" xfId="0" applyAlignment="1">
      <alignment vertical="center" wrapText="1"/>
    </xf>
    <xf numFmtId="0" fontId="54" fillId="0" borderId="26" xfId="0" applyFont="1" applyFill="1" applyBorder="1" applyAlignment="1">
      <alignment horizontal="center" vertical="center"/>
    </xf>
    <xf numFmtId="0" fontId="48" fillId="0" borderId="25" xfId="0" applyFont="1" applyFill="1" applyBorder="1" applyAlignment="1">
      <alignment horizontal="left" vertical="center"/>
    </xf>
    <xf numFmtId="0" fontId="38" fillId="0" borderId="25" xfId="0" applyFont="1" applyFill="1" applyBorder="1" applyAlignment="1">
      <alignment horizontal="center" vertical="center" textRotation="255"/>
    </xf>
    <xf numFmtId="0" fontId="38" fillId="0" borderId="25" xfId="0" applyFont="1" applyFill="1" applyBorder="1" applyAlignment="1">
      <alignment vertical="center"/>
    </xf>
    <xf numFmtId="0" fontId="36" fillId="0" borderId="0" xfId="0" applyFont="1" applyAlignment="1">
      <alignment horizontal="center" vertical="center"/>
    </xf>
    <xf numFmtId="0" fontId="60" fillId="0" borderId="0" xfId="0" applyFont="1" applyAlignment="1">
      <alignment horizontal="center"/>
    </xf>
  </cellXfs>
  <cellStyles count="44">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一般" xfId="0" builtinId="0" customBuiltin="1"/>
    <cellStyle name="一般 2" xfId="19" xr:uid="{00000000-0005-0000-0000-000013000000}"/>
    <cellStyle name="一般 2 2" xfId="20" xr:uid="{00000000-0005-0000-0000-000014000000}"/>
    <cellStyle name="中等" xfId="21" builtinId="28" customBuiltin="1"/>
    <cellStyle name="合計" xfId="22" builtinId="25" customBuiltin="1"/>
    <cellStyle name="好" xfId="23" builtinId="26" customBuiltin="1"/>
    <cellStyle name="計算方式" xfId="24" builtinId="22" customBuiltin="1"/>
    <cellStyle name="連結的儲存格" xfId="25" builtinId="24" customBuiltin="1"/>
    <cellStyle name="備註" xfId="26" builtinId="10" customBuiltin="1"/>
    <cellStyle name="說明文字" xfId="27" builtinId="53" customBuiltin="1"/>
    <cellStyle name="輔色1" xfId="28" builtinId="29" customBuiltin="1"/>
    <cellStyle name="輔色2" xfId="29" builtinId="33" customBuiltin="1"/>
    <cellStyle name="輔色3" xfId="30" builtinId="37" customBuiltin="1"/>
    <cellStyle name="輔色4" xfId="31" builtinId="41" customBuiltin="1"/>
    <cellStyle name="輔色5" xfId="32" builtinId="45" customBuiltin="1"/>
    <cellStyle name="輔色6" xfId="33" builtinId="49" customBuiltin="1"/>
    <cellStyle name="標題" xfId="34" builtinId="15" customBuiltin="1"/>
    <cellStyle name="標題 1" xfId="35" builtinId="16" customBuiltin="1"/>
    <cellStyle name="標題 2" xfId="36" builtinId="17" customBuiltin="1"/>
    <cellStyle name="標題 3" xfId="37" builtinId="18" customBuiltin="1"/>
    <cellStyle name="標題 4" xfId="38" builtinId="19" customBuiltin="1"/>
    <cellStyle name="輸入" xfId="39" builtinId="20" customBuiltin="1"/>
    <cellStyle name="輸出" xfId="40" builtinId="21" customBuiltin="1"/>
    <cellStyle name="檢查儲存格" xfId="41" builtinId="23" customBuiltin="1"/>
    <cellStyle name="壞" xfId="42" builtinId="27" customBuiltin="1"/>
    <cellStyle name="警告文字" xfId="4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workbookViewId="0">
      <selection sqref="A1:E1"/>
    </sheetView>
  </sheetViews>
  <sheetFormatPr defaultColWidth="6.88671875" defaultRowHeight="10.199999999999999" x14ac:dyDescent="0.3"/>
  <cols>
    <col min="1" max="2" width="10.6640625" style="2" customWidth="1"/>
    <col min="3" max="5" width="20.6640625" style="2" customWidth="1"/>
    <col min="6" max="6" width="4.44140625" style="2" customWidth="1"/>
    <col min="7" max="7" width="6.88671875" style="2" customWidth="1"/>
    <col min="8" max="16384" width="6.88671875" style="2"/>
  </cols>
  <sheetData>
    <row r="1" spans="1:6" ht="23.4" customHeight="1" x14ac:dyDescent="0.3">
      <c r="A1" s="98" t="s">
        <v>0</v>
      </c>
      <c r="B1" s="98"/>
      <c r="C1" s="98"/>
      <c r="D1" s="98"/>
      <c r="E1" s="98"/>
      <c r="F1" s="1"/>
    </row>
    <row r="2" spans="1:6" ht="19.95" customHeight="1" x14ac:dyDescent="0.3">
      <c r="A2" s="99" t="s">
        <v>284</v>
      </c>
      <c r="B2" s="99"/>
      <c r="C2" s="99"/>
      <c r="D2" s="99"/>
      <c r="E2" s="99"/>
      <c r="F2" s="3"/>
    </row>
    <row r="3" spans="1:6" ht="12" customHeight="1" x14ac:dyDescent="0.3">
      <c r="A3" s="100" t="s">
        <v>283</v>
      </c>
      <c r="B3" s="101"/>
      <c r="C3" s="101"/>
      <c r="D3" s="101"/>
      <c r="E3" s="101"/>
      <c r="F3" s="4"/>
    </row>
    <row r="4" spans="1:6" ht="17.25" customHeight="1" thickBot="1" x14ac:dyDescent="0.35">
      <c r="A4" s="102" t="s">
        <v>1</v>
      </c>
      <c r="B4" s="102"/>
      <c r="C4" s="5"/>
      <c r="D4" s="6"/>
      <c r="E4" s="7" t="s">
        <v>2</v>
      </c>
      <c r="F4" s="8"/>
    </row>
    <row r="5" spans="1:6" ht="30" customHeight="1" x14ac:dyDescent="0.3">
      <c r="A5" s="103" t="s">
        <v>3</v>
      </c>
      <c r="B5" s="103"/>
      <c r="C5" s="9" t="s">
        <v>4</v>
      </c>
      <c r="D5" s="10" t="s">
        <v>5</v>
      </c>
      <c r="E5" s="11" t="s">
        <v>6</v>
      </c>
      <c r="F5" s="12"/>
    </row>
    <row r="6" spans="1:6" s="18" customFormat="1" ht="21" customHeight="1" thickBot="1" x14ac:dyDescent="0.35">
      <c r="A6" s="13" t="s">
        <v>7</v>
      </c>
      <c r="B6" s="14"/>
      <c r="C6" s="15" t="s">
        <v>8</v>
      </c>
      <c r="D6" s="15" t="s">
        <v>9</v>
      </c>
      <c r="E6" s="16" t="s">
        <v>10</v>
      </c>
      <c r="F6" s="17"/>
    </row>
    <row r="7" spans="1:6" s="18" customFormat="1" ht="24.9" customHeight="1" x14ac:dyDescent="0.3">
      <c r="A7" s="19" t="s">
        <v>11</v>
      </c>
      <c r="B7" s="20">
        <v>2007</v>
      </c>
      <c r="C7" s="21">
        <v>248</v>
      </c>
      <c r="D7" s="21">
        <v>3231</v>
      </c>
      <c r="E7" s="21">
        <v>0</v>
      </c>
      <c r="F7" s="17"/>
    </row>
    <row r="8" spans="1:6" s="18" customFormat="1" ht="24.9" customHeight="1" x14ac:dyDescent="0.3">
      <c r="A8" s="19" t="s">
        <v>12</v>
      </c>
      <c r="B8" s="20">
        <v>2008</v>
      </c>
      <c r="C8" s="21">
        <v>272</v>
      </c>
      <c r="D8" s="21">
        <v>2924</v>
      </c>
      <c r="E8" s="21">
        <v>0</v>
      </c>
      <c r="F8" s="17"/>
    </row>
    <row r="9" spans="1:6" s="23" customFormat="1" ht="24.9" customHeight="1" x14ac:dyDescent="0.25">
      <c r="A9" s="19" t="s">
        <v>13</v>
      </c>
      <c r="B9" s="20">
        <v>2009</v>
      </c>
      <c r="C9" s="21">
        <v>351</v>
      </c>
      <c r="D9" s="21">
        <v>4642</v>
      </c>
      <c r="E9" s="21">
        <v>0</v>
      </c>
      <c r="F9" s="22"/>
    </row>
    <row r="10" spans="1:6" s="23" customFormat="1" ht="24.9" customHeight="1" x14ac:dyDescent="0.25">
      <c r="A10" s="19" t="s">
        <v>14</v>
      </c>
      <c r="B10" s="20">
        <v>2010</v>
      </c>
      <c r="C10" s="21">
        <v>503</v>
      </c>
      <c r="D10" s="21">
        <v>6880</v>
      </c>
      <c r="E10" s="21">
        <v>1</v>
      </c>
      <c r="F10" s="22"/>
    </row>
    <row r="11" spans="1:6" s="23" customFormat="1" ht="24.9" customHeight="1" x14ac:dyDescent="0.25">
      <c r="A11" s="19" t="s">
        <v>15</v>
      </c>
      <c r="B11" s="20">
        <v>2011</v>
      </c>
      <c r="C11" s="21">
        <v>426</v>
      </c>
      <c r="D11" s="21">
        <v>5819</v>
      </c>
      <c r="E11" s="21">
        <v>1</v>
      </c>
      <c r="F11" s="22"/>
    </row>
    <row r="12" spans="1:6" s="23" customFormat="1" ht="24.9" customHeight="1" x14ac:dyDescent="0.25">
      <c r="A12" s="19" t="s">
        <v>16</v>
      </c>
      <c r="B12" s="20">
        <v>2012</v>
      </c>
      <c r="C12" s="21">
        <v>527</v>
      </c>
      <c r="D12" s="21">
        <v>5701</v>
      </c>
      <c r="E12" s="21">
        <v>0</v>
      </c>
      <c r="F12" s="22"/>
    </row>
    <row r="13" spans="1:6" s="23" customFormat="1" ht="24.9" customHeight="1" x14ac:dyDescent="0.25">
      <c r="A13" s="19" t="s">
        <v>17</v>
      </c>
      <c r="B13" s="20">
        <v>2013</v>
      </c>
      <c r="C13" s="21">
        <v>409</v>
      </c>
      <c r="D13" s="21">
        <v>3890</v>
      </c>
      <c r="E13" s="21">
        <v>0</v>
      </c>
      <c r="F13" s="22"/>
    </row>
    <row r="14" spans="1:6" s="23" customFormat="1" ht="24.9" customHeight="1" x14ac:dyDescent="0.25">
      <c r="A14" s="19" t="s">
        <v>18</v>
      </c>
      <c r="B14" s="20">
        <v>2014</v>
      </c>
      <c r="C14" s="21">
        <v>480</v>
      </c>
      <c r="D14" s="21">
        <v>4504</v>
      </c>
      <c r="E14" s="21">
        <v>0</v>
      </c>
      <c r="F14" s="22"/>
    </row>
    <row r="15" spans="1:6" s="24" customFormat="1" ht="24.9" customHeight="1" x14ac:dyDescent="0.25">
      <c r="A15" s="19" t="s">
        <v>19</v>
      </c>
      <c r="B15" s="20">
        <v>2015</v>
      </c>
      <c r="C15" s="21">
        <v>632</v>
      </c>
      <c r="D15" s="21">
        <v>6235</v>
      </c>
      <c r="E15" s="21">
        <v>0</v>
      </c>
      <c r="F15" s="22"/>
    </row>
    <row r="16" spans="1:6" s="24" customFormat="1" ht="24.9" customHeight="1" x14ac:dyDescent="0.25">
      <c r="A16" s="19" t="s">
        <v>20</v>
      </c>
      <c r="B16" s="20">
        <v>2016</v>
      </c>
      <c r="C16" s="21">
        <v>486</v>
      </c>
      <c r="D16" s="21">
        <v>5260</v>
      </c>
      <c r="E16" s="21">
        <v>0</v>
      </c>
      <c r="F16" s="22"/>
    </row>
    <row r="17" spans="1:6" s="24" customFormat="1" ht="24.9" customHeight="1" x14ac:dyDescent="0.25">
      <c r="A17" s="19" t="s">
        <v>21</v>
      </c>
      <c r="B17" s="20">
        <v>2017</v>
      </c>
      <c r="C17" s="21">
        <v>528</v>
      </c>
      <c r="D17" s="21">
        <v>6232</v>
      </c>
      <c r="E17" s="21">
        <v>0</v>
      </c>
      <c r="F17" s="22"/>
    </row>
    <row r="18" spans="1:6" s="24" customFormat="1" ht="24.9" customHeight="1" x14ac:dyDescent="0.25">
      <c r="A18" s="19" t="s">
        <v>22</v>
      </c>
      <c r="B18" s="20">
        <v>2018</v>
      </c>
      <c r="C18" s="21">
        <v>398</v>
      </c>
      <c r="D18" s="21">
        <v>4616</v>
      </c>
      <c r="E18" s="21">
        <v>0</v>
      </c>
      <c r="F18" s="22"/>
    </row>
    <row r="19" spans="1:6" s="29" customFormat="1" ht="24.9" customHeight="1" x14ac:dyDescent="0.25">
      <c r="A19" s="25" t="s">
        <v>160</v>
      </c>
      <c r="B19" s="26">
        <v>2019</v>
      </c>
      <c r="C19" s="27">
        <v>502</v>
      </c>
      <c r="D19" s="27">
        <v>6935</v>
      </c>
      <c r="E19" s="27">
        <v>2</v>
      </c>
      <c r="F19" s="28"/>
    </row>
    <row r="20" spans="1:6" s="29" customFormat="1" ht="24.9" customHeight="1" x14ac:dyDescent="0.25">
      <c r="A20" s="25" t="s">
        <v>161</v>
      </c>
      <c r="B20" s="26">
        <v>2020</v>
      </c>
      <c r="C20" s="27">
        <v>506</v>
      </c>
      <c r="D20" s="27">
        <v>4920</v>
      </c>
      <c r="E20" s="27">
        <v>0</v>
      </c>
      <c r="F20" s="28"/>
    </row>
    <row r="21" spans="1:6" s="29" customFormat="1" ht="24.9" customHeight="1" x14ac:dyDescent="0.25">
      <c r="A21" s="25" t="s">
        <v>162</v>
      </c>
      <c r="B21" s="26">
        <v>2021</v>
      </c>
      <c r="C21" s="27">
        <v>498</v>
      </c>
      <c r="D21" s="27">
        <v>5823</v>
      </c>
      <c r="E21" s="27">
        <v>0</v>
      </c>
      <c r="F21" s="28"/>
    </row>
    <row r="22" spans="1:6" s="29" customFormat="1" ht="24.9" customHeight="1" x14ac:dyDescent="0.25">
      <c r="A22" s="25" t="s">
        <v>163</v>
      </c>
      <c r="B22" s="26">
        <v>2022</v>
      </c>
      <c r="C22" s="27">
        <v>499</v>
      </c>
      <c r="D22" s="27">
        <v>4495</v>
      </c>
      <c r="E22" s="27">
        <v>0</v>
      </c>
      <c r="F22" s="28"/>
    </row>
    <row r="23" spans="1:6" s="29" customFormat="1" ht="24.9" customHeight="1" x14ac:dyDescent="0.25">
      <c r="A23" s="25" t="s">
        <v>282</v>
      </c>
      <c r="B23" s="26">
        <v>2023</v>
      </c>
      <c r="C23" s="27">
        <v>633</v>
      </c>
      <c r="D23" s="27">
        <v>5196</v>
      </c>
      <c r="E23" s="27">
        <v>1</v>
      </c>
      <c r="F23" s="28"/>
    </row>
    <row r="24" spans="1:6" s="24" customFormat="1" ht="24.9" customHeight="1" thickBot="1" x14ac:dyDescent="0.3">
      <c r="A24" s="19" t="s">
        <v>281</v>
      </c>
      <c r="B24" s="20">
        <v>2024</v>
      </c>
      <c r="C24" s="21">
        <v>1750</v>
      </c>
      <c r="D24" s="21">
        <v>9045</v>
      </c>
      <c r="E24" s="21">
        <v>10</v>
      </c>
      <c r="F24" s="22"/>
    </row>
    <row r="25" spans="1:6" s="18" customFormat="1" ht="20.100000000000001" customHeight="1" x14ac:dyDescent="0.2">
      <c r="A25" s="30" t="s">
        <v>23</v>
      </c>
      <c r="B25" s="31"/>
      <c r="C25" s="31"/>
      <c r="D25" s="31"/>
      <c r="E25" s="31"/>
      <c r="F25" s="22"/>
    </row>
    <row r="26" spans="1:6" s="18" customFormat="1" ht="20.100000000000001" customHeight="1" x14ac:dyDescent="0.2">
      <c r="A26" s="6" t="s">
        <v>24</v>
      </c>
      <c r="B26" s="5"/>
      <c r="C26" s="5"/>
      <c r="D26" s="5"/>
      <c r="E26" s="5"/>
      <c r="F26" s="22"/>
    </row>
    <row r="27" spans="1:6" s="18" customFormat="1" ht="20.100000000000001" customHeight="1" x14ac:dyDescent="0.2">
      <c r="A27" s="32"/>
      <c r="B27" s="33"/>
      <c r="C27" s="2"/>
      <c r="D27" s="33"/>
      <c r="E27" s="2"/>
      <c r="F27" s="22"/>
    </row>
    <row r="28" spans="1:6" s="18" customFormat="1" ht="20.100000000000001" customHeight="1" x14ac:dyDescent="0.2">
      <c r="A28" s="2"/>
      <c r="B28" s="2"/>
      <c r="C28" s="2"/>
      <c r="D28" s="2"/>
      <c r="E28" s="2"/>
      <c r="F28" s="22"/>
    </row>
    <row r="29" spans="1:6" s="18" customFormat="1" ht="20.100000000000001" customHeight="1" x14ac:dyDescent="0.2">
      <c r="A29" s="2"/>
      <c r="B29" s="2"/>
      <c r="C29" s="2"/>
      <c r="D29" s="2"/>
      <c r="E29" s="2"/>
      <c r="F29" s="22"/>
    </row>
    <row r="30" spans="1:6" s="18" customFormat="1" ht="20.100000000000001" customHeight="1" x14ac:dyDescent="0.2">
      <c r="A30" s="2"/>
      <c r="B30" s="2"/>
      <c r="C30" s="2"/>
      <c r="D30" s="2"/>
      <c r="E30" s="2"/>
      <c r="F30" s="22"/>
    </row>
    <row r="31" spans="1:6" s="18" customFormat="1" ht="20.100000000000001" customHeight="1" x14ac:dyDescent="0.2">
      <c r="A31" s="2"/>
      <c r="B31" s="2"/>
      <c r="C31" s="2"/>
      <c r="D31" s="2"/>
      <c r="E31" s="2"/>
      <c r="F31" s="22"/>
    </row>
    <row r="32" spans="1:6" s="18" customFormat="1" ht="20.100000000000001" customHeight="1" x14ac:dyDescent="0.2">
      <c r="A32" s="2"/>
      <c r="B32" s="2"/>
      <c r="C32" s="2"/>
      <c r="D32" s="2"/>
      <c r="E32" s="2"/>
      <c r="F32" s="22"/>
    </row>
    <row r="33" spans="1:6" s="18" customFormat="1" ht="20.100000000000001" customHeight="1" x14ac:dyDescent="0.2">
      <c r="A33" s="2"/>
      <c r="B33" s="2"/>
      <c r="C33" s="2"/>
      <c r="D33" s="2"/>
      <c r="E33" s="2"/>
      <c r="F33" s="22"/>
    </row>
    <row r="34" spans="1:6" s="18" customFormat="1" ht="20.100000000000001" customHeight="1" x14ac:dyDescent="0.2">
      <c r="A34" s="2"/>
      <c r="B34" s="2"/>
      <c r="C34" s="2"/>
      <c r="D34" s="2"/>
      <c r="E34" s="2"/>
      <c r="F34" s="22"/>
    </row>
    <row r="35" spans="1:6" s="18" customFormat="1" ht="20.100000000000001" customHeight="1" x14ac:dyDescent="0.2">
      <c r="A35" s="2"/>
      <c r="B35" s="2"/>
      <c r="C35" s="2"/>
      <c r="D35" s="2"/>
      <c r="E35" s="2"/>
      <c r="F35" s="22"/>
    </row>
    <row r="36" spans="1:6" s="18" customFormat="1" ht="20.100000000000001" customHeight="1" x14ac:dyDescent="0.2">
      <c r="A36" s="2"/>
      <c r="B36" s="2"/>
      <c r="C36" s="2"/>
      <c r="D36" s="2"/>
      <c r="E36" s="2"/>
      <c r="F36" s="22"/>
    </row>
    <row r="37" spans="1:6" customFormat="1" ht="20.100000000000001" customHeight="1" x14ac:dyDescent="0.3">
      <c r="A37" s="2"/>
      <c r="B37" s="2"/>
      <c r="C37" s="2"/>
      <c r="D37" s="2"/>
      <c r="E37" s="2"/>
      <c r="F37" s="34"/>
    </row>
    <row r="38" spans="1:6" customFormat="1" ht="20.100000000000001" customHeight="1" x14ac:dyDescent="0.3">
      <c r="A38" s="2"/>
      <c r="B38" s="2"/>
      <c r="C38" s="2"/>
      <c r="D38" s="2"/>
      <c r="E38" s="2"/>
      <c r="F38" s="2"/>
    </row>
    <row r="39" spans="1:6" customFormat="1" ht="20.100000000000001" customHeight="1" x14ac:dyDescent="0.3">
      <c r="A39" s="2"/>
      <c r="B39" s="2"/>
      <c r="C39" s="2"/>
      <c r="D39" s="2"/>
      <c r="E39" s="2"/>
      <c r="F39" s="2"/>
    </row>
    <row r="40" spans="1:6" customFormat="1" ht="20.100000000000001" customHeight="1" x14ac:dyDescent="0.3">
      <c r="A40" s="2"/>
      <c r="B40" s="2"/>
      <c r="C40" s="2"/>
      <c r="D40" s="2"/>
      <c r="E40" s="2"/>
      <c r="F40" s="2"/>
    </row>
    <row r="41" spans="1:6" s="18" customFormat="1" ht="20.100000000000001" customHeight="1" x14ac:dyDescent="0.3">
      <c r="A41" s="2"/>
      <c r="B41" s="2"/>
      <c r="C41" s="2"/>
      <c r="D41" s="2"/>
      <c r="E41" s="2"/>
      <c r="F41" s="2"/>
    </row>
    <row r="42" spans="1:6" s="18" customFormat="1" ht="9.75" customHeight="1" x14ac:dyDescent="0.3">
      <c r="A42" s="2"/>
      <c r="B42" s="2"/>
      <c r="C42" s="2"/>
      <c r="D42" s="2"/>
      <c r="E42" s="2"/>
      <c r="F42" s="2"/>
    </row>
    <row r="43" spans="1:6" s="23" customFormat="1" ht="21.75" customHeight="1" x14ac:dyDescent="0.25">
      <c r="A43" s="2"/>
      <c r="B43" s="2"/>
      <c r="C43" s="2"/>
      <c r="D43" s="2"/>
      <c r="E43" s="2"/>
      <c r="F43" s="2"/>
    </row>
    <row r="44" spans="1:6" s="23" customFormat="1" ht="21.75" customHeight="1" x14ac:dyDescent="0.25">
      <c r="A44" s="2"/>
      <c r="B44" s="2"/>
      <c r="C44" s="2"/>
      <c r="D44" s="2"/>
      <c r="E44" s="2"/>
      <c r="F44" s="2"/>
    </row>
    <row r="45" spans="1:6" s="23" customFormat="1" ht="21.75" customHeight="1" x14ac:dyDescent="0.25">
      <c r="A45" s="2"/>
      <c r="B45" s="2"/>
      <c r="C45" s="2"/>
      <c r="D45" s="2"/>
      <c r="E45" s="2"/>
      <c r="F45" s="2"/>
    </row>
    <row r="46" spans="1:6" s="23" customFormat="1" ht="21.75" customHeight="1" x14ac:dyDescent="0.25">
      <c r="A46" s="2"/>
      <c r="B46" s="2"/>
      <c r="C46" s="2"/>
      <c r="D46" s="2"/>
      <c r="E46" s="2"/>
      <c r="F46" s="2"/>
    </row>
    <row r="47" spans="1:6" s="23" customFormat="1" ht="21.75" customHeight="1" x14ac:dyDescent="0.25">
      <c r="A47" s="2"/>
      <c r="B47" s="2"/>
      <c r="C47" s="2"/>
      <c r="D47" s="2"/>
      <c r="E47" s="2"/>
      <c r="F47" s="2"/>
    </row>
    <row r="48" spans="1:6" s="23" customFormat="1" ht="21.75" customHeight="1" x14ac:dyDescent="0.25">
      <c r="A48" s="2"/>
      <c r="B48" s="2"/>
      <c r="C48" s="2"/>
      <c r="D48" s="2"/>
      <c r="E48" s="2"/>
      <c r="F48" s="2"/>
    </row>
    <row r="49" spans="1:6" s="24" customFormat="1" ht="21.75" customHeight="1" x14ac:dyDescent="0.25">
      <c r="A49" s="2"/>
      <c r="B49" s="2"/>
      <c r="C49" s="2"/>
      <c r="D49" s="2"/>
      <c r="E49" s="2"/>
      <c r="F49" s="2"/>
    </row>
    <row r="50" spans="1:6" s="24" customFormat="1" ht="21.75" customHeight="1" x14ac:dyDescent="0.25">
      <c r="A50" s="2"/>
      <c r="B50" s="2"/>
      <c r="C50" s="2"/>
      <c r="D50" s="2"/>
      <c r="E50" s="2"/>
      <c r="F50" s="2"/>
    </row>
    <row r="51" spans="1:6" s="24" customFormat="1" ht="9" customHeight="1" x14ac:dyDescent="0.25">
      <c r="A51" s="2"/>
      <c r="B51" s="2"/>
      <c r="C51" s="2"/>
      <c r="D51" s="2"/>
      <c r="E51" s="2"/>
      <c r="F51" s="2"/>
    </row>
    <row r="52" spans="1:6" s="24" customFormat="1" ht="21.75" customHeight="1" x14ac:dyDescent="0.25">
      <c r="A52" s="2"/>
      <c r="B52" s="2"/>
      <c r="C52" s="2"/>
      <c r="D52" s="2"/>
      <c r="E52" s="2"/>
      <c r="F52" s="2"/>
    </row>
    <row r="53" spans="1:6" s="24" customFormat="1" ht="8.25" customHeight="1" x14ac:dyDescent="0.25">
      <c r="A53" s="2"/>
      <c r="B53" s="2"/>
      <c r="C53" s="2"/>
      <c r="D53" s="2"/>
      <c r="E53" s="2"/>
      <c r="F53" s="2"/>
    </row>
    <row r="54" spans="1:6" s="18" customFormat="1" ht="20.100000000000001" customHeight="1" x14ac:dyDescent="0.3">
      <c r="A54" s="2"/>
      <c r="B54" s="2"/>
      <c r="C54" s="2"/>
      <c r="D54" s="2"/>
      <c r="E54" s="2"/>
      <c r="F54" s="2"/>
    </row>
    <row r="55" spans="1:6" s="18" customFormat="1" ht="20.100000000000001" customHeight="1" x14ac:dyDescent="0.3">
      <c r="A55" s="2"/>
      <c r="B55" s="2"/>
      <c r="C55" s="2"/>
      <c r="D55" s="2"/>
      <c r="E55" s="2"/>
      <c r="F55" s="2"/>
    </row>
    <row r="56" spans="1:6" customFormat="1" ht="20.100000000000001" customHeight="1" x14ac:dyDescent="0.3">
      <c r="A56" s="2"/>
      <c r="B56" s="2"/>
      <c r="C56" s="2"/>
      <c r="D56" s="2"/>
      <c r="E56" s="2"/>
      <c r="F56" s="2"/>
    </row>
    <row r="57" spans="1:6" customFormat="1" ht="5.25" customHeight="1" x14ac:dyDescent="0.3">
      <c r="A57" s="2"/>
      <c r="B57" s="2"/>
      <c r="C57" s="2"/>
      <c r="D57" s="2"/>
      <c r="E57" s="2"/>
      <c r="F57" s="2"/>
    </row>
    <row r="58" spans="1:6" customFormat="1" ht="18.45" customHeight="1" x14ac:dyDescent="0.3">
      <c r="A58" s="2"/>
      <c r="B58" s="2"/>
      <c r="C58" s="2"/>
      <c r="D58" s="2"/>
      <c r="E58" s="2"/>
      <c r="F58" s="2"/>
    </row>
    <row r="59" spans="1:6" customFormat="1" ht="18.45" customHeight="1" x14ac:dyDescent="0.3">
      <c r="A59" s="2"/>
      <c r="B59" s="2"/>
      <c r="C59" s="2"/>
      <c r="D59" s="2"/>
      <c r="E59" s="2"/>
      <c r="F59" s="2"/>
    </row>
    <row r="60" spans="1:6" customFormat="1" ht="18.45" customHeight="1" x14ac:dyDescent="0.3">
      <c r="A60" s="2"/>
      <c r="B60" s="2"/>
      <c r="C60" s="2"/>
      <c r="D60" s="2"/>
      <c r="E60" s="2"/>
      <c r="F60" s="2"/>
    </row>
    <row r="61" spans="1:6" customFormat="1" ht="18.45" customHeight="1" x14ac:dyDescent="0.3">
      <c r="A61" s="2"/>
      <c r="B61" s="2"/>
      <c r="C61" s="2"/>
      <c r="D61" s="2"/>
      <c r="E61" s="2"/>
      <c r="F61" s="2"/>
    </row>
    <row r="62" spans="1:6" customFormat="1" ht="18.45" customHeight="1" x14ac:dyDescent="0.3">
      <c r="A62" s="2"/>
      <c r="B62" s="2"/>
      <c r="C62" s="2"/>
      <c r="D62" s="2"/>
      <c r="E62" s="2"/>
      <c r="F62" s="2"/>
    </row>
    <row r="63" spans="1:6" customFormat="1" ht="18.45" customHeight="1" x14ac:dyDescent="0.3">
      <c r="A63" s="2"/>
      <c r="B63" s="2"/>
      <c r="C63" s="2"/>
      <c r="D63" s="2"/>
      <c r="E63" s="2"/>
      <c r="F63" s="2"/>
    </row>
    <row r="64" spans="1:6" customFormat="1" ht="18.45" customHeight="1" x14ac:dyDescent="0.3">
      <c r="A64" s="2"/>
      <c r="B64" s="2"/>
      <c r="C64" s="2"/>
      <c r="D64" s="2"/>
      <c r="E64" s="2"/>
      <c r="F64" s="2"/>
    </row>
    <row r="65" spans="1:6" customFormat="1" ht="18.45" customHeight="1" x14ac:dyDescent="0.3">
      <c r="A65" s="2"/>
      <c r="B65" s="2"/>
      <c r="C65" s="2"/>
      <c r="D65" s="2"/>
      <c r="E65" s="2"/>
      <c r="F65" s="2"/>
    </row>
    <row r="66" spans="1:6" customFormat="1" ht="18.45" customHeight="1" x14ac:dyDescent="0.3">
      <c r="A66" s="2"/>
      <c r="B66" s="2"/>
      <c r="C66" s="2"/>
      <c r="D66" s="2"/>
      <c r="E66" s="2"/>
      <c r="F66" s="2"/>
    </row>
    <row r="67" spans="1:6" customFormat="1" ht="18.45" customHeight="1" x14ac:dyDescent="0.3">
      <c r="A67" s="2"/>
      <c r="B67" s="2"/>
      <c r="C67" s="2"/>
      <c r="D67" s="2"/>
      <c r="E67" s="2"/>
      <c r="F67" s="2"/>
    </row>
    <row r="68" spans="1:6" ht="18.45" customHeight="1" x14ac:dyDescent="0.3"/>
  </sheetData>
  <mergeCells count="5">
    <mergeCell ref="A1:E1"/>
    <mergeCell ref="A2:E2"/>
    <mergeCell ref="A3:E3"/>
    <mergeCell ref="A4:B4"/>
    <mergeCell ref="A5:B5"/>
  </mergeCells>
  <phoneticPr fontId="3" type="noConversion"/>
  <printOptions horizontalCentered="1"/>
  <pageMargins left="0.78740157480314998" right="0.78740157480314998" top="0.78740157480314998" bottom="1.1811023622047201" header="0" footer="0"/>
  <pageSetup paperSize="9" fitToWidth="0" fitToHeight="0"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6DB2-CD48-4533-86D6-9AF4FF7104A9}">
  <dimension ref="A1:AB61"/>
  <sheetViews>
    <sheetView tabSelected="1" zoomScaleNormal="100"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6" t="s">
        <v>164</v>
      </c>
      <c r="E2" s="40" t="s">
        <v>30</v>
      </c>
      <c r="F2" s="41" t="s">
        <v>31</v>
      </c>
    </row>
    <row r="3" spans="1:6" s="42" customFormat="1" ht="30.75" customHeight="1" x14ac:dyDescent="0.3">
      <c r="A3" s="104" t="s">
        <v>32</v>
      </c>
      <c r="B3" s="104"/>
      <c r="C3" s="104"/>
      <c r="D3" s="104"/>
      <c r="E3" s="104"/>
      <c r="F3" s="104"/>
    </row>
    <row r="4" spans="1:6" s="42" customFormat="1" ht="22.5" customHeight="1" x14ac:dyDescent="0.3">
      <c r="A4" s="105" t="s">
        <v>264</v>
      </c>
      <c r="B4" s="106"/>
      <c r="C4" s="106"/>
      <c r="D4" s="106"/>
      <c r="E4" s="106"/>
      <c r="F4" s="43" t="s">
        <v>34</v>
      </c>
    </row>
    <row r="5" spans="1:6" s="36" customFormat="1" ht="27" customHeight="1" x14ac:dyDescent="0.3">
      <c r="A5" s="107" t="s">
        <v>156</v>
      </c>
      <c r="B5" s="107"/>
      <c r="C5" s="35" t="s">
        <v>285</v>
      </c>
      <c r="D5" s="35" t="s">
        <v>37</v>
      </c>
      <c r="E5" s="108" t="s">
        <v>38</v>
      </c>
      <c r="F5" s="108"/>
    </row>
    <row r="6" spans="1:6" s="36" customFormat="1" ht="19.8" x14ac:dyDescent="0.3">
      <c r="A6" s="109" t="s">
        <v>263</v>
      </c>
      <c r="B6" s="110"/>
      <c r="C6" s="45">
        <v>1750</v>
      </c>
      <c r="D6" s="46">
        <v>9045</v>
      </c>
      <c r="E6" s="111">
        <v>10</v>
      </c>
      <c r="F6" s="111"/>
    </row>
    <row r="7" spans="1:6" s="36" customFormat="1" ht="21.75" customHeight="1" x14ac:dyDescent="0.3">
      <c r="A7" s="112" t="s">
        <v>273</v>
      </c>
      <c r="B7" s="113"/>
      <c r="C7" s="47">
        <v>777</v>
      </c>
      <c r="D7" s="89">
        <v>5580</v>
      </c>
      <c r="E7" s="114">
        <v>10</v>
      </c>
      <c r="F7" s="114"/>
    </row>
    <row r="8" spans="1:6" s="36" customFormat="1" ht="22.95" customHeight="1" x14ac:dyDescent="0.3">
      <c r="A8" s="115" t="s">
        <v>39</v>
      </c>
      <c r="B8" s="91" t="s">
        <v>272</v>
      </c>
      <c r="C8" s="47">
        <v>261</v>
      </c>
      <c r="D8" s="89">
        <v>2412</v>
      </c>
      <c r="E8" s="114">
        <v>6</v>
      </c>
      <c r="F8" s="114"/>
    </row>
    <row r="9" spans="1:6" s="36" customFormat="1" ht="19.8" x14ac:dyDescent="0.3">
      <c r="A9" s="116"/>
      <c r="B9" s="49" t="s">
        <v>265</v>
      </c>
      <c r="C9" s="47">
        <v>55</v>
      </c>
      <c r="D9" s="89">
        <v>388</v>
      </c>
      <c r="E9" s="114">
        <v>0</v>
      </c>
      <c r="F9" s="114"/>
    </row>
    <row r="10" spans="1:6" s="36" customFormat="1" ht="19.8" x14ac:dyDescent="0.3">
      <c r="A10" s="116"/>
      <c r="B10" s="49" t="s">
        <v>266</v>
      </c>
      <c r="C10" s="47">
        <v>30</v>
      </c>
      <c r="D10" s="89">
        <v>558</v>
      </c>
      <c r="E10" s="114">
        <v>0</v>
      </c>
      <c r="F10" s="114"/>
    </row>
    <row r="11" spans="1:6" s="36" customFormat="1" ht="19.8" x14ac:dyDescent="0.3">
      <c r="A11" s="116"/>
      <c r="B11" s="49" t="s">
        <v>267</v>
      </c>
      <c r="C11" s="47">
        <v>24</v>
      </c>
      <c r="D11" s="89">
        <v>174</v>
      </c>
      <c r="E11" s="114">
        <v>0</v>
      </c>
      <c r="F11" s="114"/>
    </row>
    <row r="12" spans="1:6" s="36" customFormat="1" ht="19.8" x14ac:dyDescent="0.3">
      <c r="A12" s="116"/>
      <c r="B12" s="49" t="s">
        <v>268</v>
      </c>
      <c r="C12" s="47">
        <v>90</v>
      </c>
      <c r="D12" s="89">
        <v>827</v>
      </c>
      <c r="E12" s="114">
        <v>0</v>
      </c>
      <c r="F12" s="114"/>
    </row>
    <row r="13" spans="1:6" s="36" customFormat="1" ht="19.8" x14ac:dyDescent="0.3">
      <c r="A13" s="116"/>
      <c r="B13" s="49" t="s">
        <v>269</v>
      </c>
      <c r="C13" s="47">
        <v>87</v>
      </c>
      <c r="D13" s="89">
        <v>929</v>
      </c>
      <c r="E13" s="114">
        <v>0</v>
      </c>
      <c r="F13" s="114"/>
    </row>
    <row r="14" spans="1:6" s="36" customFormat="1" ht="19.8" x14ac:dyDescent="0.3">
      <c r="A14" s="116"/>
      <c r="B14" s="49" t="s">
        <v>270</v>
      </c>
      <c r="C14" s="47">
        <v>0</v>
      </c>
      <c r="D14" s="89">
        <v>0</v>
      </c>
      <c r="E14" s="114">
        <v>0</v>
      </c>
      <c r="F14" s="114"/>
    </row>
    <row r="15" spans="1:6" s="36" customFormat="1" ht="19.8" x14ac:dyDescent="0.3">
      <c r="A15" s="117"/>
      <c r="B15" s="49" t="s">
        <v>271</v>
      </c>
      <c r="C15" s="47">
        <v>2</v>
      </c>
      <c r="D15" s="89">
        <v>39</v>
      </c>
      <c r="E15" s="114">
        <v>6</v>
      </c>
      <c r="F15" s="114"/>
    </row>
    <row r="16" spans="1:6" s="36" customFormat="1" ht="21.9" customHeight="1" x14ac:dyDescent="0.3">
      <c r="A16" s="115" t="s">
        <v>47</v>
      </c>
      <c r="B16" s="49" t="s">
        <v>48</v>
      </c>
      <c r="C16" s="47">
        <v>1</v>
      </c>
      <c r="D16" s="89">
        <v>12</v>
      </c>
      <c r="E16" s="114">
        <v>4</v>
      </c>
      <c r="F16" s="114"/>
    </row>
    <row r="17" spans="1:8" s="36" customFormat="1" ht="21.9" customHeight="1" x14ac:dyDescent="0.3">
      <c r="A17" s="116"/>
      <c r="B17" s="49" t="s">
        <v>49</v>
      </c>
      <c r="C17" s="47">
        <v>1</v>
      </c>
      <c r="D17" s="89">
        <v>12</v>
      </c>
      <c r="E17" s="114">
        <v>4</v>
      </c>
      <c r="F17" s="114"/>
    </row>
    <row r="18" spans="1:8" s="36" customFormat="1" ht="21.9" customHeight="1" x14ac:dyDescent="0.3">
      <c r="A18" s="116"/>
      <c r="B18" s="49" t="s">
        <v>50</v>
      </c>
      <c r="C18" s="47">
        <v>0</v>
      </c>
      <c r="D18" s="89">
        <v>0</v>
      </c>
      <c r="E18" s="114">
        <v>0</v>
      </c>
      <c r="F18" s="114"/>
    </row>
    <row r="19" spans="1:8" s="36" customFormat="1" ht="21.9" customHeight="1" x14ac:dyDescent="0.3">
      <c r="A19" s="117"/>
      <c r="B19" s="49" t="s">
        <v>219</v>
      </c>
      <c r="C19" s="47">
        <v>0</v>
      </c>
      <c r="D19" s="89">
        <v>0</v>
      </c>
      <c r="E19" s="114">
        <v>0</v>
      </c>
      <c r="F19" s="114"/>
    </row>
    <row r="20" spans="1:8" s="36" customFormat="1" ht="19.95" customHeight="1" x14ac:dyDescent="0.3">
      <c r="A20" s="115" t="s">
        <v>51</v>
      </c>
      <c r="B20" s="49" t="s">
        <v>48</v>
      </c>
      <c r="C20" s="47">
        <v>11</v>
      </c>
      <c r="D20" s="89">
        <v>153</v>
      </c>
      <c r="E20" s="118">
        <v>0</v>
      </c>
      <c r="F20" s="118"/>
      <c r="G20" s="87"/>
    </row>
    <row r="21" spans="1:8" s="36" customFormat="1" ht="19.8" x14ac:dyDescent="0.3">
      <c r="A21" s="116"/>
      <c r="B21" s="49" t="s">
        <v>52</v>
      </c>
      <c r="C21" s="47">
        <v>6</v>
      </c>
      <c r="D21" s="89">
        <v>129</v>
      </c>
      <c r="E21" s="114">
        <v>0</v>
      </c>
      <c r="F21" s="114"/>
    </row>
    <row r="22" spans="1:8" s="36" customFormat="1" ht="19.8" x14ac:dyDescent="0.3">
      <c r="A22" s="116"/>
      <c r="B22" s="49" t="s">
        <v>53</v>
      </c>
      <c r="C22" s="47">
        <v>0</v>
      </c>
      <c r="D22" s="89">
        <v>0</v>
      </c>
      <c r="E22" s="114">
        <v>0</v>
      </c>
      <c r="F22" s="114"/>
    </row>
    <row r="23" spans="1:8" s="36" customFormat="1" ht="19.8" x14ac:dyDescent="0.3">
      <c r="A23" s="116"/>
      <c r="B23" s="49" t="s">
        <v>54</v>
      </c>
      <c r="C23" s="47">
        <v>3</v>
      </c>
      <c r="D23" s="89">
        <v>5</v>
      </c>
      <c r="E23" s="114">
        <v>0</v>
      </c>
      <c r="F23" s="114"/>
    </row>
    <row r="24" spans="1:8" s="36" customFormat="1" ht="19.8" x14ac:dyDescent="0.3">
      <c r="A24" s="116"/>
      <c r="B24" s="49" t="s">
        <v>55</v>
      </c>
      <c r="C24" s="47">
        <v>2</v>
      </c>
      <c r="D24" s="89">
        <v>19</v>
      </c>
      <c r="E24" s="114">
        <v>0</v>
      </c>
      <c r="F24" s="114"/>
    </row>
    <row r="25" spans="1:8" s="36" customFormat="1" ht="19.8" x14ac:dyDescent="0.3">
      <c r="A25" s="116"/>
      <c r="B25" s="49" t="s">
        <v>56</v>
      </c>
      <c r="C25" s="47">
        <v>0</v>
      </c>
      <c r="D25" s="89">
        <v>0</v>
      </c>
      <c r="E25" s="114">
        <v>0</v>
      </c>
      <c r="F25" s="114"/>
    </row>
    <row r="26" spans="1:8" s="36" customFormat="1" ht="19.8" x14ac:dyDescent="0.3">
      <c r="A26" s="117"/>
      <c r="B26" s="49" t="s">
        <v>219</v>
      </c>
      <c r="C26" s="47">
        <v>0</v>
      </c>
      <c r="D26" s="89">
        <v>0</v>
      </c>
      <c r="E26" s="114">
        <v>0</v>
      </c>
      <c r="F26" s="114"/>
    </row>
    <row r="27" spans="1:8" s="75" customFormat="1" ht="18.899999999999999" customHeight="1" x14ac:dyDescent="0.3">
      <c r="A27" s="121" t="s">
        <v>274</v>
      </c>
      <c r="B27" s="92" t="s">
        <v>275</v>
      </c>
      <c r="C27" s="90">
        <v>562</v>
      </c>
      <c r="D27" s="90">
        <v>3634</v>
      </c>
      <c r="E27" s="118">
        <v>0</v>
      </c>
      <c r="F27" s="118"/>
      <c r="G27" s="88"/>
      <c r="H27" s="88"/>
    </row>
    <row r="28" spans="1:8" s="75" customFormat="1" ht="18.899999999999999" customHeight="1" x14ac:dyDescent="0.3">
      <c r="A28" s="122"/>
      <c r="B28" s="92" t="s">
        <v>276</v>
      </c>
      <c r="C28" s="90">
        <v>12</v>
      </c>
      <c r="D28" s="90">
        <v>79</v>
      </c>
      <c r="E28" s="118">
        <v>0</v>
      </c>
      <c r="F28" s="118"/>
      <c r="G28" s="88"/>
      <c r="H28" s="88"/>
    </row>
    <row r="29" spans="1:8" s="75" customFormat="1" ht="18.899999999999999" customHeight="1" x14ac:dyDescent="0.3">
      <c r="A29" s="123"/>
      <c r="B29" s="92" t="s">
        <v>277</v>
      </c>
      <c r="C29" s="78">
        <v>0</v>
      </c>
      <c r="D29" s="77">
        <v>0</v>
      </c>
      <c r="E29" s="114">
        <v>0</v>
      </c>
      <c r="F29" s="114"/>
    </row>
    <row r="30" spans="1:8" s="36" customFormat="1" ht="19.95" customHeight="1" x14ac:dyDescent="0.3">
      <c r="A30" s="119" t="s">
        <v>220</v>
      </c>
      <c r="B30" s="110"/>
      <c r="C30" s="47">
        <v>0</v>
      </c>
      <c r="D30" s="89">
        <v>0</v>
      </c>
      <c r="E30" s="114">
        <v>0</v>
      </c>
      <c r="F30" s="114"/>
    </row>
    <row r="31" spans="1:8" s="36" customFormat="1" ht="19.95" customHeight="1" x14ac:dyDescent="0.3">
      <c r="A31" s="119" t="s">
        <v>58</v>
      </c>
      <c r="B31" s="110"/>
      <c r="C31" s="47">
        <v>973</v>
      </c>
      <c r="D31" s="89">
        <v>3465</v>
      </c>
      <c r="E31" s="114">
        <v>0</v>
      </c>
      <c r="F31" s="114"/>
    </row>
    <row r="32" spans="1:8" s="36" customFormat="1" ht="19.8" x14ac:dyDescent="0.3">
      <c r="A32" s="50"/>
      <c r="B32" s="51" t="s">
        <v>59</v>
      </c>
      <c r="C32" s="47">
        <v>951</v>
      </c>
      <c r="D32" s="89">
        <v>4938</v>
      </c>
      <c r="E32" s="114">
        <v>4</v>
      </c>
      <c r="F32" s="114"/>
    </row>
    <row r="33" spans="1:28" s="36" customFormat="1" ht="19.8" x14ac:dyDescent="0.3">
      <c r="A33" s="52"/>
      <c r="B33" s="51" t="s">
        <v>60</v>
      </c>
      <c r="C33" s="53">
        <v>792</v>
      </c>
      <c r="D33" s="54">
        <v>3570</v>
      </c>
      <c r="E33" s="120">
        <v>6</v>
      </c>
      <c r="F33" s="120"/>
    </row>
    <row r="34" spans="1:28" s="57" customFormat="1" ht="23.25" customHeight="1" x14ac:dyDescent="0.3">
      <c r="A34" s="55" t="s">
        <v>61</v>
      </c>
      <c r="B34" s="56"/>
      <c r="C34" s="55" t="s">
        <v>62</v>
      </c>
      <c r="D34" s="55" t="s">
        <v>63</v>
      </c>
      <c r="E34" s="55" t="s">
        <v>64</v>
      </c>
      <c r="F34" s="55"/>
      <c r="H34" s="56"/>
      <c r="I34" s="43"/>
      <c r="J34" s="56"/>
      <c r="M34" s="56"/>
      <c r="N34" s="56"/>
      <c r="O34" s="56"/>
      <c r="P34" s="56"/>
      <c r="R34" s="56"/>
      <c r="S34" s="56"/>
      <c r="T34" s="56"/>
      <c r="U34" s="56"/>
      <c r="Z34" s="56"/>
      <c r="AB34" s="58"/>
    </row>
    <row r="35" spans="1:28" s="57" customFormat="1" ht="22.5" customHeight="1" x14ac:dyDescent="0.3">
      <c r="A35" s="56"/>
      <c r="B35" s="56"/>
      <c r="C35" s="55"/>
      <c r="D35" s="55" t="s">
        <v>65</v>
      </c>
      <c r="E35" s="55"/>
      <c r="H35" s="56"/>
      <c r="I35" s="43"/>
      <c r="J35" s="56"/>
      <c r="K35" s="56"/>
      <c r="L35" s="56"/>
      <c r="M35" s="56"/>
      <c r="N35" s="56"/>
      <c r="O35" s="56"/>
      <c r="P35" s="56"/>
      <c r="Q35" s="56"/>
      <c r="R35" s="56"/>
      <c r="S35" s="56"/>
      <c r="T35" s="56"/>
      <c r="U35" s="56"/>
      <c r="V35" s="56"/>
      <c r="W35" s="56"/>
    </row>
    <row r="36" spans="1:28" s="59" customFormat="1" ht="21" customHeight="1" x14ac:dyDescent="0.3">
      <c r="A36" s="59" t="s">
        <v>144</v>
      </c>
    </row>
    <row r="37" spans="1:28" s="59" customFormat="1" ht="21" customHeight="1" x14ac:dyDescent="0.3">
      <c r="A37" s="59" t="s">
        <v>145</v>
      </c>
    </row>
    <row r="38" spans="1:28" s="74" customFormat="1" ht="21" customHeight="1" x14ac:dyDescent="0.3">
      <c r="A38" s="97" t="s">
        <v>286</v>
      </c>
    </row>
    <row r="39" spans="1:28" s="59" customFormat="1" ht="21" customHeight="1" x14ac:dyDescent="0.3"/>
    <row r="40" spans="1:28" s="59" customFormat="1" ht="18.600000000000001" x14ac:dyDescent="0.3">
      <c r="B40" s="61"/>
    </row>
    <row r="41" spans="1:28" s="42" customFormat="1" ht="16.2" x14ac:dyDescent="0.3">
      <c r="B41" s="59"/>
    </row>
    <row r="42" spans="1:28" s="42" customFormat="1" x14ac:dyDescent="0.3"/>
    <row r="43" spans="1:28" s="42" customFormat="1" x14ac:dyDescent="0.3"/>
    <row r="44" spans="1:28" s="42" customFormat="1" x14ac:dyDescent="0.3"/>
    <row r="45" spans="1:28" s="42" customFormat="1" x14ac:dyDescent="0.3"/>
    <row r="46" spans="1:28" s="42" customFormat="1" x14ac:dyDescent="0.3"/>
    <row r="47" spans="1:28" s="42" customFormat="1" x14ac:dyDescent="0.3"/>
    <row r="48" spans="1:28" s="42" customFormat="1" x14ac:dyDescent="0.3"/>
    <row r="49" spans="2:2" s="42" customFormat="1" ht="16.2" x14ac:dyDescent="0.3">
      <c r="B49" s="62"/>
    </row>
    <row r="50" spans="2:2" s="42" customFormat="1" x14ac:dyDescent="0.3"/>
    <row r="51" spans="2:2" s="42" customFormat="1" x14ac:dyDescent="0.3"/>
    <row r="52" spans="2:2" s="42" customFormat="1" x14ac:dyDescent="0.3"/>
    <row r="53" spans="2:2" s="42" customFormat="1" x14ac:dyDescent="0.3"/>
    <row r="54" spans="2:2" s="42" customFormat="1" x14ac:dyDescent="0.3"/>
    <row r="55" spans="2:2" s="42" customFormat="1" x14ac:dyDescent="0.3"/>
    <row r="56" spans="2:2" s="42" customFormat="1" x14ac:dyDescent="0.3"/>
    <row r="57" spans="2:2" s="42" customFormat="1" x14ac:dyDescent="0.3"/>
    <row r="58" spans="2:2" s="42" customFormat="1" x14ac:dyDescent="0.3"/>
    <row r="59" spans="2:2" s="42" customFormat="1" x14ac:dyDescent="0.3"/>
    <row r="60" spans="2:2" s="42" customFormat="1" x14ac:dyDescent="0.3"/>
    <row r="61" spans="2:2" s="42" customFormat="1" x14ac:dyDescent="0.3"/>
  </sheetData>
  <mergeCells count="40">
    <mergeCell ref="A31:B31"/>
    <mergeCell ref="E31:F31"/>
    <mergeCell ref="E32:F32"/>
    <mergeCell ref="E33:F33"/>
    <mergeCell ref="A27:A29"/>
    <mergeCell ref="E27:F27"/>
    <mergeCell ref="E28:F28"/>
    <mergeCell ref="E29:F29"/>
    <mergeCell ref="A30:B30"/>
    <mergeCell ref="E30:F30"/>
    <mergeCell ref="A20:A26"/>
    <mergeCell ref="E20:F20"/>
    <mergeCell ref="E21:F21"/>
    <mergeCell ref="E22:F22"/>
    <mergeCell ref="E23:F23"/>
    <mergeCell ref="E24:F24"/>
    <mergeCell ref="E25:F25"/>
    <mergeCell ref="E26:F26"/>
    <mergeCell ref="A16:A19"/>
    <mergeCell ref="E16:F16"/>
    <mergeCell ref="E17:F17"/>
    <mergeCell ref="E18:F18"/>
    <mergeCell ref="E19:F19"/>
    <mergeCell ref="A7:B7"/>
    <mergeCell ref="E7:F7"/>
    <mergeCell ref="A8:A15"/>
    <mergeCell ref="E8:F8"/>
    <mergeCell ref="E9:F9"/>
    <mergeCell ref="E10:F10"/>
    <mergeCell ref="E11:F11"/>
    <mergeCell ref="E12:F12"/>
    <mergeCell ref="E13:F13"/>
    <mergeCell ref="E14:F14"/>
    <mergeCell ref="E15:F15"/>
    <mergeCell ref="A3:F3"/>
    <mergeCell ref="A4:E4"/>
    <mergeCell ref="A5:B5"/>
    <mergeCell ref="E5:F5"/>
    <mergeCell ref="A6:B6"/>
    <mergeCell ref="E6:F6"/>
  </mergeCells>
  <phoneticPr fontId="3" type="noConversion"/>
  <printOptions horizontalCentered="1" verticalCentered="1"/>
  <pageMargins left="0.98425196850393692" right="0.35433070866141703" top="0.31496062992126012" bottom="0.31496062992126012" header="0.31496062992126012" footer="0.31496062992126012"/>
  <pageSetup paperSize="9" firstPageNumber="96" fitToWidth="0" fitToHeight="0" orientation="landscape" useFirstPageNumber="1" verticalDpi="0" r:id="rId1"/>
  <headerFooter alignWithMargins="0">
    <oddFooter>&amp;C&amp;"Times New Roman,Regular"&amp;P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9CB70-2960-46E4-866F-91FC964C368F}">
  <dimension ref="A1:AB62"/>
  <sheetViews>
    <sheetView zoomScaleNormal="100"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6" t="s">
        <v>164</v>
      </c>
      <c r="E2" s="40" t="s">
        <v>30</v>
      </c>
      <c r="F2" s="41" t="s">
        <v>31</v>
      </c>
    </row>
    <row r="3" spans="1:6" s="42" customFormat="1" ht="30.75" customHeight="1" x14ac:dyDescent="0.3">
      <c r="A3" s="104" t="s">
        <v>32</v>
      </c>
      <c r="B3" s="104"/>
      <c r="C3" s="104"/>
      <c r="D3" s="104"/>
      <c r="E3" s="104"/>
      <c r="F3" s="104"/>
    </row>
    <row r="4" spans="1:6" s="42" customFormat="1" ht="22.5" customHeight="1" x14ac:dyDescent="0.3">
      <c r="A4" s="105" t="s">
        <v>262</v>
      </c>
      <c r="B4" s="106"/>
      <c r="C4" s="106"/>
      <c r="D4" s="106"/>
      <c r="E4" s="106"/>
      <c r="F4" s="43" t="s">
        <v>34</v>
      </c>
    </row>
    <row r="5" spans="1:6" s="36" customFormat="1" ht="27" customHeight="1" x14ac:dyDescent="0.3">
      <c r="A5" s="107" t="s">
        <v>156</v>
      </c>
      <c r="B5" s="107"/>
      <c r="C5" s="35" t="s">
        <v>36</v>
      </c>
      <c r="D5" s="35" t="s">
        <v>37</v>
      </c>
      <c r="E5" s="108" t="s">
        <v>38</v>
      </c>
      <c r="F5" s="108"/>
    </row>
    <row r="6" spans="1:6" s="36" customFormat="1" ht="19.8" x14ac:dyDescent="0.3">
      <c r="A6" s="109" t="s">
        <v>263</v>
      </c>
      <c r="B6" s="110"/>
      <c r="C6" s="45">
        <v>633</v>
      </c>
      <c r="D6" s="46">
        <v>5196</v>
      </c>
      <c r="E6" s="111">
        <v>1</v>
      </c>
      <c r="F6" s="111"/>
    </row>
    <row r="7" spans="1:6" s="36" customFormat="1" ht="21.75" customHeight="1" x14ac:dyDescent="0.3">
      <c r="A7" s="113" t="s">
        <v>157</v>
      </c>
      <c r="B7" s="113"/>
      <c r="C7" s="47">
        <v>265</v>
      </c>
      <c r="D7" s="86">
        <v>3254</v>
      </c>
      <c r="E7" s="114">
        <v>1</v>
      </c>
      <c r="F7" s="114"/>
    </row>
    <row r="8" spans="1:6" s="36" customFormat="1" ht="22.95" customHeight="1" x14ac:dyDescent="0.3">
      <c r="A8" s="115" t="s">
        <v>39</v>
      </c>
      <c r="B8" s="49" t="s">
        <v>218</v>
      </c>
      <c r="C8" s="47">
        <v>72</v>
      </c>
      <c r="D8" s="86">
        <v>1672</v>
      </c>
      <c r="E8" s="114">
        <v>0</v>
      </c>
      <c r="F8" s="114"/>
    </row>
    <row r="9" spans="1:6" s="36" customFormat="1" ht="19.8" x14ac:dyDescent="0.3">
      <c r="A9" s="116"/>
      <c r="B9" s="49" t="s">
        <v>40</v>
      </c>
      <c r="C9" s="47">
        <v>11</v>
      </c>
      <c r="D9" s="86">
        <v>126</v>
      </c>
      <c r="E9" s="114">
        <v>0</v>
      </c>
      <c r="F9" s="114"/>
    </row>
    <row r="10" spans="1:6" s="36" customFormat="1" ht="19.8" x14ac:dyDescent="0.3">
      <c r="A10" s="116"/>
      <c r="B10" s="49" t="s">
        <v>41</v>
      </c>
      <c r="C10" s="47">
        <v>25</v>
      </c>
      <c r="D10" s="86">
        <v>1107</v>
      </c>
      <c r="E10" s="114">
        <v>0</v>
      </c>
      <c r="F10" s="114"/>
    </row>
    <row r="11" spans="1:6" s="36" customFormat="1" ht="19.8" x14ac:dyDescent="0.3">
      <c r="A11" s="116"/>
      <c r="B11" s="49" t="s">
        <v>42</v>
      </c>
      <c r="C11" s="47">
        <v>8</v>
      </c>
      <c r="D11" s="86">
        <v>90</v>
      </c>
      <c r="E11" s="114">
        <v>0</v>
      </c>
      <c r="F11" s="114"/>
    </row>
    <row r="12" spans="1:6" s="36" customFormat="1" ht="19.8" x14ac:dyDescent="0.3">
      <c r="A12" s="116"/>
      <c r="B12" s="49" t="s">
        <v>43</v>
      </c>
      <c r="C12" s="47">
        <v>18</v>
      </c>
      <c r="D12" s="86">
        <v>306</v>
      </c>
      <c r="E12" s="114">
        <v>0</v>
      </c>
      <c r="F12" s="114"/>
    </row>
    <row r="13" spans="1:6" s="36" customFormat="1" ht="19.8" x14ac:dyDescent="0.3">
      <c r="A13" s="116"/>
      <c r="B13" s="49" t="s">
        <v>44</v>
      </c>
      <c r="C13" s="47">
        <v>19</v>
      </c>
      <c r="D13" s="86">
        <v>927</v>
      </c>
      <c r="E13" s="114">
        <v>0</v>
      </c>
      <c r="F13" s="114"/>
    </row>
    <row r="14" spans="1:6" s="36" customFormat="1" ht="19.8" x14ac:dyDescent="0.3">
      <c r="A14" s="116"/>
      <c r="B14" s="49" t="s">
        <v>45</v>
      </c>
      <c r="C14" s="47">
        <v>0</v>
      </c>
      <c r="D14" s="86">
        <v>0</v>
      </c>
      <c r="E14" s="114">
        <v>0</v>
      </c>
      <c r="F14" s="114"/>
    </row>
    <row r="15" spans="1:6" s="36" customFormat="1" ht="19.8" x14ac:dyDescent="0.3">
      <c r="A15" s="117"/>
      <c r="B15" s="49" t="s">
        <v>219</v>
      </c>
      <c r="C15" s="47">
        <v>0</v>
      </c>
      <c r="D15" s="86">
        <v>0</v>
      </c>
      <c r="E15" s="114">
        <v>0</v>
      </c>
      <c r="F15" s="114"/>
    </row>
    <row r="16" spans="1:6" s="36" customFormat="1" ht="21.9" customHeight="1" x14ac:dyDescent="0.3">
      <c r="A16" s="115" t="s">
        <v>47</v>
      </c>
      <c r="B16" s="49" t="s">
        <v>48</v>
      </c>
      <c r="C16" s="47">
        <v>0</v>
      </c>
      <c r="D16" s="86">
        <v>0</v>
      </c>
      <c r="E16" s="114">
        <v>0</v>
      </c>
      <c r="F16" s="114"/>
    </row>
    <row r="17" spans="1:8" s="36" customFormat="1" ht="21.9" customHeight="1" x14ac:dyDescent="0.3">
      <c r="A17" s="116"/>
      <c r="B17" s="49" t="s">
        <v>49</v>
      </c>
      <c r="C17" s="47">
        <v>0</v>
      </c>
      <c r="D17" s="86">
        <v>0</v>
      </c>
      <c r="E17" s="114">
        <v>0</v>
      </c>
      <c r="F17" s="114"/>
    </row>
    <row r="18" spans="1:8" s="36" customFormat="1" ht="21.9" customHeight="1" x14ac:dyDescent="0.3">
      <c r="A18" s="116"/>
      <c r="B18" s="49" t="s">
        <v>50</v>
      </c>
      <c r="C18" s="47">
        <v>0</v>
      </c>
      <c r="D18" s="86">
        <v>0</v>
      </c>
      <c r="E18" s="114">
        <v>0</v>
      </c>
      <c r="F18" s="114"/>
    </row>
    <row r="19" spans="1:8" s="36" customFormat="1" ht="21.9" customHeight="1" x14ac:dyDescent="0.3">
      <c r="A19" s="117"/>
      <c r="B19" s="49" t="s">
        <v>219</v>
      </c>
      <c r="C19" s="47">
        <v>0</v>
      </c>
      <c r="D19" s="86">
        <v>0</v>
      </c>
      <c r="E19" s="114">
        <v>0</v>
      </c>
      <c r="F19" s="114"/>
    </row>
    <row r="20" spans="1:8" s="36" customFormat="1" ht="19.95" customHeight="1" x14ac:dyDescent="0.3">
      <c r="A20" s="115" t="s">
        <v>51</v>
      </c>
      <c r="B20" s="49" t="s">
        <v>48</v>
      </c>
      <c r="C20" s="47">
        <v>16</v>
      </c>
      <c r="D20" s="86">
        <v>65</v>
      </c>
      <c r="E20" s="118">
        <v>1</v>
      </c>
      <c r="F20" s="118"/>
      <c r="G20" s="87"/>
    </row>
    <row r="21" spans="1:8" s="36" customFormat="1" ht="19.8" x14ac:dyDescent="0.3">
      <c r="A21" s="116"/>
      <c r="B21" s="49" t="s">
        <v>52</v>
      </c>
      <c r="C21" s="47">
        <v>5</v>
      </c>
      <c r="D21" s="86">
        <v>18</v>
      </c>
      <c r="E21" s="114">
        <v>0</v>
      </c>
      <c r="F21" s="114"/>
    </row>
    <row r="22" spans="1:8" s="36" customFormat="1" ht="19.8" x14ac:dyDescent="0.3">
      <c r="A22" s="116"/>
      <c r="B22" s="49" t="s">
        <v>53</v>
      </c>
      <c r="C22" s="47">
        <v>0</v>
      </c>
      <c r="D22" s="86">
        <v>0</v>
      </c>
      <c r="E22" s="114">
        <v>0</v>
      </c>
      <c r="F22" s="114"/>
    </row>
    <row r="23" spans="1:8" s="36" customFormat="1" ht="19.8" x14ac:dyDescent="0.3">
      <c r="A23" s="116"/>
      <c r="B23" s="49" t="s">
        <v>54</v>
      </c>
      <c r="C23" s="47">
        <v>1</v>
      </c>
      <c r="D23" s="86">
        <v>9</v>
      </c>
      <c r="E23" s="114">
        <v>1</v>
      </c>
      <c r="F23" s="114"/>
    </row>
    <row r="24" spans="1:8" s="36" customFormat="1" ht="19.8" x14ac:dyDescent="0.3">
      <c r="A24" s="116"/>
      <c r="B24" s="49" t="s">
        <v>55</v>
      </c>
      <c r="C24" s="47">
        <v>10</v>
      </c>
      <c r="D24" s="86">
        <v>38</v>
      </c>
      <c r="E24" s="114">
        <v>0</v>
      </c>
      <c r="F24" s="114"/>
    </row>
    <row r="25" spans="1:8" s="36" customFormat="1" ht="19.8" x14ac:dyDescent="0.3">
      <c r="A25" s="116"/>
      <c r="B25" s="49" t="s">
        <v>56</v>
      </c>
      <c r="C25" s="47">
        <v>0</v>
      </c>
      <c r="D25" s="86">
        <v>0</v>
      </c>
      <c r="E25" s="114">
        <v>0</v>
      </c>
      <c r="F25" s="114"/>
    </row>
    <row r="26" spans="1:8" s="36" customFormat="1" ht="19.8" x14ac:dyDescent="0.3">
      <c r="A26" s="117"/>
      <c r="B26" s="49" t="s">
        <v>219</v>
      </c>
      <c r="C26" s="47">
        <v>0</v>
      </c>
      <c r="D26" s="86">
        <v>0</v>
      </c>
      <c r="E26" s="114">
        <v>0</v>
      </c>
      <c r="F26" s="114"/>
    </row>
    <row r="27" spans="1:8" s="75" customFormat="1" ht="18.899999999999999" customHeight="1" x14ac:dyDescent="0.3">
      <c r="A27" s="121" t="s">
        <v>274</v>
      </c>
      <c r="B27" s="92" t="s">
        <v>275</v>
      </c>
      <c r="C27" s="90">
        <v>187</v>
      </c>
      <c r="D27" s="90">
        <v>1658</v>
      </c>
      <c r="E27" s="118">
        <v>0</v>
      </c>
      <c r="F27" s="118"/>
      <c r="G27" s="88"/>
      <c r="H27" s="88"/>
    </row>
    <row r="28" spans="1:8" s="75" customFormat="1" ht="18.899999999999999" customHeight="1" x14ac:dyDescent="0.3">
      <c r="A28" s="122"/>
      <c r="B28" s="92" t="s">
        <v>276</v>
      </c>
      <c r="C28" s="90">
        <v>2</v>
      </c>
      <c r="D28" s="90">
        <v>7</v>
      </c>
      <c r="E28" s="118">
        <v>0</v>
      </c>
      <c r="F28" s="118"/>
      <c r="G28" s="88"/>
      <c r="H28" s="88"/>
    </row>
    <row r="29" spans="1:8" s="75" customFormat="1" ht="18.899999999999999" customHeight="1" x14ac:dyDescent="0.3">
      <c r="A29" s="123"/>
      <c r="B29" s="92" t="s">
        <v>277</v>
      </c>
      <c r="C29" s="78">
        <v>0</v>
      </c>
      <c r="D29" s="77">
        <v>0</v>
      </c>
      <c r="E29" s="114">
        <v>0</v>
      </c>
      <c r="F29" s="114"/>
    </row>
    <row r="30" spans="1:8" s="36" customFormat="1" ht="19.95" customHeight="1" x14ac:dyDescent="0.3">
      <c r="A30" s="119" t="s">
        <v>220</v>
      </c>
      <c r="B30" s="110"/>
      <c r="C30" s="47">
        <v>0</v>
      </c>
      <c r="D30" s="86">
        <v>0</v>
      </c>
      <c r="E30" s="114">
        <v>0</v>
      </c>
      <c r="F30" s="114"/>
    </row>
    <row r="31" spans="1:8" s="36" customFormat="1" ht="19.95" customHeight="1" x14ac:dyDescent="0.3">
      <c r="A31" s="119" t="s">
        <v>58</v>
      </c>
      <c r="B31" s="110"/>
      <c r="C31" s="47">
        <v>368</v>
      </c>
      <c r="D31" s="86">
        <v>1942</v>
      </c>
      <c r="E31" s="114">
        <v>0</v>
      </c>
      <c r="F31" s="114"/>
    </row>
    <row r="32" spans="1:8" s="36" customFormat="1" ht="19.8" x14ac:dyDescent="0.3">
      <c r="A32" s="50"/>
      <c r="B32" s="51" t="s">
        <v>59</v>
      </c>
      <c r="C32" s="47">
        <v>184</v>
      </c>
      <c r="D32" s="86">
        <v>1345</v>
      </c>
      <c r="E32" s="114">
        <v>0</v>
      </c>
      <c r="F32" s="114"/>
    </row>
    <row r="33" spans="1:28" s="36" customFormat="1" ht="19.8" x14ac:dyDescent="0.3">
      <c r="A33" s="52"/>
      <c r="B33" s="51" t="s">
        <v>60</v>
      </c>
      <c r="C33" s="53">
        <v>184</v>
      </c>
      <c r="D33" s="54">
        <v>597</v>
      </c>
      <c r="E33" s="120">
        <v>0</v>
      </c>
      <c r="F33" s="120"/>
    </row>
    <row r="34" spans="1:28" s="57" customFormat="1" ht="23.25" customHeight="1" x14ac:dyDescent="0.3">
      <c r="A34" s="55" t="s">
        <v>61</v>
      </c>
      <c r="B34" s="56"/>
      <c r="C34" s="55" t="s">
        <v>62</v>
      </c>
      <c r="D34" s="55" t="s">
        <v>63</v>
      </c>
      <c r="E34" s="55" t="s">
        <v>64</v>
      </c>
      <c r="F34" s="55"/>
      <c r="H34" s="56"/>
      <c r="I34" s="43"/>
      <c r="J34" s="56"/>
      <c r="M34" s="56"/>
      <c r="N34" s="56"/>
      <c r="O34" s="56"/>
      <c r="P34" s="56"/>
      <c r="R34" s="56"/>
      <c r="S34" s="56"/>
      <c r="T34" s="56"/>
      <c r="U34" s="56"/>
      <c r="Z34" s="56"/>
      <c r="AB34" s="58"/>
    </row>
    <row r="35" spans="1:28" s="57" customFormat="1" ht="22.5" customHeight="1" x14ac:dyDescent="0.3">
      <c r="A35" s="56"/>
      <c r="B35" s="56"/>
      <c r="C35" s="55"/>
      <c r="D35" s="55" t="s">
        <v>65</v>
      </c>
      <c r="E35" s="55"/>
      <c r="H35" s="56"/>
      <c r="I35" s="43"/>
      <c r="J35" s="56"/>
      <c r="K35" s="56"/>
      <c r="L35" s="56"/>
      <c r="M35" s="56"/>
      <c r="N35" s="56"/>
      <c r="O35" s="56"/>
      <c r="P35" s="56"/>
      <c r="Q35" s="56"/>
      <c r="R35" s="56"/>
      <c r="S35" s="56"/>
      <c r="T35" s="56"/>
      <c r="U35" s="56"/>
      <c r="V35" s="56"/>
      <c r="W35" s="56"/>
    </row>
    <row r="36" spans="1:28" s="59" customFormat="1" ht="21" customHeight="1" x14ac:dyDescent="0.3">
      <c r="A36" s="59" t="s">
        <v>144</v>
      </c>
    </row>
    <row r="37" spans="1:28" s="59" customFormat="1" ht="21" customHeight="1" x14ac:dyDescent="0.3">
      <c r="A37" s="59" t="s">
        <v>145</v>
      </c>
    </row>
    <row r="38" spans="1:28" s="59" customFormat="1" ht="33.6" customHeight="1" x14ac:dyDescent="0.3">
      <c r="A38" s="79" t="s">
        <v>158</v>
      </c>
      <c r="B38" s="124" t="s">
        <v>217</v>
      </c>
      <c r="C38" s="124"/>
      <c r="D38" s="124"/>
      <c r="E38" s="124"/>
      <c r="F38" s="124"/>
    </row>
    <row r="39" spans="1:28" s="59" customFormat="1" ht="18.600000000000001" x14ac:dyDescent="0.3">
      <c r="A39" s="74"/>
      <c r="B39" s="80" t="s">
        <v>159</v>
      </c>
      <c r="C39" s="80"/>
      <c r="D39" s="80"/>
      <c r="E39" s="80"/>
      <c r="F39" s="80"/>
    </row>
    <row r="40" spans="1:28" s="59" customFormat="1" ht="21" customHeight="1" x14ac:dyDescent="0.3"/>
    <row r="41" spans="1:28" s="59" customFormat="1" ht="18.600000000000001" x14ac:dyDescent="0.3">
      <c r="B41" s="61"/>
    </row>
    <row r="42" spans="1:28" s="42" customFormat="1" ht="16.2" x14ac:dyDescent="0.3">
      <c r="B42" s="59"/>
    </row>
    <row r="43" spans="1:28" s="42" customFormat="1" x14ac:dyDescent="0.3"/>
    <row r="44" spans="1:28" s="42" customFormat="1" x14ac:dyDescent="0.3"/>
    <row r="45" spans="1:28" s="42" customFormat="1" x14ac:dyDescent="0.3"/>
    <row r="46" spans="1:28" s="42" customFormat="1" x14ac:dyDescent="0.3"/>
    <row r="47" spans="1:28" s="42" customFormat="1" x14ac:dyDescent="0.3"/>
    <row r="48" spans="1:28" s="42" customFormat="1" x14ac:dyDescent="0.3"/>
    <row r="49" spans="2:2" s="42" customFormat="1" x14ac:dyDescent="0.3"/>
    <row r="50" spans="2:2" s="42" customFormat="1" ht="16.2" x14ac:dyDescent="0.3">
      <c r="B50" s="62"/>
    </row>
    <row r="51" spans="2:2" s="42" customFormat="1" x14ac:dyDescent="0.3"/>
    <row r="52" spans="2:2" s="42" customFormat="1" x14ac:dyDescent="0.3"/>
    <row r="53" spans="2:2" s="42" customFormat="1" x14ac:dyDescent="0.3"/>
    <row r="54" spans="2:2" s="42" customFormat="1" x14ac:dyDescent="0.3"/>
    <row r="55" spans="2:2" s="42" customFormat="1" x14ac:dyDescent="0.3"/>
    <row r="56" spans="2:2" s="42" customFormat="1" x14ac:dyDescent="0.3"/>
    <row r="57" spans="2:2" s="42" customFormat="1" x14ac:dyDescent="0.3"/>
    <row r="58" spans="2:2" s="42" customFormat="1" x14ac:dyDescent="0.3"/>
    <row r="59" spans="2:2" s="42" customFormat="1" x14ac:dyDescent="0.3"/>
    <row r="60" spans="2:2" s="42" customFormat="1" x14ac:dyDescent="0.3"/>
    <row r="61" spans="2:2" s="42" customFormat="1" x14ac:dyDescent="0.3"/>
    <row r="62" spans="2:2" s="42" customFormat="1" x14ac:dyDescent="0.3"/>
  </sheetData>
  <mergeCells count="41">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27:F27"/>
    <mergeCell ref="E28:F28"/>
    <mergeCell ref="E29:F29"/>
    <mergeCell ref="B38:F38"/>
    <mergeCell ref="E33:F33"/>
    <mergeCell ref="A30:B30"/>
    <mergeCell ref="E30:F30"/>
    <mergeCell ref="A31:B31"/>
    <mergeCell ref="E31:F31"/>
    <mergeCell ref="E32:F32"/>
    <mergeCell ref="A27:A29"/>
  </mergeCells>
  <phoneticPr fontId="3" type="noConversion"/>
  <printOptions horizontalCentered="1" verticalCentered="1"/>
  <pageMargins left="0.98425196850393692" right="0.35433070866141703" top="0.31496062992126012" bottom="0.31496062992126012" header="0.31496062992126012" footer="0.31496062992126012"/>
  <pageSetup paperSize="9" firstPageNumber="96" fitToWidth="0" fitToHeight="0" orientation="landscape" useFirstPageNumber="1" verticalDpi="0" r:id="rId1"/>
  <headerFooter alignWithMargins="0">
    <oddFooter>&amp;C&amp;"Times New Roman,Regular"&amp;P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31</v>
      </c>
    </row>
    <row r="3" spans="1:6" s="42" customFormat="1" ht="30.75" customHeight="1" x14ac:dyDescent="0.3">
      <c r="A3" s="104" t="s">
        <v>32</v>
      </c>
      <c r="B3" s="104"/>
      <c r="C3" s="104"/>
      <c r="D3" s="104"/>
      <c r="E3" s="104"/>
      <c r="F3" s="104"/>
    </row>
    <row r="4" spans="1:6" s="42" customFormat="1" ht="22.5" customHeight="1" x14ac:dyDescent="0.3">
      <c r="A4" s="106" t="s">
        <v>140</v>
      </c>
      <c r="B4" s="106"/>
      <c r="C4" s="106"/>
      <c r="D4" s="106"/>
      <c r="E4" s="106"/>
      <c r="F4" s="43" t="s">
        <v>34</v>
      </c>
    </row>
    <row r="5" spans="1:6" s="36" customFormat="1" ht="27" customHeight="1" x14ac:dyDescent="0.3">
      <c r="A5" s="126" t="s">
        <v>35</v>
      </c>
      <c r="B5" s="126"/>
      <c r="C5" s="44" t="s">
        <v>36</v>
      </c>
      <c r="D5" s="44" t="s">
        <v>37</v>
      </c>
      <c r="E5" s="127" t="s">
        <v>38</v>
      </c>
      <c r="F5" s="127"/>
    </row>
    <row r="6" spans="1:6" s="36" customFormat="1" ht="19.8" x14ac:dyDescent="0.3">
      <c r="A6" s="128" t="s">
        <v>263</v>
      </c>
      <c r="B6" s="128"/>
      <c r="C6" s="45">
        <v>499</v>
      </c>
      <c r="D6" s="46">
        <v>4495</v>
      </c>
      <c r="E6" s="111">
        <v>0</v>
      </c>
      <c r="F6" s="111"/>
    </row>
    <row r="7" spans="1:6" s="36" customFormat="1" ht="21.75" customHeight="1" x14ac:dyDescent="0.3">
      <c r="A7" s="113" t="s">
        <v>157</v>
      </c>
      <c r="B7" s="113"/>
      <c r="C7" s="47">
        <v>189</v>
      </c>
      <c r="D7" s="85">
        <v>2738</v>
      </c>
      <c r="E7" s="114">
        <v>0</v>
      </c>
      <c r="F7" s="114"/>
    </row>
    <row r="8" spans="1:6" s="36" customFormat="1" ht="20.399999999999999" x14ac:dyDescent="0.3">
      <c r="A8" s="125" t="s">
        <v>39</v>
      </c>
      <c r="B8" s="49" t="s">
        <v>218</v>
      </c>
      <c r="C8" s="47">
        <v>57</v>
      </c>
      <c r="D8" s="85">
        <v>1707</v>
      </c>
      <c r="E8" s="114">
        <v>0</v>
      </c>
      <c r="F8" s="114"/>
    </row>
    <row r="9" spans="1:6" s="36" customFormat="1" ht="19.8" x14ac:dyDescent="0.3">
      <c r="A9" s="125"/>
      <c r="B9" s="49" t="s">
        <v>40</v>
      </c>
      <c r="C9" s="47">
        <v>14</v>
      </c>
      <c r="D9" s="85">
        <v>269</v>
      </c>
      <c r="E9" s="114">
        <v>0</v>
      </c>
      <c r="F9" s="114"/>
    </row>
    <row r="10" spans="1:6" s="36" customFormat="1" ht="19.8" x14ac:dyDescent="0.3">
      <c r="A10" s="125"/>
      <c r="B10" s="49" t="s">
        <v>41</v>
      </c>
      <c r="C10" s="47">
        <v>11</v>
      </c>
      <c r="D10" s="85">
        <v>223</v>
      </c>
      <c r="E10" s="114">
        <v>0</v>
      </c>
      <c r="F10" s="114"/>
    </row>
    <row r="11" spans="1:6" s="36" customFormat="1" ht="19.8" x14ac:dyDescent="0.3">
      <c r="A11" s="125"/>
      <c r="B11" s="49" t="s">
        <v>42</v>
      </c>
      <c r="C11" s="47">
        <v>6</v>
      </c>
      <c r="D11" s="85">
        <v>326</v>
      </c>
      <c r="E11" s="114">
        <v>0</v>
      </c>
      <c r="F11" s="114"/>
    </row>
    <row r="12" spans="1:6" s="36" customFormat="1" ht="19.8" x14ac:dyDescent="0.3">
      <c r="A12" s="125"/>
      <c r="B12" s="49" t="s">
        <v>43</v>
      </c>
      <c r="C12" s="47">
        <v>20</v>
      </c>
      <c r="D12" s="85">
        <v>1039</v>
      </c>
      <c r="E12" s="114">
        <v>0</v>
      </c>
      <c r="F12" s="114"/>
    </row>
    <row r="13" spans="1:6" s="36" customFormat="1" ht="19.8" x14ac:dyDescent="0.3">
      <c r="A13" s="125"/>
      <c r="B13" s="49" t="s">
        <v>44</v>
      </c>
      <c r="C13" s="47">
        <v>14</v>
      </c>
      <c r="D13" s="85">
        <v>809</v>
      </c>
      <c r="E13" s="114">
        <v>0</v>
      </c>
      <c r="F13" s="114"/>
    </row>
    <row r="14" spans="1:6" s="36" customFormat="1" ht="19.8" x14ac:dyDescent="0.3">
      <c r="A14" s="125"/>
      <c r="B14" s="49" t="s">
        <v>45</v>
      </c>
      <c r="C14" s="47">
        <v>0</v>
      </c>
      <c r="D14" s="85">
        <v>0</v>
      </c>
      <c r="E14" s="114">
        <v>0</v>
      </c>
      <c r="F14" s="114"/>
    </row>
    <row r="15" spans="1:6" s="36" customFormat="1" ht="20.399999999999999" x14ac:dyDescent="0.3">
      <c r="A15" s="125"/>
      <c r="B15" s="49" t="s">
        <v>242</v>
      </c>
      <c r="C15" s="47">
        <v>1</v>
      </c>
      <c r="D15" s="85">
        <v>2</v>
      </c>
      <c r="E15" s="114">
        <v>0</v>
      </c>
      <c r="F15" s="114"/>
    </row>
    <row r="16" spans="1:6" s="36" customFormat="1" ht="21.9" customHeight="1" x14ac:dyDescent="0.3">
      <c r="A16" s="125" t="s">
        <v>47</v>
      </c>
      <c r="B16" s="49" t="s">
        <v>48</v>
      </c>
      <c r="C16" s="47">
        <v>0</v>
      </c>
      <c r="D16" s="85">
        <v>0</v>
      </c>
      <c r="E16" s="114">
        <v>0</v>
      </c>
      <c r="F16" s="114"/>
    </row>
    <row r="17" spans="1:28" s="36" customFormat="1" ht="21.9" customHeight="1" x14ac:dyDescent="0.3">
      <c r="A17" s="125"/>
      <c r="B17" s="49" t="s">
        <v>49</v>
      </c>
      <c r="C17" s="47">
        <v>0</v>
      </c>
      <c r="D17" s="85">
        <v>0</v>
      </c>
      <c r="E17" s="114">
        <v>0</v>
      </c>
      <c r="F17" s="114"/>
    </row>
    <row r="18" spans="1:28" s="36" customFormat="1" ht="21.9" customHeight="1" x14ac:dyDescent="0.3">
      <c r="A18" s="125"/>
      <c r="B18" s="49" t="s">
        <v>50</v>
      </c>
      <c r="C18" s="47">
        <v>0</v>
      </c>
      <c r="D18" s="85">
        <v>0</v>
      </c>
      <c r="E18" s="114">
        <v>0</v>
      </c>
      <c r="F18" s="114"/>
    </row>
    <row r="19" spans="1:28" s="36" customFormat="1" ht="21.9" customHeight="1" x14ac:dyDescent="0.3">
      <c r="A19" s="125"/>
      <c r="B19" s="49" t="s">
        <v>219</v>
      </c>
      <c r="C19" s="47">
        <v>0</v>
      </c>
      <c r="D19" s="85">
        <v>0</v>
      </c>
      <c r="E19" s="114">
        <v>0</v>
      </c>
      <c r="F19" s="114"/>
    </row>
    <row r="20" spans="1:28" s="36" customFormat="1" ht="19.8" x14ac:dyDescent="0.3">
      <c r="A20" s="125" t="s">
        <v>51</v>
      </c>
      <c r="B20" s="49" t="s">
        <v>48</v>
      </c>
      <c r="C20" s="47">
        <v>4</v>
      </c>
      <c r="D20" s="85">
        <v>31</v>
      </c>
      <c r="E20" s="114">
        <v>0</v>
      </c>
      <c r="F20" s="114"/>
    </row>
    <row r="21" spans="1:28" s="36" customFormat="1" ht="19.8" x14ac:dyDescent="0.3">
      <c r="A21" s="125"/>
      <c r="B21" s="49" t="s">
        <v>52</v>
      </c>
      <c r="C21" s="47">
        <v>0</v>
      </c>
      <c r="D21" s="85">
        <v>0</v>
      </c>
      <c r="E21" s="114">
        <v>0</v>
      </c>
      <c r="F21" s="114"/>
    </row>
    <row r="22" spans="1:28" s="36" customFormat="1" ht="19.8" x14ac:dyDescent="0.3">
      <c r="A22" s="125"/>
      <c r="B22" s="49" t="s">
        <v>53</v>
      </c>
      <c r="C22" s="47">
        <v>0</v>
      </c>
      <c r="D22" s="85">
        <v>0</v>
      </c>
      <c r="E22" s="114">
        <v>0</v>
      </c>
      <c r="F22" s="114"/>
    </row>
    <row r="23" spans="1:28" s="36" customFormat="1" ht="19.8" x14ac:dyDescent="0.3">
      <c r="A23" s="125"/>
      <c r="B23" s="49" t="s">
        <v>54</v>
      </c>
      <c r="C23" s="47">
        <v>0</v>
      </c>
      <c r="D23" s="85">
        <v>0</v>
      </c>
      <c r="E23" s="114">
        <v>0</v>
      </c>
      <c r="F23" s="114"/>
    </row>
    <row r="24" spans="1:28" s="36" customFormat="1" ht="19.8" x14ac:dyDescent="0.3">
      <c r="A24" s="125"/>
      <c r="B24" s="49" t="s">
        <v>55</v>
      </c>
      <c r="C24" s="47">
        <v>4</v>
      </c>
      <c r="D24" s="85">
        <v>31</v>
      </c>
      <c r="E24" s="114">
        <v>0</v>
      </c>
      <c r="F24" s="114"/>
    </row>
    <row r="25" spans="1:28" s="36" customFormat="1" ht="19.8" x14ac:dyDescent="0.3">
      <c r="A25" s="125"/>
      <c r="B25" s="49" t="s">
        <v>56</v>
      </c>
      <c r="C25" s="47">
        <v>0</v>
      </c>
      <c r="D25" s="85">
        <v>0</v>
      </c>
      <c r="E25" s="114">
        <v>0</v>
      </c>
      <c r="F25" s="114"/>
    </row>
    <row r="26" spans="1:28" s="36" customFormat="1" ht="19.8" x14ac:dyDescent="0.3">
      <c r="A26" s="125"/>
      <c r="B26" s="49" t="s">
        <v>219</v>
      </c>
      <c r="C26" s="47">
        <v>0</v>
      </c>
      <c r="D26" s="85">
        <v>0</v>
      </c>
      <c r="E26" s="114">
        <v>0</v>
      </c>
      <c r="F26" s="114"/>
    </row>
    <row r="27" spans="1:28" s="36" customFormat="1" ht="19.8" x14ac:dyDescent="0.3">
      <c r="A27" s="110" t="s">
        <v>220</v>
      </c>
      <c r="B27" s="110"/>
      <c r="C27" s="47">
        <v>138</v>
      </c>
      <c r="D27" s="85">
        <v>1103</v>
      </c>
      <c r="E27" s="114">
        <v>0</v>
      </c>
      <c r="F27" s="114"/>
    </row>
    <row r="28" spans="1:28" s="36" customFormat="1" ht="19.8" x14ac:dyDescent="0.3">
      <c r="A28" s="110" t="s">
        <v>58</v>
      </c>
      <c r="B28" s="110"/>
      <c r="C28" s="47">
        <v>310</v>
      </c>
      <c r="D28" s="85">
        <v>1757</v>
      </c>
      <c r="E28" s="114">
        <v>0</v>
      </c>
      <c r="F28" s="114"/>
    </row>
    <row r="29" spans="1:28" s="36" customFormat="1" ht="19.8" x14ac:dyDescent="0.3">
      <c r="A29" s="50"/>
      <c r="B29" s="51" t="s">
        <v>59</v>
      </c>
      <c r="C29" s="47">
        <v>117</v>
      </c>
      <c r="D29" s="85">
        <v>1157</v>
      </c>
      <c r="E29" s="114">
        <v>0</v>
      </c>
      <c r="F29" s="114"/>
    </row>
    <row r="30" spans="1:28" s="36" customFormat="1" ht="19.8" x14ac:dyDescent="0.3">
      <c r="A30" s="52"/>
      <c r="B30" s="51" t="s">
        <v>60</v>
      </c>
      <c r="C30" s="53">
        <v>193</v>
      </c>
      <c r="D30" s="54">
        <v>600</v>
      </c>
      <c r="E30" s="120">
        <v>0</v>
      </c>
      <c r="F30" s="120"/>
    </row>
    <row r="31" spans="1:28" s="57" customFormat="1" ht="23.25" customHeight="1" x14ac:dyDescent="0.3">
      <c r="A31" s="55" t="s">
        <v>61</v>
      </c>
      <c r="B31" s="56"/>
      <c r="C31" s="55" t="s">
        <v>62</v>
      </c>
      <c r="D31" s="55" t="s">
        <v>63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55" t="s">
        <v>65</v>
      </c>
      <c r="E32" s="55"/>
      <c r="H32" s="56"/>
      <c r="I32" s="43"/>
      <c r="J32" s="56"/>
      <c r="K32" s="56"/>
      <c r="L32" s="56"/>
      <c r="M32" s="56"/>
      <c r="N32" s="56"/>
      <c r="O32" s="56"/>
      <c r="P32" s="56"/>
      <c r="Q32" s="56"/>
      <c r="R32" s="56"/>
      <c r="S32" s="56"/>
      <c r="T32" s="56"/>
      <c r="U32" s="56"/>
      <c r="V32" s="56"/>
      <c r="W32" s="56"/>
    </row>
    <row r="33" spans="1:6" s="59" customFormat="1" ht="21" customHeight="1" x14ac:dyDescent="0.3">
      <c r="A33" s="42" t="s">
        <v>254</v>
      </c>
      <c r="B33" s="42"/>
    </row>
    <row r="34" spans="1:6" s="59" customFormat="1" ht="21" customHeight="1" x14ac:dyDescent="0.3">
      <c r="A34" s="59" t="s">
        <v>145</v>
      </c>
    </row>
    <row r="35" spans="1:6" s="59" customFormat="1" ht="21" customHeight="1" x14ac:dyDescent="0.3">
      <c r="A35" s="60" t="s">
        <v>67</v>
      </c>
      <c r="B35" s="42" t="s">
        <v>168</v>
      </c>
      <c r="C35" s="42"/>
      <c r="D35" s="42"/>
      <c r="E35" s="42"/>
      <c r="F35" s="42"/>
    </row>
    <row r="36" spans="1:6" s="59" customFormat="1" ht="20.399999999999999" x14ac:dyDescent="0.3">
      <c r="B36" s="42" t="s">
        <v>167</v>
      </c>
      <c r="C36" s="42"/>
      <c r="D36" s="42"/>
      <c r="E36" s="42"/>
      <c r="F36" s="42"/>
    </row>
    <row r="37" spans="1:6" s="59" customFormat="1" ht="21" customHeight="1" x14ac:dyDescent="0.3">
      <c r="B37" s="42" t="s">
        <v>169</v>
      </c>
      <c r="C37" s="42"/>
      <c r="D37" s="42"/>
      <c r="E37" s="42"/>
      <c r="F37" s="42"/>
    </row>
    <row r="38" spans="1:6" s="59" customFormat="1" ht="18.600000000000001" x14ac:dyDescent="0.3">
      <c r="B38" s="61"/>
    </row>
    <row r="39" spans="1:6" s="42" customFormat="1" ht="16.2" x14ac:dyDescent="0.3">
      <c r="B39" s="59"/>
    </row>
    <row r="40" spans="1:6" s="42" customFormat="1" x14ac:dyDescent="0.3"/>
    <row r="41" spans="1:6" s="42" customFormat="1" x14ac:dyDescent="0.3"/>
    <row r="42" spans="1:6" s="42" customFormat="1" x14ac:dyDescent="0.3"/>
    <row r="43" spans="1:6" s="42" customFormat="1" x14ac:dyDescent="0.3"/>
    <row r="44" spans="1:6" s="42" customFormat="1" x14ac:dyDescent="0.3"/>
    <row r="45" spans="1:6" s="42" customFormat="1" x14ac:dyDescent="0.3"/>
    <row r="46" spans="1:6" s="42" customFormat="1" x14ac:dyDescent="0.3"/>
    <row r="47" spans="1:6" s="42" customFormat="1" ht="16.2" x14ac:dyDescent="0.3">
      <c r="B47" s="62"/>
    </row>
    <row r="48" spans="1:6"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31496062992126012" bottom="0.31496062992126012" header="0.31496062992126012" footer="0.31496062992126012"/>
  <pageSetup paperSize="0" firstPageNumber="96" fitToWidth="0" fitToHeight="0" orientation="landscape" useFirstPageNumber="1" horizontalDpi="0" verticalDpi="0" copies="0"/>
  <headerFooter alignWithMargins="0">
    <oddFooter>&amp;C&amp;"Times New Roman,Regular"&amp;P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31</v>
      </c>
    </row>
    <row r="3" spans="1:6" s="42" customFormat="1" ht="30.75" customHeight="1" x14ac:dyDescent="0.3">
      <c r="A3" s="104" t="s">
        <v>32</v>
      </c>
      <c r="B3" s="104"/>
      <c r="C3" s="104"/>
      <c r="D3" s="104"/>
      <c r="E3" s="104"/>
      <c r="F3" s="104"/>
    </row>
    <row r="4" spans="1:6" s="42" customFormat="1" ht="22.5" customHeight="1" x14ac:dyDescent="0.3">
      <c r="A4" s="106" t="s">
        <v>33</v>
      </c>
      <c r="B4" s="106"/>
      <c r="C4" s="106"/>
      <c r="D4" s="106"/>
      <c r="E4" s="106"/>
      <c r="F4" s="43" t="s">
        <v>34</v>
      </c>
    </row>
    <row r="5" spans="1:6" s="36" customFormat="1" ht="27" customHeight="1" x14ac:dyDescent="0.3">
      <c r="A5" s="126" t="s">
        <v>35</v>
      </c>
      <c r="B5" s="126"/>
      <c r="C5" s="44" t="s">
        <v>36</v>
      </c>
      <c r="D5" s="44" t="s">
        <v>37</v>
      </c>
      <c r="E5" s="127" t="s">
        <v>38</v>
      </c>
      <c r="F5" s="127"/>
    </row>
    <row r="6" spans="1:6" s="36" customFormat="1" ht="19.8" x14ac:dyDescent="0.3">
      <c r="A6" s="128" t="s">
        <v>263</v>
      </c>
      <c r="B6" s="128"/>
      <c r="C6" s="45">
        <v>498</v>
      </c>
      <c r="D6" s="46">
        <v>5823</v>
      </c>
      <c r="E6" s="111">
        <v>0</v>
      </c>
      <c r="F6" s="111"/>
    </row>
    <row r="7" spans="1:6" s="36" customFormat="1" ht="21.75" customHeight="1" x14ac:dyDescent="0.3">
      <c r="A7" s="113" t="s">
        <v>157</v>
      </c>
      <c r="B7" s="113"/>
      <c r="C7" s="47">
        <v>176</v>
      </c>
      <c r="D7" s="85">
        <v>4024</v>
      </c>
      <c r="E7" s="114">
        <v>0</v>
      </c>
      <c r="F7" s="114"/>
    </row>
    <row r="8" spans="1:6" s="36" customFormat="1" ht="22.95" customHeight="1" x14ac:dyDescent="0.3">
      <c r="A8" s="125" t="s">
        <v>39</v>
      </c>
      <c r="B8" s="49" t="s">
        <v>218</v>
      </c>
      <c r="C8" s="47">
        <v>61</v>
      </c>
      <c r="D8" s="85">
        <v>2237</v>
      </c>
      <c r="E8" s="114">
        <v>0</v>
      </c>
      <c r="F8" s="114"/>
    </row>
    <row r="9" spans="1:6" s="36" customFormat="1" ht="19.8" x14ac:dyDescent="0.3">
      <c r="A9" s="125"/>
      <c r="B9" s="49" t="s">
        <v>40</v>
      </c>
      <c r="C9" s="47">
        <v>11</v>
      </c>
      <c r="D9" s="85">
        <v>217</v>
      </c>
      <c r="E9" s="114">
        <v>0</v>
      </c>
      <c r="F9" s="114"/>
    </row>
    <row r="10" spans="1:6" s="36" customFormat="1" ht="19.8" x14ac:dyDescent="0.3">
      <c r="A10" s="125"/>
      <c r="B10" s="49" t="s">
        <v>41</v>
      </c>
      <c r="C10" s="47">
        <v>16</v>
      </c>
      <c r="D10" s="85">
        <v>477</v>
      </c>
      <c r="E10" s="114">
        <v>0</v>
      </c>
      <c r="F10" s="114"/>
    </row>
    <row r="11" spans="1:6" s="36" customFormat="1" ht="19.8" x14ac:dyDescent="0.3">
      <c r="A11" s="125"/>
      <c r="B11" s="49" t="s">
        <v>42</v>
      </c>
      <c r="C11" s="47">
        <v>1</v>
      </c>
      <c r="D11" s="85">
        <v>2</v>
      </c>
      <c r="E11" s="114">
        <v>0</v>
      </c>
      <c r="F11" s="114"/>
    </row>
    <row r="12" spans="1:6" s="36" customFormat="1" ht="19.8" x14ac:dyDescent="0.3">
      <c r="A12" s="125"/>
      <c r="B12" s="49" t="s">
        <v>43</v>
      </c>
      <c r="C12" s="47">
        <v>23</v>
      </c>
      <c r="D12" s="85">
        <v>846</v>
      </c>
      <c r="E12" s="114">
        <v>0</v>
      </c>
      <c r="F12" s="114"/>
    </row>
    <row r="13" spans="1:6" s="36" customFormat="1" ht="19.8" x14ac:dyDescent="0.3">
      <c r="A13" s="125"/>
      <c r="B13" s="49" t="s">
        <v>44</v>
      </c>
      <c r="C13" s="47">
        <v>21</v>
      </c>
      <c r="D13" s="85">
        <v>1271</v>
      </c>
      <c r="E13" s="114">
        <v>0</v>
      </c>
      <c r="F13" s="114"/>
    </row>
    <row r="14" spans="1:6" s="36" customFormat="1" ht="19.8" x14ac:dyDescent="0.3">
      <c r="A14" s="125"/>
      <c r="B14" s="49" t="s">
        <v>45</v>
      </c>
      <c r="C14" s="47">
        <v>0</v>
      </c>
      <c r="D14" s="85">
        <v>0</v>
      </c>
      <c r="E14" s="114">
        <v>0</v>
      </c>
      <c r="F14" s="114"/>
    </row>
    <row r="15" spans="1:6" s="36" customFormat="1" ht="20.399999999999999" x14ac:dyDescent="0.3">
      <c r="A15" s="125"/>
      <c r="B15" s="49" t="s">
        <v>242</v>
      </c>
      <c r="C15" s="47">
        <v>1</v>
      </c>
      <c r="D15" s="85">
        <v>232</v>
      </c>
      <c r="E15" s="114">
        <v>0</v>
      </c>
      <c r="F15" s="114"/>
    </row>
    <row r="16" spans="1:6" s="36" customFormat="1" ht="21.9" customHeight="1" x14ac:dyDescent="0.3">
      <c r="A16" s="125" t="s">
        <v>47</v>
      </c>
      <c r="B16" s="49" t="s">
        <v>48</v>
      </c>
      <c r="C16" s="47">
        <v>0</v>
      </c>
      <c r="D16" s="85">
        <v>0</v>
      </c>
      <c r="E16" s="114">
        <v>0</v>
      </c>
      <c r="F16" s="114"/>
    </row>
    <row r="17" spans="1:28" s="36" customFormat="1" ht="21.9" customHeight="1" x14ac:dyDescent="0.3">
      <c r="A17" s="125"/>
      <c r="B17" s="49" t="s">
        <v>49</v>
      </c>
      <c r="C17" s="47">
        <v>0</v>
      </c>
      <c r="D17" s="85">
        <v>0</v>
      </c>
      <c r="E17" s="114">
        <v>0</v>
      </c>
      <c r="F17" s="114"/>
    </row>
    <row r="18" spans="1:28" s="36" customFormat="1" ht="21.9" customHeight="1" x14ac:dyDescent="0.3">
      <c r="A18" s="125"/>
      <c r="B18" s="49" t="s">
        <v>50</v>
      </c>
      <c r="C18" s="47">
        <v>0</v>
      </c>
      <c r="D18" s="85">
        <v>0</v>
      </c>
      <c r="E18" s="114">
        <v>0</v>
      </c>
      <c r="F18" s="114"/>
    </row>
    <row r="19" spans="1:28" s="36" customFormat="1" ht="21.9" customHeight="1" x14ac:dyDescent="0.3">
      <c r="A19" s="125"/>
      <c r="B19" s="49" t="s">
        <v>219</v>
      </c>
      <c r="C19" s="47">
        <v>0</v>
      </c>
      <c r="D19" s="85">
        <v>0</v>
      </c>
      <c r="E19" s="114">
        <v>0</v>
      </c>
      <c r="F19" s="114"/>
    </row>
    <row r="20" spans="1:28" s="36" customFormat="1" ht="19.95" customHeight="1" x14ac:dyDescent="0.3">
      <c r="A20" s="125" t="s">
        <v>51</v>
      </c>
      <c r="B20" s="49" t="s">
        <v>48</v>
      </c>
      <c r="C20" s="47">
        <v>3</v>
      </c>
      <c r="D20" s="85">
        <v>48</v>
      </c>
      <c r="E20" s="114">
        <v>0</v>
      </c>
      <c r="F20" s="114"/>
    </row>
    <row r="21" spans="1:28" s="36" customFormat="1" ht="19.8" x14ac:dyDescent="0.3">
      <c r="A21" s="125"/>
      <c r="B21" s="49" t="s">
        <v>52</v>
      </c>
      <c r="C21" s="47">
        <v>2</v>
      </c>
      <c r="D21" s="85">
        <v>12</v>
      </c>
      <c r="E21" s="114">
        <v>0</v>
      </c>
      <c r="F21" s="114"/>
    </row>
    <row r="22" spans="1:28" s="36" customFormat="1" ht="19.8" x14ac:dyDescent="0.3">
      <c r="A22" s="125"/>
      <c r="B22" s="49" t="s">
        <v>53</v>
      </c>
      <c r="C22" s="47">
        <v>0</v>
      </c>
      <c r="D22" s="85">
        <v>0</v>
      </c>
      <c r="E22" s="114">
        <v>0</v>
      </c>
      <c r="F22" s="114"/>
    </row>
    <row r="23" spans="1:28" s="36" customFormat="1" ht="19.8" x14ac:dyDescent="0.3">
      <c r="A23" s="125"/>
      <c r="B23" s="49" t="s">
        <v>54</v>
      </c>
      <c r="C23" s="47">
        <v>0</v>
      </c>
      <c r="D23" s="85">
        <v>0</v>
      </c>
      <c r="E23" s="114">
        <v>0</v>
      </c>
      <c r="F23" s="114"/>
    </row>
    <row r="24" spans="1:28" s="36" customFormat="1" ht="19.8" x14ac:dyDescent="0.3">
      <c r="A24" s="125"/>
      <c r="B24" s="49" t="s">
        <v>55</v>
      </c>
      <c r="C24" s="47">
        <v>1</v>
      </c>
      <c r="D24" s="85">
        <v>36</v>
      </c>
      <c r="E24" s="114">
        <v>0</v>
      </c>
      <c r="F24" s="114"/>
    </row>
    <row r="25" spans="1:28" s="36" customFormat="1" ht="19.8" x14ac:dyDescent="0.3">
      <c r="A25" s="125"/>
      <c r="B25" s="49" t="s">
        <v>56</v>
      </c>
      <c r="C25" s="47">
        <v>0</v>
      </c>
      <c r="D25" s="85">
        <v>0</v>
      </c>
      <c r="E25" s="114">
        <v>0</v>
      </c>
      <c r="F25" s="114"/>
    </row>
    <row r="26" spans="1:28" s="36" customFormat="1" ht="19.8" x14ac:dyDescent="0.3">
      <c r="A26" s="125"/>
      <c r="B26" s="49" t="s">
        <v>219</v>
      </c>
      <c r="C26" s="47">
        <v>0</v>
      </c>
      <c r="D26" s="85">
        <v>0</v>
      </c>
      <c r="E26" s="114">
        <v>0</v>
      </c>
      <c r="F26" s="114"/>
    </row>
    <row r="27" spans="1:28" s="36" customFormat="1" ht="19.8" x14ac:dyDescent="0.3">
      <c r="A27" s="110" t="s">
        <v>220</v>
      </c>
      <c r="B27" s="110"/>
      <c r="C27" s="47">
        <v>116</v>
      </c>
      <c r="D27" s="85">
        <v>2333</v>
      </c>
      <c r="E27" s="114">
        <v>0</v>
      </c>
      <c r="F27" s="114"/>
    </row>
    <row r="28" spans="1:28" s="36" customFormat="1" ht="19.8" x14ac:dyDescent="0.3">
      <c r="A28" s="110" t="s">
        <v>58</v>
      </c>
      <c r="B28" s="110"/>
      <c r="C28" s="47">
        <v>322</v>
      </c>
      <c r="D28" s="85">
        <v>1799</v>
      </c>
      <c r="E28" s="114">
        <v>0</v>
      </c>
      <c r="F28" s="114"/>
    </row>
    <row r="29" spans="1:28" s="36" customFormat="1" ht="19.8" x14ac:dyDescent="0.3">
      <c r="A29" s="50"/>
      <c r="B29" s="51" t="s">
        <v>59</v>
      </c>
      <c r="C29" s="47">
        <v>92</v>
      </c>
      <c r="D29" s="85">
        <v>777</v>
      </c>
      <c r="E29" s="114">
        <v>0</v>
      </c>
      <c r="F29" s="114"/>
    </row>
    <row r="30" spans="1:28" s="36" customFormat="1" ht="19.8" x14ac:dyDescent="0.3">
      <c r="A30" s="52"/>
      <c r="B30" s="51" t="s">
        <v>60</v>
      </c>
      <c r="C30" s="53">
        <v>230</v>
      </c>
      <c r="D30" s="54">
        <v>1022</v>
      </c>
      <c r="E30" s="120">
        <v>0</v>
      </c>
      <c r="F30" s="120"/>
    </row>
    <row r="31" spans="1:28" s="57" customFormat="1" ht="23.25" customHeight="1" x14ac:dyDescent="0.3">
      <c r="A31" s="55" t="s">
        <v>61</v>
      </c>
      <c r="B31" s="56"/>
      <c r="C31" s="55" t="s">
        <v>62</v>
      </c>
      <c r="D31" s="55" t="s">
        <v>63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55" t="s">
        <v>65</v>
      </c>
      <c r="E32" s="55"/>
      <c r="H32" s="56"/>
      <c r="I32" s="43"/>
      <c r="J32" s="56"/>
      <c r="K32" s="56"/>
      <c r="L32" s="56"/>
      <c r="M32" s="56"/>
      <c r="N32" s="56"/>
      <c r="O32" s="56"/>
      <c r="P32" s="56"/>
      <c r="Q32" s="56"/>
      <c r="R32" s="56"/>
      <c r="S32" s="56"/>
      <c r="T32" s="56"/>
      <c r="U32" s="56"/>
      <c r="V32" s="56"/>
      <c r="W32" s="56"/>
    </row>
    <row r="33" spans="1:2" s="59" customFormat="1" ht="21" customHeight="1" x14ac:dyDescent="0.3">
      <c r="A33" s="42" t="s">
        <v>252</v>
      </c>
      <c r="B33" s="42"/>
    </row>
    <row r="34" spans="1:2" s="59" customFormat="1" ht="21" customHeight="1" x14ac:dyDescent="0.3">
      <c r="A34" s="59" t="s">
        <v>66</v>
      </c>
    </row>
    <row r="35" spans="1:2" s="59" customFormat="1" ht="21" customHeight="1" x14ac:dyDescent="0.3">
      <c r="A35" s="60" t="s">
        <v>67</v>
      </c>
      <c r="B35" s="42" t="s">
        <v>259</v>
      </c>
    </row>
    <row r="36" spans="1:2" s="59" customFormat="1" ht="18.600000000000001" x14ac:dyDescent="0.3">
      <c r="B36" s="42" t="s">
        <v>260</v>
      </c>
    </row>
    <row r="37" spans="1:2" s="59" customFormat="1" ht="21" customHeight="1" x14ac:dyDescent="0.3">
      <c r="B37" s="42" t="s">
        <v>261</v>
      </c>
    </row>
    <row r="38" spans="1:2" s="59" customFormat="1" ht="18.600000000000001" x14ac:dyDescent="0.3">
      <c r="B38" s="61"/>
    </row>
    <row r="39" spans="1:2" s="42" customFormat="1" ht="16.2" x14ac:dyDescent="0.3">
      <c r="B39" s="59"/>
    </row>
    <row r="40" spans="1:2" s="42" customFormat="1" x14ac:dyDescent="0.3"/>
    <row r="41" spans="1:2" s="42" customFormat="1" x14ac:dyDescent="0.3"/>
    <row r="42" spans="1:2" s="42" customFormat="1" x14ac:dyDescent="0.3"/>
    <row r="43" spans="1:2" s="42" customFormat="1" x14ac:dyDescent="0.3"/>
    <row r="44" spans="1:2" s="42" customFormat="1" x14ac:dyDescent="0.3"/>
    <row r="45" spans="1:2" s="42" customFormat="1" x14ac:dyDescent="0.3"/>
    <row r="46" spans="1:2" s="42" customFormat="1" x14ac:dyDescent="0.3"/>
    <row r="47" spans="1:2" s="42" customFormat="1" ht="16.2" x14ac:dyDescent="0.3">
      <c r="B47" s="62"/>
    </row>
    <row r="48" spans="1:2"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31496062992126012" bottom="0.31496062992126012" header="0.31496062992126012" footer="0.31496062992126012"/>
  <pageSetup paperSize="0" firstPageNumber="96" fitToWidth="0" fitToHeight="0" orientation="landscape" useFirstPageNumber="1" horizontalDpi="0" verticalDpi="0" copies="0"/>
  <headerFooter alignWithMargins="0">
    <oddFooter>&amp;C&amp;"Times New Roman,Regular"&amp;P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31</v>
      </c>
    </row>
    <row r="3" spans="1:6" s="42" customFormat="1" ht="30.75" customHeight="1" x14ac:dyDescent="0.3">
      <c r="A3" s="104" t="s">
        <v>32</v>
      </c>
      <c r="B3" s="104"/>
      <c r="C3" s="104"/>
      <c r="D3" s="104"/>
      <c r="E3" s="104"/>
      <c r="F3" s="104"/>
    </row>
    <row r="4" spans="1:6" s="42" customFormat="1" ht="22.5" customHeight="1" x14ac:dyDescent="0.3">
      <c r="A4" s="106" t="s">
        <v>68</v>
      </c>
      <c r="B4" s="106"/>
      <c r="C4" s="106"/>
      <c r="D4" s="106"/>
      <c r="E4" s="106"/>
      <c r="F4" s="43" t="s">
        <v>34</v>
      </c>
    </row>
    <row r="5" spans="1:6" s="36" customFormat="1" ht="27" customHeight="1" x14ac:dyDescent="0.3">
      <c r="A5" s="126" t="s">
        <v>35</v>
      </c>
      <c r="B5" s="126"/>
      <c r="C5" s="44" t="s">
        <v>36</v>
      </c>
      <c r="D5" s="44" t="s">
        <v>37</v>
      </c>
      <c r="E5" s="127" t="s">
        <v>38</v>
      </c>
      <c r="F5" s="127"/>
    </row>
    <row r="6" spans="1:6" s="36" customFormat="1" ht="19.8" x14ac:dyDescent="0.3">
      <c r="A6" s="128" t="s">
        <v>263</v>
      </c>
      <c r="B6" s="128"/>
      <c r="C6" s="45">
        <v>506</v>
      </c>
      <c r="D6" s="46">
        <v>4920</v>
      </c>
      <c r="E6" s="111">
        <v>0</v>
      </c>
      <c r="F6" s="111"/>
    </row>
    <row r="7" spans="1:6" s="36" customFormat="1" ht="21.75" customHeight="1" x14ac:dyDescent="0.3">
      <c r="A7" s="113" t="s">
        <v>157</v>
      </c>
      <c r="B7" s="113"/>
      <c r="C7" s="47">
        <v>202</v>
      </c>
      <c r="D7" s="85">
        <v>2987</v>
      </c>
      <c r="E7" s="114">
        <v>0</v>
      </c>
      <c r="F7" s="114"/>
    </row>
    <row r="8" spans="1:6" s="36" customFormat="1" ht="22.95" customHeight="1" x14ac:dyDescent="0.3">
      <c r="A8" s="125" t="s">
        <v>39</v>
      </c>
      <c r="B8" s="49" t="s">
        <v>218</v>
      </c>
      <c r="C8" s="47">
        <v>80</v>
      </c>
      <c r="D8" s="85">
        <v>1464</v>
      </c>
      <c r="E8" s="114">
        <v>0</v>
      </c>
      <c r="F8" s="114"/>
    </row>
    <row r="9" spans="1:6" s="36" customFormat="1" ht="19.8" x14ac:dyDescent="0.3">
      <c r="A9" s="125"/>
      <c r="B9" s="49" t="s">
        <v>40</v>
      </c>
      <c r="C9" s="47">
        <v>18</v>
      </c>
      <c r="D9" s="85">
        <v>188</v>
      </c>
      <c r="E9" s="114">
        <v>0</v>
      </c>
      <c r="F9" s="114"/>
    </row>
    <row r="10" spans="1:6" s="36" customFormat="1" ht="19.8" x14ac:dyDescent="0.3">
      <c r="A10" s="125"/>
      <c r="B10" s="49" t="s">
        <v>41</v>
      </c>
      <c r="C10" s="47">
        <v>26</v>
      </c>
      <c r="D10" s="85">
        <v>484</v>
      </c>
      <c r="E10" s="114">
        <v>0</v>
      </c>
      <c r="F10" s="114"/>
    </row>
    <row r="11" spans="1:6" s="36" customFormat="1" ht="19.8" x14ac:dyDescent="0.3">
      <c r="A11" s="125"/>
      <c r="B11" s="49" t="s">
        <v>42</v>
      </c>
      <c r="C11" s="47">
        <v>1</v>
      </c>
      <c r="D11" s="85">
        <v>2</v>
      </c>
      <c r="E11" s="114">
        <v>0</v>
      </c>
      <c r="F11" s="114"/>
    </row>
    <row r="12" spans="1:6" s="36" customFormat="1" ht="19.8" x14ac:dyDescent="0.3">
      <c r="A12" s="125"/>
      <c r="B12" s="49" t="s">
        <v>43</v>
      </c>
      <c r="C12" s="47">
        <v>17</v>
      </c>
      <c r="D12" s="85">
        <v>391</v>
      </c>
      <c r="E12" s="114">
        <v>0</v>
      </c>
      <c r="F12" s="114"/>
    </row>
    <row r="13" spans="1:6" s="36" customFormat="1" ht="19.8" x14ac:dyDescent="0.3">
      <c r="A13" s="125"/>
      <c r="B13" s="49" t="s">
        <v>44</v>
      </c>
      <c r="C13" s="47">
        <v>22</v>
      </c>
      <c r="D13" s="85">
        <v>561</v>
      </c>
      <c r="E13" s="114">
        <v>0</v>
      </c>
      <c r="F13" s="114"/>
    </row>
    <row r="14" spans="1:6" s="36" customFormat="1" ht="19.8" x14ac:dyDescent="0.3">
      <c r="A14" s="125"/>
      <c r="B14" s="49" t="s">
        <v>45</v>
      </c>
      <c r="C14" s="47">
        <v>1</v>
      </c>
      <c r="D14" s="85">
        <v>1</v>
      </c>
      <c r="E14" s="114">
        <v>0</v>
      </c>
      <c r="F14" s="114"/>
    </row>
    <row r="15" spans="1:6" s="36" customFormat="1" ht="19.8" x14ac:dyDescent="0.3">
      <c r="A15" s="125"/>
      <c r="B15" s="49" t="s">
        <v>219</v>
      </c>
      <c r="C15" s="47">
        <v>0</v>
      </c>
      <c r="D15" s="85">
        <v>0</v>
      </c>
      <c r="E15" s="114">
        <v>0</v>
      </c>
      <c r="F15" s="114"/>
    </row>
    <row r="16" spans="1:6" s="36" customFormat="1" ht="21.9" customHeight="1" x14ac:dyDescent="0.3">
      <c r="A16" s="125" t="s">
        <v>47</v>
      </c>
      <c r="B16" s="49" t="s">
        <v>48</v>
      </c>
      <c r="C16" s="47">
        <v>0</v>
      </c>
      <c r="D16" s="85">
        <v>0</v>
      </c>
      <c r="E16" s="114">
        <v>0</v>
      </c>
      <c r="F16" s="114"/>
    </row>
    <row r="17" spans="1:28" s="36" customFormat="1" ht="21.9" customHeight="1" x14ac:dyDescent="0.3">
      <c r="A17" s="125"/>
      <c r="B17" s="49" t="s">
        <v>49</v>
      </c>
      <c r="C17" s="47">
        <v>0</v>
      </c>
      <c r="D17" s="85">
        <v>0</v>
      </c>
      <c r="E17" s="114">
        <v>0</v>
      </c>
      <c r="F17" s="114"/>
    </row>
    <row r="18" spans="1:28" s="36" customFormat="1" ht="21.9" customHeight="1" x14ac:dyDescent="0.3">
      <c r="A18" s="125"/>
      <c r="B18" s="49" t="s">
        <v>50</v>
      </c>
      <c r="C18" s="47">
        <v>0</v>
      </c>
      <c r="D18" s="85">
        <v>0</v>
      </c>
      <c r="E18" s="114">
        <v>0</v>
      </c>
      <c r="F18" s="114"/>
    </row>
    <row r="19" spans="1:28" s="36" customFormat="1" ht="21.9" customHeight="1" x14ac:dyDescent="0.3">
      <c r="A19" s="125"/>
      <c r="B19" s="49" t="s">
        <v>219</v>
      </c>
      <c r="C19" s="47">
        <v>0</v>
      </c>
      <c r="D19" s="85">
        <v>0</v>
      </c>
      <c r="E19" s="114">
        <v>0</v>
      </c>
      <c r="F19" s="114"/>
    </row>
    <row r="20" spans="1:28" s="36" customFormat="1" ht="19.95" customHeight="1" x14ac:dyDescent="0.3">
      <c r="A20" s="125" t="s">
        <v>51</v>
      </c>
      <c r="B20" s="49" t="s">
        <v>48</v>
      </c>
      <c r="C20" s="47">
        <v>10</v>
      </c>
      <c r="D20" s="85">
        <v>41</v>
      </c>
      <c r="E20" s="114">
        <v>0</v>
      </c>
      <c r="F20" s="114"/>
    </row>
    <row r="21" spans="1:28" s="36" customFormat="1" ht="19.8" x14ac:dyDescent="0.3">
      <c r="A21" s="125"/>
      <c r="B21" s="49" t="s">
        <v>52</v>
      </c>
      <c r="C21" s="47">
        <v>4</v>
      </c>
      <c r="D21" s="85">
        <v>13</v>
      </c>
      <c r="E21" s="114">
        <v>0</v>
      </c>
      <c r="F21" s="114"/>
    </row>
    <row r="22" spans="1:28" s="36" customFormat="1" ht="19.8" x14ac:dyDescent="0.3">
      <c r="A22" s="125"/>
      <c r="B22" s="49" t="s">
        <v>53</v>
      </c>
      <c r="C22" s="47">
        <v>0</v>
      </c>
      <c r="D22" s="85">
        <v>0</v>
      </c>
      <c r="E22" s="114">
        <v>0</v>
      </c>
      <c r="F22" s="114"/>
    </row>
    <row r="23" spans="1:28" s="36" customFormat="1" ht="19.8" x14ac:dyDescent="0.3">
      <c r="A23" s="125"/>
      <c r="B23" s="49" t="s">
        <v>54</v>
      </c>
      <c r="C23" s="47">
        <v>2</v>
      </c>
      <c r="D23" s="85">
        <v>4</v>
      </c>
      <c r="E23" s="114">
        <v>0</v>
      </c>
      <c r="F23" s="114"/>
    </row>
    <row r="24" spans="1:28" s="36" customFormat="1" ht="19.8" x14ac:dyDescent="0.3">
      <c r="A24" s="125"/>
      <c r="B24" s="49" t="s">
        <v>55</v>
      </c>
      <c r="C24" s="47">
        <v>4</v>
      </c>
      <c r="D24" s="85">
        <v>24</v>
      </c>
      <c r="E24" s="114">
        <v>0</v>
      </c>
      <c r="F24" s="114"/>
    </row>
    <row r="25" spans="1:28" s="36" customFormat="1" ht="19.8" x14ac:dyDescent="0.3">
      <c r="A25" s="125"/>
      <c r="B25" s="49" t="s">
        <v>56</v>
      </c>
      <c r="C25" s="47">
        <v>0</v>
      </c>
      <c r="D25" s="85">
        <v>0</v>
      </c>
      <c r="E25" s="114">
        <v>0</v>
      </c>
      <c r="F25" s="114"/>
    </row>
    <row r="26" spans="1:28" s="36" customFormat="1" ht="19.8" x14ac:dyDescent="0.3">
      <c r="A26" s="125"/>
      <c r="B26" s="49" t="s">
        <v>219</v>
      </c>
      <c r="C26" s="47">
        <v>0</v>
      </c>
      <c r="D26" s="85">
        <v>0</v>
      </c>
      <c r="E26" s="114">
        <v>0</v>
      </c>
      <c r="F26" s="114"/>
    </row>
    <row r="27" spans="1:28" s="36" customFormat="1" ht="19.8" x14ac:dyDescent="0.3">
      <c r="A27" s="110" t="s">
        <v>220</v>
      </c>
      <c r="B27" s="110"/>
      <c r="C27" s="47">
        <v>122</v>
      </c>
      <c r="D27" s="85">
        <v>1622</v>
      </c>
      <c r="E27" s="114">
        <v>0</v>
      </c>
      <c r="F27" s="114"/>
    </row>
    <row r="28" spans="1:28" s="36" customFormat="1" ht="19.8" x14ac:dyDescent="0.3">
      <c r="A28" s="110" t="s">
        <v>58</v>
      </c>
      <c r="B28" s="110"/>
      <c r="C28" s="47">
        <v>304</v>
      </c>
      <c r="D28" s="85">
        <v>1933</v>
      </c>
      <c r="E28" s="114">
        <v>0</v>
      </c>
      <c r="F28" s="114"/>
    </row>
    <row r="29" spans="1:28" s="36" customFormat="1" ht="19.8" x14ac:dyDescent="0.3">
      <c r="A29" s="50"/>
      <c r="B29" s="51" t="s">
        <v>59</v>
      </c>
      <c r="C29" s="47">
        <v>197</v>
      </c>
      <c r="D29" s="85">
        <v>1546</v>
      </c>
      <c r="E29" s="114">
        <v>0</v>
      </c>
      <c r="F29" s="114"/>
    </row>
    <row r="30" spans="1:28" s="36" customFormat="1" ht="19.8" x14ac:dyDescent="0.3">
      <c r="A30" s="52"/>
      <c r="B30" s="51" t="s">
        <v>60</v>
      </c>
      <c r="C30" s="53">
        <v>107</v>
      </c>
      <c r="D30" s="54">
        <v>387</v>
      </c>
      <c r="E30" s="120">
        <v>0</v>
      </c>
      <c r="F30" s="120"/>
    </row>
    <row r="31" spans="1:28" s="57" customFormat="1" ht="23.25" customHeight="1" x14ac:dyDescent="0.3">
      <c r="A31" s="55" t="s">
        <v>61</v>
      </c>
      <c r="B31" s="56"/>
      <c r="C31" s="55" t="s">
        <v>62</v>
      </c>
      <c r="D31" s="55" t="s">
        <v>63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55" t="s">
        <v>65</v>
      </c>
      <c r="E32" s="55"/>
      <c r="H32" s="56"/>
      <c r="I32" s="43"/>
      <c r="J32" s="56"/>
      <c r="K32" s="56"/>
      <c r="L32" s="56"/>
      <c r="M32" s="56"/>
      <c r="N32" s="56"/>
      <c r="O32" s="56"/>
      <c r="P32" s="56"/>
      <c r="Q32" s="56"/>
      <c r="R32" s="56"/>
      <c r="S32" s="56"/>
      <c r="T32" s="56"/>
      <c r="U32" s="56"/>
      <c r="V32" s="56"/>
      <c r="W32" s="56"/>
    </row>
    <row r="33" spans="1:2" s="59" customFormat="1" ht="21" customHeight="1" x14ac:dyDescent="0.3">
      <c r="A33" s="42" t="s">
        <v>252</v>
      </c>
      <c r="B33" s="42"/>
    </row>
    <row r="34" spans="1:2" s="59" customFormat="1" ht="21" customHeight="1" x14ac:dyDescent="0.3">
      <c r="A34" s="59" t="s">
        <v>66</v>
      </c>
    </row>
    <row r="35" spans="1:2" s="59" customFormat="1" ht="21" customHeight="1" x14ac:dyDescent="0.3">
      <c r="A35" s="60" t="s">
        <v>67</v>
      </c>
      <c r="B35" s="42" t="s">
        <v>257</v>
      </c>
    </row>
    <row r="36" spans="1:2" s="59" customFormat="1" ht="18.600000000000001" x14ac:dyDescent="0.3">
      <c r="B36" s="42" t="s">
        <v>258</v>
      </c>
    </row>
    <row r="37" spans="1:2" s="59" customFormat="1" ht="21" customHeight="1" x14ac:dyDescent="0.3">
      <c r="B37" s="64"/>
    </row>
    <row r="38" spans="1:2" s="59" customFormat="1" ht="18.600000000000001" x14ac:dyDescent="0.3">
      <c r="B38" s="61"/>
    </row>
    <row r="39" spans="1:2" s="42" customFormat="1" ht="16.2" x14ac:dyDescent="0.3">
      <c r="B39" s="59"/>
    </row>
    <row r="40" spans="1:2" s="42" customFormat="1" x14ac:dyDescent="0.3"/>
    <row r="41" spans="1:2" s="42" customFormat="1" x14ac:dyDescent="0.3"/>
    <row r="42" spans="1:2" s="42" customFormat="1" x14ac:dyDescent="0.3"/>
    <row r="43" spans="1:2" s="42" customFormat="1" x14ac:dyDescent="0.3"/>
    <row r="44" spans="1:2" s="42" customFormat="1" x14ac:dyDescent="0.3"/>
    <row r="45" spans="1:2" s="42" customFormat="1" x14ac:dyDescent="0.3"/>
    <row r="46" spans="1:2" s="42" customFormat="1" x14ac:dyDescent="0.3"/>
    <row r="47" spans="1:2" s="42" customFormat="1" ht="16.2" x14ac:dyDescent="0.3">
      <c r="B47" s="62"/>
    </row>
    <row r="48" spans="1:2"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31496062992126012" bottom="0.31496062992126012" header="0.31496062992126012" footer="0.31496062992126012"/>
  <pageSetup paperSize="0" firstPageNumber="96" fitToWidth="0" fitToHeight="0" orientation="landscape" useFirstPageNumber="1" horizontalDpi="0" verticalDpi="0" copies="0"/>
  <headerFooter alignWithMargins="0">
    <oddFooter>&amp;C&amp;"Times New Roman,Regular"&amp;P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31</v>
      </c>
    </row>
    <row r="3" spans="1:6" s="42" customFormat="1" ht="30.75" customHeight="1" x14ac:dyDescent="0.3">
      <c r="A3" s="104" t="s">
        <v>32</v>
      </c>
      <c r="B3" s="104"/>
      <c r="C3" s="104"/>
      <c r="D3" s="104"/>
      <c r="E3" s="104"/>
      <c r="F3" s="104"/>
    </row>
    <row r="4" spans="1:6" s="42" customFormat="1" ht="22.5" customHeight="1" x14ac:dyDescent="0.3">
      <c r="A4" s="106" t="s">
        <v>69</v>
      </c>
      <c r="B4" s="106"/>
      <c r="C4" s="106"/>
      <c r="D4" s="106"/>
      <c r="E4" s="106"/>
      <c r="F4" s="43" t="s">
        <v>34</v>
      </c>
    </row>
    <row r="5" spans="1:6" s="36" customFormat="1" ht="27" customHeight="1" x14ac:dyDescent="0.3">
      <c r="A5" s="126" t="s">
        <v>35</v>
      </c>
      <c r="B5" s="126"/>
      <c r="C5" s="44" t="s">
        <v>36</v>
      </c>
      <c r="D5" s="44" t="s">
        <v>37</v>
      </c>
      <c r="E5" s="127" t="s">
        <v>38</v>
      </c>
      <c r="F5" s="127"/>
    </row>
    <row r="6" spans="1:6" s="36" customFormat="1" ht="19.8" x14ac:dyDescent="0.3">
      <c r="A6" s="128" t="s">
        <v>263</v>
      </c>
      <c r="B6" s="128"/>
      <c r="C6" s="45">
        <v>502</v>
      </c>
      <c r="D6" s="46">
        <v>6935</v>
      </c>
      <c r="E6" s="111">
        <v>2</v>
      </c>
      <c r="F6" s="111"/>
    </row>
    <row r="7" spans="1:6" s="36" customFormat="1" ht="21.75" customHeight="1" x14ac:dyDescent="0.3">
      <c r="A7" s="113" t="s">
        <v>157</v>
      </c>
      <c r="B7" s="113"/>
      <c r="C7" s="47">
        <v>212</v>
      </c>
      <c r="D7" s="85">
        <v>4651</v>
      </c>
      <c r="E7" s="114">
        <v>0</v>
      </c>
      <c r="F7" s="114"/>
    </row>
    <row r="8" spans="1:6" s="36" customFormat="1" ht="22.95" customHeight="1" x14ac:dyDescent="0.3">
      <c r="A8" s="125" t="s">
        <v>39</v>
      </c>
      <c r="B8" s="49" t="s">
        <v>218</v>
      </c>
      <c r="C8" s="47">
        <v>91</v>
      </c>
      <c r="D8" s="85">
        <v>3352</v>
      </c>
      <c r="E8" s="114">
        <v>0</v>
      </c>
      <c r="F8" s="114"/>
    </row>
    <row r="9" spans="1:6" s="36" customFormat="1" ht="19.8" x14ac:dyDescent="0.3">
      <c r="A9" s="125"/>
      <c r="B9" s="49" t="s">
        <v>40</v>
      </c>
      <c r="C9" s="47">
        <v>10</v>
      </c>
      <c r="D9" s="85">
        <v>232</v>
      </c>
      <c r="E9" s="114">
        <v>0</v>
      </c>
      <c r="F9" s="114"/>
    </row>
    <row r="10" spans="1:6" s="36" customFormat="1" ht="19.8" x14ac:dyDescent="0.3">
      <c r="A10" s="125"/>
      <c r="B10" s="49" t="s">
        <v>41</v>
      </c>
      <c r="C10" s="47">
        <v>21</v>
      </c>
      <c r="D10" s="85">
        <v>632</v>
      </c>
      <c r="E10" s="114">
        <v>0</v>
      </c>
      <c r="F10" s="114"/>
    </row>
    <row r="11" spans="1:6" s="36" customFormat="1" ht="19.8" x14ac:dyDescent="0.3">
      <c r="A11" s="125"/>
      <c r="B11" s="49" t="s">
        <v>42</v>
      </c>
      <c r="C11" s="47">
        <v>3</v>
      </c>
      <c r="D11" s="85">
        <v>203</v>
      </c>
      <c r="E11" s="114">
        <v>0</v>
      </c>
      <c r="F11" s="114"/>
    </row>
    <row r="12" spans="1:6" s="36" customFormat="1" ht="19.8" x14ac:dyDescent="0.3">
      <c r="A12" s="125"/>
      <c r="B12" s="49" t="s">
        <v>43</v>
      </c>
      <c r="C12" s="47">
        <v>35</v>
      </c>
      <c r="D12" s="85">
        <v>902</v>
      </c>
      <c r="E12" s="114">
        <v>0</v>
      </c>
      <c r="F12" s="114"/>
    </row>
    <row r="13" spans="1:6" s="36" customFormat="1" ht="19.8" x14ac:dyDescent="0.3">
      <c r="A13" s="125"/>
      <c r="B13" s="49" t="s">
        <v>44</v>
      </c>
      <c r="C13" s="47">
        <v>33</v>
      </c>
      <c r="D13" s="85">
        <v>2074</v>
      </c>
      <c r="E13" s="114">
        <v>0</v>
      </c>
      <c r="F13" s="114"/>
    </row>
    <row r="14" spans="1:6" s="36" customFormat="1" ht="19.8" x14ac:dyDescent="0.3">
      <c r="A14" s="125"/>
      <c r="B14" s="49" t="s">
        <v>45</v>
      </c>
      <c r="C14" s="47">
        <v>0</v>
      </c>
      <c r="D14" s="85">
        <v>0</v>
      </c>
      <c r="E14" s="114">
        <v>0</v>
      </c>
      <c r="F14" s="114"/>
    </row>
    <row r="15" spans="1:6" s="36" customFormat="1" ht="20.399999999999999" x14ac:dyDescent="0.3">
      <c r="A15" s="125"/>
      <c r="B15" s="49" t="s">
        <v>242</v>
      </c>
      <c r="C15" s="47">
        <v>2</v>
      </c>
      <c r="D15" s="85">
        <v>413</v>
      </c>
      <c r="E15" s="114">
        <v>0</v>
      </c>
      <c r="F15" s="114"/>
    </row>
    <row r="16" spans="1:6" s="36" customFormat="1" ht="21.9" customHeight="1" x14ac:dyDescent="0.3">
      <c r="A16" s="125" t="s">
        <v>47</v>
      </c>
      <c r="B16" s="49" t="s">
        <v>48</v>
      </c>
      <c r="C16" s="47">
        <v>0</v>
      </c>
      <c r="D16" s="85">
        <v>0</v>
      </c>
      <c r="E16" s="114">
        <v>0</v>
      </c>
      <c r="F16" s="114"/>
    </row>
    <row r="17" spans="1:28" s="36" customFormat="1" ht="21.9" customHeight="1" x14ac:dyDescent="0.3">
      <c r="A17" s="125"/>
      <c r="B17" s="49" t="s">
        <v>49</v>
      </c>
      <c r="C17" s="47">
        <v>0</v>
      </c>
      <c r="D17" s="85">
        <v>0</v>
      </c>
      <c r="E17" s="114">
        <v>0</v>
      </c>
      <c r="F17" s="114"/>
    </row>
    <row r="18" spans="1:28" s="36" customFormat="1" ht="21.9" customHeight="1" x14ac:dyDescent="0.3">
      <c r="A18" s="125"/>
      <c r="B18" s="49" t="s">
        <v>50</v>
      </c>
      <c r="C18" s="47">
        <v>0</v>
      </c>
      <c r="D18" s="85">
        <v>0</v>
      </c>
      <c r="E18" s="114">
        <v>0</v>
      </c>
      <c r="F18" s="114"/>
    </row>
    <row r="19" spans="1:28" s="36" customFormat="1" ht="21.9" customHeight="1" x14ac:dyDescent="0.3">
      <c r="A19" s="125"/>
      <c r="B19" s="49" t="s">
        <v>219</v>
      </c>
      <c r="C19" s="47">
        <v>0</v>
      </c>
      <c r="D19" s="85">
        <v>0</v>
      </c>
      <c r="E19" s="114">
        <v>0</v>
      </c>
      <c r="F19" s="114"/>
    </row>
    <row r="20" spans="1:28" s="36" customFormat="1" ht="19.95" customHeight="1" x14ac:dyDescent="0.3">
      <c r="A20" s="125" t="s">
        <v>51</v>
      </c>
      <c r="B20" s="49" t="s">
        <v>48</v>
      </c>
      <c r="C20" s="47">
        <v>12</v>
      </c>
      <c r="D20" s="85">
        <v>77</v>
      </c>
      <c r="E20" s="114">
        <v>2</v>
      </c>
      <c r="F20" s="114"/>
    </row>
    <row r="21" spans="1:28" s="36" customFormat="1" ht="19.8" x14ac:dyDescent="0.3">
      <c r="A21" s="125"/>
      <c r="B21" s="49" t="s">
        <v>52</v>
      </c>
      <c r="C21" s="47">
        <v>2</v>
      </c>
      <c r="D21" s="85">
        <v>4</v>
      </c>
      <c r="E21" s="114">
        <v>1</v>
      </c>
      <c r="F21" s="114"/>
    </row>
    <row r="22" spans="1:28" s="36" customFormat="1" ht="19.8" x14ac:dyDescent="0.3">
      <c r="A22" s="125"/>
      <c r="B22" s="49" t="s">
        <v>53</v>
      </c>
      <c r="C22" s="47">
        <v>0</v>
      </c>
      <c r="D22" s="85">
        <v>0</v>
      </c>
      <c r="E22" s="114">
        <v>0</v>
      </c>
      <c r="F22" s="114"/>
    </row>
    <row r="23" spans="1:28" s="36" customFormat="1" ht="19.8" x14ac:dyDescent="0.3">
      <c r="A23" s="125"/>
      <c r="B23" s="49" t="s">
        <v>54</v>
      </c>
      <c r="C23" s="47">
        <v>0</v>
      </c>
      <c r="D23" s="85">
        <v>0</v>
      </c>
      <c r="E23" s="114">
        <v>0</v>
      </c>
      <c r="F23" s="114"/>
    </row>
    <row r="24" spans="1:28" s="36" customFormat="1" ht="19.8" x14ac:dyDescent="0.3">
      <c r="A24" s="125"/>
      <c r="B24" s="49" t="s">
        <v>55</v>
      </c>
      <c r="C24" s="47">
        <v>8</v>
      </c>
      <c r="D24" s="85">
        <v>66</v>
      </c>
      <c r="E24" s="114">
        <v>0</v>
      </c>
      <c r="F24" s="114"/>
    </row>
    <row r="25" spans="1:28" s="36" customFormat="1" ht="19.8" x14ac:dyDescent="0.3">
      <c r="A25" s="125"/>
      <c r="B25" s="49" t="s">
        <v>56</v>
      </c>
      <c r="C25" s="47">
        <v>0</v>
      </c>
      <c r="D25" s="85">
        <v>0</v>
      </c>
      <c r="E25" s="114">
        <v>0</v>
      </c>
      <c r="F25" s="114"/>
    </row>
    <row r="26" spans="1:28" s="36" customFormat="1" ht="19.8" x14ac:dyDescent="0.3">
      <c r="A26" s="125"/>
      <c r="B26" s="49" t="s">
        <v>219</v>
      </c>
      <c r="C26" s="47">
        <v>2</v>
      </c>
      <c r="D26" s="85">
        <v>7</v>
      </c>
      <c r="E26" s="114">
        <v>1</v>
      </c>
      <c r="F26" s="114"/>
    </row>
    <row r="27" spans="1:28" s="36" customFormat="1" ht="20.399999999999999" x14ac:dyDescent="0.3">
      <c r="A27" s="110" t="s">
        <v>243</v>
      </c>
      <c r="B27" s="110"/>
      <c r="C27" s="47">
        <v>141</v>
      </c>
      <c r="D27" s="85">
        <v>2229</v>
      </c>
      <c r="E27" s="114">
        <v>0</v>
      </c>
      <c r="F27" s="114"/>
    </row>
    <row r="28" spans="1:28" s="36" customFormat="1" ht="19.8" x14ac:dyDescent="0.3">
      <c r="A28" s="110" t="s">
        <v>58</v>
      </c>
      <c r="B28" s="110"/>
      <c r="C28" s="47">
        <v>290</v>
      </c>
      <c r="D28" s="85">
        <v>2284</v>
      </c>
      <c r="E28" s="114">
        <v>0</v>
      </c>
      <c r="F28" s="114"/>
    </row>
    <row r="29" spans="1:28" s="36" customFormat="1" ht="19.8" x14ac:dyDescent="0.3">
      <c r="A29" s="50"/>
      <c r="B29" s="51" t="s">
        <v>59</v>
      </c>
      <c r="C29" s="47">
        <v>211</v>
      </c>
      <c r="D29" s="85">
        <v>2050</v>
      </c>
      <c r="E29" s="114">
        <v>0</v>
      </c>
      <c r="F29" s="114"/>
    </row>
    <row r="30" spans="1:28" s="36" customFormat="1" ht="19.8" x14ac:dyDescent="0.3">
      <c r="A30" s="52"/>
      <c r="B30" s="51" t="s">
        <v>60</v>
      </c>
      <c r="C30" s="53">
        <v>79</v>
      </c>
      <c r="D30" s="54">
        <v>234</v>
      </c>
      <c r="E30" s="120">
        <v>0</v>
      </c>
      <c r="F30" s="120"/>
    </row>
    <row r="31" spans="1:28" s="57" customFormat="1" ht="23.25" customHeight="1" x14ac:dyDescent="0.3">
      <c r="A31" s="55" t="s">
        <v>61</v>
      </c>
      <c r="B31" s="56"/>
      <c r="C31" s="55" t="s">
        <v>62</v>
      </c>
      <c r="D31" s="55" t="s">
        <v>63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55" t="s">
        <v>65</v>
      </c>
      <c r="E32" s="55"/>
      <c r="H32" s="56"/>
      <c r="I32" s="43"/>
      <c r="J32" s="56"/>
      <c r="K32" s="56"/>
      <c r="L32" s="56"/>
      <c r="M32" s="56"/>
      <c r="N32" s="56"/>
      <c r="O32" s="56"/>
      <c r="P32" s="56"/>
      <c r="Q32" s="56"/>
      <c r="R32" s="56"/>
      <c r="S32" s="56"/>
      <c r="T32" s="56"/>
      <c r="U32" s="56"/>
      <c r="V32" s="56"/>
      <c r="W32" s="56"/>
    </row>
    <row r="33" spans="1:6" s="59" customFormat="1" ht="21" customHeight="1" x14ac:dyDescent="0.3">
      <c r="A33" s="42" t="s">
        <v>252</v>
      </c>
      <c r="B33" s="42"/>
    </row>
    <row r="34" spans="1:6" s="59" customFormat="1" ht="21" customHeight="1" x14ac:dyDescent="0.3">
      <c r="A34" s="59" t="s">
        <v>66</v>
      </c>
    </row>
    <row r="35" spans="1:6" s="59" customFormat="1" ht="33.6" customHeight="1" x14ac:dyDescent="0.3">
      <c r="A35" s="59" t="s">
        <v>67</v>
      </c>
      <c r="B35" s="129" t="s">
        <v>205</v>
      </c>
      <c r="C35" s="130"/>
      <c r="D35" s="130"/>
      <c r="E35" s="130"/>
      <c r="F35" s="130"/>
    </row>
    <row r="36" spans="1:6" s="59" customFormat="1" ht="18.600000000000001" x14ac:dyDescent="0.3">
      <c r="B36" s="64" t="s">
        <v>70</v>
      </c>
    </row>
    <row r="37" spans="1:6" s="59" customFormat="1" ht="18.600000000000001" x14ac:dyDescent="0.3">
      <c r="B37" s="64" t="s">
        <v>71</v>
      </c>
    </row>
    <row r="38" spans="1:6" s="59" customFormat="1" ht="18.600000000000001" x14ac:dyDescent="0.3">
      <c r="B38" s="61" t="s">
        <v>72</v>
      </c>
    </row>
    <row r="39" spans="1:6" s="42" customFormat="1" ht="16.2" x14ac:dyDescent="0.3">
      <c r="B39" s="59"/>
    </row>
    <row r="40" spans="1:6" s="42" customFormat="1" x14ac:dyDescent="0.3"/>
    <row r="41" spans="1:6" s="42" customFormat="1" x14ac:dyDescent="0.3"/>
    <row r="42" spans="1:6" s="42" customFormat="1" x14ac:dyDescent="0.3"/>
    <row r="43" spans="1:6" s="42" customFormat="1" x14ac:dyDescent="0.3"/>
    <row r="44" spans="1:6" s="42" customFormat="1" x14ac:dyDescent="0.3"/>
    <row r="45" spans="1:6" s="42" customFormat="1" x14ac:dyDescent="0.3"/>
    <row r="46" spans="1:6" s="42" customFormat="1" x14ac:dyDescent="0.3"/>
    <row r="47" spans="1:6" s="42" customFormat="1" ht="16.2" x14ac:dyDescent="0.3">
      <c r="B47" s="62"/>
    </row>
    <row r="48" spans="1:6"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7">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B35:F35"/>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31496062992126012" bottom="0.31496062992126012" header="0.31496062992126012" footer="0.31496062992126012"/>
  <pageSetup paperSize="0" firstPageNumber="96" fitToWidth="0" fitToHeight="0" orientation="landscape" useFirstPageNumber="1" horizontalDpi="0" verticalDpi="0" copies="0"/>
  <headerFooter alignWithMargins="0">
    <oddFooter>&amp;C&amp;"Times New Roman,Regular"&amp;P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31</v>
      </c>
    </row>
    <row r="3" spans="1:6" s="42" customFormat="1" ht="30.75" customHeight="1" x14ac:dyDescent="0.3">
      <c r="A3" s="131" t="s">
        <v>73</v>
      </c>
      <c r="B3" s="131"/>
      <c r="C3" s="131"/>
      <c r="D3" s="131"/>
      <c r="E3" s="131"/>
      <c r="F3" s="131"/>
    </row>
    <row r="4" spans="1:6" s="42" customFormat="1" ht="22.5" customHeight="1" x14ac:dyDescent="0.3">
      <c r="A4" s="106" t="s">
        <v>74</v>
      </c>
      <c r="B4" s="106"/>
      <c r="C4" s="106"/>
      <c r="D4" s="106"/>
      <c r="E4" s="106"/>
      <c r="F4" s="43" t="s">
        <v>34</v>
      </c>
    </row>
    <row r="5" spans="1:6" s="36" customFormat="1" ht="27" customHeight="1" x14ac:dyDescent="0.3">
      <c r="A5" s="126" t="s">
        <v>35</v>
      </c>
      <c r="B5" s="126"/>
      <c r="C5" s="44" t="s">
        <v>36</v>
      </c>
      <c r="D5" s="44" t="s">
        <v>37</v>
      </c>
      <c r="E5" s="127" t="s">
        <v>38</v>
      </c>
      <c r="F5" s="127"/>
    </row>
    <row r="6" spans="1:6" s="36" customFormat="1" ht="19.8" x14ac:dyDescent="0.3">
      <c r="A6" s="128" t="s">
        <v>263</v>
      </c>
      <c r="B6" s="128"/>
      <c r="C6" s="45">
        <v>398</v>
      </c>
      <c r="D6" s="46">
        <v>4616</v>
      </c>
      <c r="E6" s="111">
        <v>0</v>
      </c>
      <c r="F6" s="111"/>
    </row>
    <row r="7" spans="1:6" s="36" customFormat="1" ht="21.75" customHeight="1" x14ac:dyDescent="0.3">
      <c r="A7" s="113" t="s">
        <v>157</v>
      </c>
      <c r="B7" s="113"/>
      <c r="C7" s="47">
        <v>148</v>
      </c>
      <c r="D7" s="85">
        <v>3488</v>
      </c>
      <c r="E7" s="114">
        <v>0</v>
      </c>
      <c r="F7" s="114"/>
    </row>
    <row r="8" spans="1:6" s="36" customFormat="1" ht="22.95" customHeight="1" x14ac:dyDescent="0.3">
      <c r="A8" s="125" t="s">
        <v>39</v>
      </c>
      <c r="B8" s="49" t="s">
        <v>218</v>
      </c>
      <c r="C8" s="47">
        <v>60</v>
      </c>
      <c r="D8" s="85">
        <v>2604</v>
      </c>
      <c r="E8" s="114">
        <v>0</v>
      </c>
      <c r="F8" s="114"/>
    </row>
    <row r="9" spans="1:6" s="36" customFormat="1" ht="19.8" x14ac:dyDescent="0.3">
      <c r="A9" s="125"/>
      <c r="B9" s="49" t="s">
        <v>40</v>
      </c>
      <c r="C9" s="47">
        <v>3</v>
      </c>
      <c r="D9" s="85">
        <v>10</v>
      </c>
      <c r="E9" s="114">
        <v>0</v>
      </c>
      <c r="F9" s="114"/>
    </row>
    <row r="10" spans="1:6" s="36" customFormat="1" ht="19.8" x14ac:dyDescent="0.3">
      <c r="A10" s="125"/>
      <c r="B10" s="49" t="s">
        <v>41</v>
      </c>
      <c r="C10" s="47">
        <v>11</v>
      </c>
      <c r="D10" s="85">
        <v>214</v>
      </c>
      <c r="E10" s="114">
        <v>0</v>
      </c>
      <c r="F10" s="114"/>
    </row>
    <row r="11" spans="1:6" s="36" customFormat="1" ht="19.8" x14ac:dyDescent="0.3">
      <c r="A11" s="125"/>
      <c r="B11" s="49" t="s">
        <v>42</v>
      </c>
      <c r="C11" s="47">
        <v>5</v>
      </c>
      <c r="D11" s="85">
        <v>614</v>
      </c>
      <c r="E11" s="114">
        <v>0</v>
      </c>
      <c r="F11" s="114"/>
    </row>
    <row r="12" spans="1:6" s="36" customFormat="1" ht="19.8" x14ac:dyDescent="0.3">
      <c r="A12" s="125"/>
      <c r="B12" s="49" t="s">
        <v>43</v>
      </c>
      <c r="C12" s="47">
        <v>31</v>
      </c>
      <c r="D12" s="85">
        <v>1270</v>
      </c>
      <c r="E12" s="114">
        <v>0</v>
      </c>
      <c r="F12" s="114"/>
    </row>
    <row r="13" spans="1:6" s="36" customFormat="1" ht="19.8" x14ac:dyDescent="0.3">
      <c r="A13" s="125"/>
      <c r="B13" s="49" t="s">
        <v>44</v>
      </c>
      <c r="C13" s="47">
        <v>22</v>
      </c>
      <c r="D13" s="85">
        <v>1632</v>
      </c>
      <c r="E13" s="114">
        <v>0</v>
      </c>
      <c r="F13" s="114"/>
    </row>
    <row r="14" spans="1:6" s="36" customFormat="1" ht="19.8" x14ac:dyDescent="0.3">
      <c r="A14" s="125"/>
      <c r="B14" s="49" t="s">
        <v>45</v>
      </c>
      <c r="C14" s="47">
        <v>0</v>
      </c>
      <c r="D14" s="85">
        <v>0</v>
      </c>
      <c r="E14" s="114">
        <v>0</v>
      </c>
      <c r="F14" s="114"/>
    </row>
    <row r="15" spans="1:6" s="36" customFormat="1" ht="20.399999999999999" x14ac:dyDescent="0.3">
      <c r="A15" s="125"/>
      <c r="B15" s="49" t="s">
        <v>242</v>
      </c>
      <c r="C15" s="47">
        <v>2</v>
      </c>
      <c r="D15" s="85">
        <v>121</v>
      </c>
      <c r="E15" s="114">
        <v>0</v>
      </c>
      <c r="F15" s="114"/>
    </row>
    <row r="16" spans="1:6" s="36" customFormat="1" ht="21.9" customHeight="1" x14ac:dyDescent="0.3">
      <c r="A16" s="125" t="s">
        <v>47</v>
      </c>
      <c r="B16" s="49" t="s">
        <v>48</v>
      </c>
      <c r="C16" s="47">
        <v>0</v>
      </c>
      <c r="D16" s="85">
        <v>0</v>
      </c>
      <c r="E16" s="114">
        <v>0</v>
      </c>
      <c r="F16" s="114"/>
    </row>
    <row r="17" spans="1:28" s="36" customFormat="1" ht="21.9" customHeight="1" x14ac:dyDescent="0.3">
      <c r="A17" s="125"/>
      <c r="B17" s="49" t="s">
        <v>49</v>
      </c>
      <c r="C17" s="47">
        <v>0</v>
      </c>
      <c r="D17" s="85">
        <v>0</v>
      </c>
      <c r="E17" s="114">
        <v>0</v>
      </c>
      <c r="F17" s="114"/>
    </row>
    <row r="18" spans="1:28" s="36" customFormat="1" ht="21.9" customHeight="1" x14ac:dyDescent="0.3">
      <c r="A18" s="125"/>
      <c r="B18" s="49" t="s">
        <v>50</v>
      </c>
      <c r="C18" s="47">
        <v>0</v>
      </c>
      <c r="D18" s="85">
        <v>0</v>
      </c>
      <c r="E18" s="114">
        <v>0</v>
      </c>
      <c r="F18" s="114"/>
    </row>
    <row r="19" spans="1:28" s="36" customFormat="1" ht="21.9" customHeight="1" x14ac:dyDescent="0.3">
      <c r="A19" s="125"/>
      <c r="B19" s="49" t="s">
        <v>219</v>
      </c>
      <c r="C19" s="47">
        <v>0</v>
      </c>
      <c r="D19" s="85">
        <v>0</v>
      </c>
      <c r="E19" s="114">
        <v>0</v>
      </c>
      <c r="F19" s="114"/>
    </row>
    <row r="20" spans="1:28" s="36" customFormat="1" ht="19.95" customHeight="1" x14ac:dyDescent="0.3">
      <c r="A20" s="125" t="s">
        <v>51</v>
      </c>
      <c r="B20" s="49" t="s">
        <v>48</v>
      </c>
      <c r="C20" s="47">
        <v>6</v>
      </c>
      <c r="D20" s="85">
        <v>28</v>
      </c>
      <c r="E20" s="114">
        <v>0</v>
      </c>
      <c r="F20" s="114"/>
    </row>
    <row r="21" spans="1:28" s="36" customFormat="1" ht="19.8" x14ac:dyDescent="0.3">
      <c r="A21" s="125"/>
      <c r="B21" s="49" t="s">
        <v>52</v>
      </c>
      <c r="C21" s="47">
        <v>3</v>
      </c>
      <c r="D21" s="85">
        <v>7</v>
      </c>
      <c r="E21" s="114">
        <v>0</v>
      </c>
      <c r="F21" s="114"/>
    </row>
    <row r="22" spans="1:28" s="36" customFormat="1" ht="19.8" x14ac:dyDescent="0.3">
      <c r="A22" s="125"/>
      <c r="B22" s="49" t="s">
        <v>53</v>
      </c>
      <c r="C22" s="47">
        <v>0</v>
      </c>
      <c r="D22" s="85">
        <v>0</v>
      </c>
      <c r="E22" s="114">
        <v>0</v>
      </c>
      <c r="F22" s="114"/>
    </row>
    <row r="23" spans="1:28" s="36" customFormat="1" ht="19.8" x14ac:dyDescent="0.3">
      <c r="A23" s="125"/>
      <c r="B23" s="49" t="s">
        <v>54</v>
      </c>
      <c r="C23" s="47">
        <v>0</v>
      </c>
      <c r="D23" s="85">
        <v>0</v>
      </c>
      <c r="E23" s="114">
        <v>0</v>
      </c>
      <c r="F23" s="114"/>
    </row>
    <row r="24" spans="1:28" s="36" customFormat="1" ht="19.8" x14ac:dyDescent="0.3">
      <c r="A24" s="125"/>
      <c r="B24" s="49" t="s">
        <v>55</v>
      </c>
      <c r="C24" s="47">
        <v>3</v>
      </c>
      <c r="D24" s="85">
        <v>21</v>
      </c>
      <c r="E24" s="114">
        <v>0</v>
      </c>
      <c r="F24" s="114"/>
    </row>
    <row r="25" spans="1:28" s="36" customFormat="1" ht="19.8" x14ac:dyDescent="0.3">
      <c r="A25" s="125"/>
      <c r="B25" s="49" t="s">
        <v>56</v>
      </c>
      <c r="C25" s="47">
        <v>0</v>
      </c>
      <c r="D25" s="85">
        <v>0</v>
      </c>
      <c r="E25" s="114">
        <v>0</v>
      </c>
      <c r="F25" s="114"/>
    </row>
    <row r="26" spans="1:28" s="36" customFormat="1" ht="19.8" x14ac:dyDescent="0.3">
      <c r="A26" s="125"/>
      <c r="B26" s="49" t="s">
        <v>219</v>
      </c>
      <c r="C26" s="47">
        <v>0</v>
      </c>
      <c r="D26" s="85">
        <v>0</v>
      </c>
      <c r="E26" s="114">
        <v>0</v>
      </c>
      <c r="F26" s="114"/>
    </row>
    <row r="27" spans="1:28" s="36" customFormat="1" ht="20.399999999999999" x14ac:dyDescent="0.3">
      <c r="A27" s="110" t="s">
        <v>243</v>
      </c>
      <c r="B27" s="110"/>
      <c r="C27" s="47">
        <v>97</v>
      </c>
      <c r="D27" s="85">
        <v>1585</v>
      </c>
      <c r="E27" s="114">
        <v>0</v>
      </c>
      <c r="F27" s="114"/>
    </row>
    <row r="28" spans="1:28" s="36" customFormat="1" ht="19.8" x14ac:dyDescent="0.3">
      <c r="A28" s="110" t="s">
        <v>58</v>
      </c>
      <c r="B28" s="110"/>
      <c r="C28" s="47">
        <v>250</v>
      </c>
      <c r="D28" s="85">
        <v>1128</v>
      </c>
      <c r="E28" s="114">
        <v>0</v>
      </c>
      <c r="F28" s="114"/>
    </row>
    <row r="29" spans="1:28" s="36" customFormat="1" ht="19.8" x14ac:dyDescent="0.3">
      <c r="A29" s="50"/>
      <c r="B29" s="51" t="s">
        <v>59</v>
      </c>
      <c r="C29" s="47">
        <v>184</v>
      </c>
      <c r="D29" s="85">
        <v>900</v>
      </c>
      <c r="E29" s="114">
        <v>0</v>
      </c>
      <c r="F29" s="114"/>
    </row>
    <row r="30" spans="1:28" s="36" customFormat="1" ht="19.8" x14ac:dyDescent="0.3">
      <c r="A30" s="52"/>
      <c r="B30" s="51" t="s">
        <v>60</v>
      </c>
      <c r="C30" s="53">
        <v>66</v>
      </c>
      <c r="D30" s="54">
        <v>228</v>
      </c>
      <c r="E30" s="120">
        <v>0</v>
      </c>
      <c r="F30" s="120"/>
    </row>
    <row r="31" spans="1:28" s="57" customFormat="1" ht="23.25" customHeight="1" x14ac:dyDescent="0.3">
      <c r="A31" s="55" t="s">
        <v>61</v>
      </c>
      <c r="B31" s="56"/>
      <c r="C31" s="55" t="s">
        <v>62</v>
      </c>
      <c r="D31" s="55" t="s">
        <v>63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55" t="s">
        <v>65</v>
      </c>
      <c r="E32" s="55"/>
      <c r="H32" s="56"/>
      <c r="I32" s="43"/>
      <c r="J32" s="56"/>
      <c r="K32" s="56"/>
      <c r="L32" s="56"/>
      <c r="M32" s="56"/>
      <c r="N32" s="56"/>
      <c r="O32" s="56"/>
      <c r="P32" s="56"/>
      <c r="Q32" s="56"/>
      <c r="R32" s="56"/>
      <c r="S32" s="56"/>
      <c r="T32" s="56"/>
      <c r="U32" s="56"/>
      <c r="V32" s="56"/>
      <c r="W32" s="56"/>
    </row>
    <row r="33" spans="1:2" s="59" customFormat="1" ht="21" customHeight="1" x14ac:dyDescent="0.3">
      <c r="A33" s="42" t="s">
        <v>252</v>
      </c>
      <c r="B33" s="42"/>
    </row>
    <row r="34" spans="1:2" s="59" customFormat="1" ht="21" customHeight="1" x14ac:dyDescent="0.3">
      <c r="A34" s="59" t="s">
        <v>66</v>
      </c>
    </row>
    <row r="35" spans="1:2" s="59" customFormat="1" ht="21" customHeight="1" x14ac:dyDescent="0.3">
      <c r="A35" s="59" t="s">
        <v>67</v>
      </c>
      <c r="B35" s="61" t="s">
        <v>166</v>
      </c>
    </row>
    <row r="36" spans="1:2" s="59" customFormat="1" ht="18.600000000000001" x14ac:dyDescent="0.3">
      <c r="B36" s="64" t="s">
        <v>75</v>
      </c>
    </row>
    <row r="37" spans="1:2" s="59" customFormat="1" ht="18.600000000000001" x14ac:dyDescent="0.3">
      <c r="B37" s="64" t="s">
        <v>76</v>
      </c>
    </row>
    <row r="38" spans="1:2" s="59" customFormat="1" ht="18.600000000000001" x14ac:dyDescent="0.3">
      <c r="B38" s="61" t="s">
        <v>77</v>
      </c>
    </row>
    <row r="39" spans="1:2" s="42" customFormat="1" ht="16.2" x14ac:dyDescent="0.3">
      <c r="B39" s="59"/>
    </row>
    <row r="40" spans="1:2" s="42" customFormat="1" x14ac:dyDescent="0.3"/>
    <row r="41" spans="1:2" s="42" customFormat="1" x14ac:dyDescent="0.3"/>
    <row r="42" spans="1:2" s="42" customFormat="1" x14ac:dyDescent="0.3"/>
    <row r="43" spans="1:2" s="42" customFormat="1" x14ac:dyDescent="0.3"/>
    <row r="44" spans="1:2" s="42" customFormat="1" x14ac:dyDescent="0.3"/>
    <row r="45" spans="1:2" s="42" customFormat="1" x14ac:dyDescent="0.3"/>
    <row r="46" spans="1:2" s="42" customFormat="1" x14ac:dyDescent="0.3"/>
    <row r="47" spans="1:2" s="42" customFormat="1" ht="16.2" x14ac:dyDescent="0.3">
      <c r="B47" s="62"/>
    </row>
    <row r="48" spans="1:2"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31496062992126012" bottom="0.31496062992126012" header="0.31496062992126012" footer="0.31496062992126012"/>
  <pageSetup paperSize="0" firstPageNumber="96" fitToWidth="0" fitToHeight="0" orientation="landscape" useFirstPageNumber="1" horizontalDpi="0" verticalDpi="0" copies="0"/>
  <headerFooter alignWithMargins="0">
    <oddFooter>&amp;C&amp;"Times New Roman,Regular"&amp;P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31</v>
      </c>
    </row>
    <row r="3" spans="1:6" s="42" customFormat="1" ht="30.75" customHeight="1" x14ac:dyDescent="0.3">
      <c r="A3" s="131" t="s">
        <v>73</v>
      </c>
      <c r="B3" s="131"/>
      <c r="C3" s="131"/>
      <c r="D3" s="131"/>
      <c r="E3" s="131"/>
      <c r="F3" s="131"/>
    </row>
    <row r="4" spans="1:6" s="42" customFormat="1" ht="22.5" customHeight="1" x14ac:dyDescent="0.3">
      <c r="A4" s="106" t="s">
        <v>78</v>
      </c>
      <c r="B4" s="106"/>
      <c r="C4" s="106"/>
      <c r="D4" s="106"/>
      <c r="E4" s="106"/>
      <c r="F4" s="43" t="s">
        <v>34</v>
      </c>
    </row>
    <row r="5" spans="1:6" s="36" customFormat="1" ht="27" customHeight="1" x14ac:dyDescent="0.3">
      <c r="A5" s="126" t="s">
        <v>35</v>
      </c>
      <c r="B5" s="126"/>
      <c r="C5" s="44" t="s">
        <v>36</v>
      </c>
      <c r="D5" s="44" t="s">
        <v>37</v>
      </c>
      <c r="E5" s="127" t="s">
        <v>38</v>
      </c>
      <c r="F5" s="127"/>
    </row>
    <row r="6" spans="1:6" s="36" customFormat="1" ht="19.8" x14ac:dyDescent="0.3">
      <c r="A6" s="128" t="s">
        <v>263</v>
      </c>
      <c r="B6" s="128"/>
      <c r="C6" s="45">
        <v>528</v>
      </c>
      <c r="D6" s="46">
        <v>6232</v>
      </c>
      <c r="E6" s="111">
        <v>0</v>
      </c>
      <c r="F6" s="111"/>
    </row>
    <row r="7" spans="1:6" s="36" customFormat="1" ht="21.75" customHeight="1" x14ac:dyDescent="0.3">
      <c r="A7" s="113" t="s">
        <v>157</v>
      </c>
      <c r="B7" s="113"/>
      <c r="C7" s="47">
        <v>158</v>
      </c>
      <c r="D7" s="85">
        <v>4245</v>
      </c>
      <c r="E7" s="114">
        <v>0</v>
      </c>
      <c r="F7" s="114"/>
    </row>
    <row r="8" spans="1:6" s="36" customFormat="1" ht="22.95" customHeight="1" x14ac:dyDescent="0.3">
      <c r="A8" s="125" t="s">
        <v>39</v>
      </c>
      <c r="B8" s="49" t="s">
        <v>218</v>
      </c>
      <c r="C8" s="47">
        <v>43</v>
      </c>
      <c r="D8" s="85">
        <v>2465</v>
      </c>
      <c r="E8" s="114">
        <v>0</v>
      </c>
      <c r="F8" s="114"/>
    </row>
    <row r="9" spans="1:6" s="36" customFormat="1" ht="19.8" x14ac:dyDescent="0.3">
      <c r="A9" s="125"/>
      <c r="B9" s="49" t="s">
        <v>40</v>
      </c>
      <c r="C9" s="47">
        <v>15</v>
      </c>
      <c r="D9" s="85">
        <v>132</v>
      </c>
      <c r="E9" s="114">
        <v>0</v>
      </c>
      <c r="F9" s="114"/>
    </row>
    <row r="10" spans="1:6" s="36" customFormat="1" ht="19.8" x14ac:dyDescent="0.3">
      <c r="A10" s="125"/>
      <c r="B10" s="49" t="s">
        <v>41</v>
      </c>
      <c r="C10" s="47">
        <v>7</v>
      </c>
      <c r="D10" s="85">
        <v>235</v>
      </c>
      <c r="E10" s="114">
        <v>0</v>
      </c>
      <c r="F10" s="114"/>
    </row>
    <row r="11" spans="1:6" s="36" customFormat="1" ht="19.8" x14ac:dyDescent="0.3">
      <c r="A11" s="125"/>
      <c r="B11" s="49" t="s">
        <v>42</v>
      </c>
      <c r="C11" s="47">
        <v>2</v>
      </c>
      <c r="D11" s="85">
        <v>979</v>
      </c>
      <c r="E11" s="114">
        <v>0</v>
      </c>
      <c r="F11" s="114"/>
    </row>
    <row r="12" spans="1:6" s="36" customFormat="1" ht="19.8" x14ac:dyDescent="0.3">
      <c r="A12" s="125"/>
      <c r="B12" s="49" t="s">
        <v>43</v>
      </c>
      <c r="C12" s="47">
        <v>9</v>
      </c>
      <c r="D12" s="85">
        <v>140</v>
      </c>
      <c r="E12" s="114">
        <v>0</v>
      </c>
      <c r="F12" s="114"/>
    </row>
    <row r="13" spans="1:6" s="36" customFormat="1" ht="19.8" x14ac:dyDescent="0.3">
      <c r="A13" s="125"/>
      <c r="B13" s="49" t="s">
        <v>44</v>
      </c>
      <c r="C13" s="47">
        <v>12</v>
      </c>
      <c r="D13" s="85">
        <v>1128</v>
      </c>
      <c r="E13" s="114">
        <v>0</v>
      </c>
      <c r="F13" s="114"/>
    </row>
    <row r="14" spans="1:6" s="36" customFormat="1" ht="19.8" x14ac:dyDescent="0.3">
      <c r="A14" s="125"/>
      <c r="B14" s="49" t="s">
        <v>45</v>
      </c>
      <c r="C14" s="47">
        <v>0</v>
      </c>
      <c r="D14" s="85">
        <v>0</v>
      </c>
      <c r="E14" s="114">
        <v>0</v>
      </c>
      <c r="F14" s="114"/>
    </row>
    <row r="15" spans="1:6" s="36" customFormat="1" ht="20.399999999999999" x14ac:dyDescent="0.3">
      <c r="A15" s="125"/>
      <c r="B15" s="49" t="s">
        <v>242</v>
      </c>
      <c r="C15" s="47">
        <v>0</v>
      </c>
      <c r="D15" s="85">
        <v>0</v>
      </c>
      <c r="E15" s="114">
        <v>0</v>
      </c>
      <c r="F15" s="114"/>
    </row>
    <row r="16" spans="1:6" s="36" customFormat="1" ht="21.9" customHeight="1" x14ac:dyDescent="0.3">
      <c r="A16" s="125" t="s">
        <v>47</v>
      </c>
      <c r="B16" s="49" t="s">
        <v>48</v>
      </c>
      <c r="C16" s="47">
        <v>0</v>
      </c>
      <c r="D16" s="85">
        <v>0</v>
      </c>
      <c r="E16" s="114">
        <v>0</v>
      </c>
      <c r="F16" s="114"/>
    </row>
    <row r="17" spans="1:28" s="36" customFormat="1" ht="21.9" customHeight="1" x14ac:dyDescent="0.3">
      <c r="A17" s="125"/>
      <c r="B17" s="49" t="s">
        <v>49</v>
      </c>
      <c r="C17" s="47">
        <v>0</v>
      </c>
      <c r="D17" s="85">
        <v>0</v>
      </c>
      <c r="E17" s="114">
        <v>0</v>
      </c>
      <c r="F17" s="114"/>
    </row>
    <row r="18" spans="1:28" s="36" customFormat="1" ht="21.9" customHeight="1" x14ac:dyDescent="0.3">
      <c r="A18" s="125"/>
      <c r="B18" s="49" t="s">
        <v>50</v>
      </c>
      <c r="C18" s="47">
        <v>0</v>
      </c>
      <c r="D18" s="85">
        <v>0</v>
      </c>
      <c r="E18" s="114">
        <v>0</v>
      </c>
      <c r="F18" s="114"/>
    </row>
    <row r="19" spans="1:28" s="36" customFormat="1" ht="21.9" customHeight="1" x14ac:dyDescent="0.3">
      <c r="A19" s="125"/>
      <c r="B19" s="49" t="s">
        <v>219</v>
      </c>
      <c r="C19" s="47">
        <v>0</v>
      </c>
      <c r="D19" s="85">
        <v>0</v>
      </c>
      <c r="E19" s="114">
        <v>0</v>
      </c>
      <c r="F19" s="114"/>
    </row>
    <row r="20" spans="1:28" s="36" customFormat="1" ht="19.95" customHeight="1" x14ac:dyDescent="0.3">
      <c r="A20" s="125" t="s">
        <v>51</v>
      </c>
      <c r="B20" s="49" t="s">
        <v>48</v>
      </c>
      <c r="C20" s="47">
        <v>6</v>
      </c>
      <c r="D20" s="85">
        <v>22</v>
      </c>
      <c r="E20" s="114">
        <v>0</v>
      </c>
      <c r="F20" s="114"/>
    </row>
    <row r="21" spans="1:28" s="36" customFormat="1" ht="19.8" x14ac:dyDescent="0.3">
      <c r="A21" s="125"/>
      <c r="B21" s="49" t="s">
        <v>52</v>
      </c>
      <c r="C21" s="47">
        <v>5</v>
      </c>
      <c r="D21" s="85">
        <v>13</v>
      </c>
      <c r="E21" s="114">
        <v>0</v>
      </c>
      <c r="F21" s="114"/>
    </row>
    <row r="22" spans="1:28" s="36" customFormat="1" ht="19.8" x14ac:dyDescent="0.3">
      <c r="A22" s="125"/>
      <c r="B22" s="49" t="s">
        <v>53</v>
      </c>
      <c r="C22" s="47">
        <v>0</v>
      </c>
      <c r="D22" s="85">
        <v>0</v>
      </c>
      <c r="E22" s="114">
        <v>0</v>
      </c>
      <c r="F22" s="114"/>
    </row>
    <row r="23" spans="1:28" s="36" customFormat="1" ht="19.8" x14ac:dyDescent="0.3">
      <c r="A23" s="125"/>
      <c r="B23" s="49" t="s">
        <v>54</v>
      </c>
      <c r="C23" s="47">
        <v>0</v>
      </c>
      <c r="D23" s="85">
        <v>0</v>
      </c>
      <c r="E23" s="114">
        <v>0</v>
      </c>
      <c r="F23" s="114"/>
    </row>
    <row r="24" spans="1:28" s="36" customFormat="1" ht="19.8" x14ac:dyDescent="0.3">
      <c r="A24" s="125"/>
      <c r="B24" s="49" t="s">
        <v>55</v>
      </c>
      <c r="C24" s="47">
        <v>1</v>
      </c>
      <c r="D24" s="85">
        <v>9</v>
      </c>
      <c r="E24" s="114">
        <v>0</v>
      </c>
      <c r="F24" s="114"/>
    </row>
    <row r="25" spans="1:28" s="36" customFormat="1" ht="19.8" x14ac:dyDescent="0.3">
      <c r="A25" s="125"/>
      <c r="B25" s="49" t="s">
        <v>56</v>
      </c>
      <c r="C25" s="47">
        <v>0</v>
      </c>
      <c r="D25" s="85">
        <v>0</v>
      </c>
      <c r="E25" s="114">
        <v>0</v>
      </c>
      <c r="F25" s="114"/>
    </row>
    <row r="26" spans="1:28" s="36" customFormat="1" ht="19.8" x14ac:dyDescent="0.3">
      <c r="A26" s="125"/>
      <c r="B26" s="49" t="s">
        <v>219</v>
      </c>
      <c r="C26" s="47">
        <v>0</v>
      </c>
      <c r="D26" s="85">
        <v>0</v>
      </c>
      <c r="E26" s="114">
        <v>0</v>
      </c>
      <c r="F26" s="114"/>
    </row>
    <row r="27" spans="1:28" s="36" customFormat="1" ht="19.8" x14ac:dyDescent="0.3">
      <c r="A27" s="110" t="s">
        <v>253</v>
      </c>
      <c r="B27" s="110"/>
      <c r="C27" s="47">
        <v>110</v>
      </c>
      <c r="D27" s="85">
        <v>1807</v>
      </c>
      <c r="E27" s="114">
        <v>0</v>
      </c>
      <c r="F27" s="114"/>
    </row>
    <row r="28" spans="1:28" s="36" customFormat="1" ht="19.8" x14ac:dyDescent="0.3">
      <c r="A28" s="110" t="s">
        <v>58</v>
      </c>
      <c r="B28" s="110"/>
      <c r="C28" s="47">
        <v>370</v>
      </c>
      <c r="D28" s="85">
        <v>1987</v>
      </c>
      <c r="E28" s="114">
        <v>0</v>
      </c>
      <c r="F28" s="114"/>
    </row>
    <row r="29" spans="1:28" s="36" customFormat="1" ht="19.8" x14ac:dyDescent="0.3">
      <c r="A29" s="50"/>
      <c r="B29" s="51" t="s">
        <v>59</v>
      </c>
      <c r="C29" s="47">
        <v>288</v>
      </c>
      <c r="D29" s="85">
        <v>1745</v>
      </c>
      <c r="E29" s="114">
        <v>0</v>
      </c>
      <c r="F29" s="114"/>
    </row>
    <row r="30" spans="1:28" s="36" customFormat="1" ht="19.8" x14ac:dyDescent="0.3">
      <c r="A30" s="52"/>
      <c r="B30" s="51" t="s">
        <v>60</v>
      </c>
      <c r="C30" s="53">
        <v>82</v>
      </c>
      <c r="D30" s="54">
        <v>242</v>
      </c>
      <c r="E30" s="120">
        <v>0</v>
      </c>
      <c r="F30" s="120"/>
    </row>
    <row r="31" spans="1:28" s="57" customFormat="1" ht="23.25" customHeight="1" x14ac:dyDescent="0.3">
      <c r="A31" s="55" t="s">
        <v>61</v>
      </c>
      <c r="B31" s="56"/>
      <c r="C31" s="55" t="s">
        <v>62</v>
      </c>
      <c r="D31" s="55" t="s">
        <v>63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55" t="s">
        <v>65</v>
      </c>
      <c r="E32" s="55"/>
      <c r="H32" s="56"/>
      <c r="I32" s="43"/>
      <c r="J32" s="56"/>
      <c r="K32" s="56"/>
      <c r="L32" s="56"/>
      <c r="M32" s="56"/>
      <c r="N32" s="56"/>
      <c r="O32" s="56"/>
      <c r="P32" s="56"/>
      <c r="Q32" s="56"/>
      <c r="R32" s="56"/>
      <c r="S32" s="56"/>
      <c r="T32" s="56"/>
      <c r="U32" s="56"/>
      <c r="V32" s="56"/>
      <c r="W32" s="56"/>
    </row>
    <row r="33" spans="1:6" s="59" customFormat="1" ht="21" customHeight="1" x14ac:dyDescent="0.3">
      <c r="A33" s="42" t="s">
        <v>252</v>
      </c>
      <c r="B33" s="42"/>
    </row>
    <row r="34" spans="1:6" s="59" customFormat="1" ht="21" customHeight="1" x14ac:dyDescent="0.3">
      <c r="A34" s="59" t="s">
        <v>79</v>
      </c>
    </row>
    <row r="35" spans="1:6" s="59" customFormat="1" ht="21" customHeight="1" x14ac:dyDescent="0.3">
      <c r="A35" s="82" t="s">
        <v>67</v>
      </c>
      <c r="B35" s="132" t="s">
        <v>170</v>
      </c>
      <c r="C35" s="132"/>
      <c r="D35" s="133"/>
      <c r="E35" s="81"/>
    </row>
    <row r="36" spans="1:6" s="42" customFormat="1" ht="16.2" customHeight="1" x14ac:dyDescent="0.3">
      <c r="B36" s="132" t="s">
        <v>172</v>
      </c>
      <c r="C36" s="132"/>
      <c r="D36" s="132"/>
      <c r="E36" s="76"/>
      <c r="F36" s="76"/>
    </row>
    <row r="37" spans="1:6" s="42" customFormat="1" ht="16.2" customHeight="1" x14ac:dyDescent="0.3">
      <c r="B37" s="132" t="s">
        <v>171</v>
      </c>
      <c r="C37" s="132"/>
      <c r="D37" s="132"/>
      <c r="E37" s="59"/>
    </row>
    <row r="38" spans="1:6" s="42" customFormat="1" x14ac:dyDescent="0.3"/>
    <row r="39" spans="1:6" s="42" customFormat="1" ht="16.2" x14ac:dyDescent="0.3">
      <c r="B39" s="59"/>
    </row>
    <row r="40" spans="1:6" s="42" customFormat="1" x14ac:dyDescent="0.3"/>
    <row r="41" spans="1:6" s="42" customFormat="1" x14ac:dyDescent="0.3"/>
    <row r="42" spans="1:6" s="42" customFormat="1" x14ac:dyDescent="0.3"/>
    <row r="43" spans="1:6" s="42" customFormat="1" x14ac:dyDescent="0.3"/>
    <row r="44" spans="1:6" s="42" customFormat="1" x14ac:dyDescent="0.3"/>
    <row r="45" spans="1:6" s="42" customFormat="1" x14ac:dyDescent="0.3"/>
    <row r="46" spans="1:6" s="42" customFormat="1" x14ac:dyDescent="0.3"/>
    <row r="47" spans="1:6" s="42" customFormat="1" ht="16.2" x14ac:dyDescent="0.3">
      <c r="B47" s="62"/>
    </row>
    <row r="48" spans="1:6"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9">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B37:D37"/>
    <mergeCell ref="B36:D36"/>
    <mergeCell ref="B35:D35"/>
    <mergeCell ref="A27:B27"/>
    <mergeCell ref="E27:F27"/>
    <mergeCell ref="A28:B28"/>
    <mergeCell ref="E28:F28"/>
    <mergeCell ref="E29:F29"/>
    <mergeCell ref="E30:F30"/>
  </mergeCells>
  <phoneticPr fontId="3" type="noConversion"/>
  <printOptions horizontalCentered="1" verticalCentered="1"/>
  <pageMargins left="0.98425196850393692" right="0.35433070866141703" top="0.31496062992126012" bottom="0.31496062992126012" header="0.31496062992126012" footer="0.31496062992126012"/>
  <pageSetup paperSize="0" firstPageNumber="96" fitToWidth="0" fitToHeight="0" orientation="landscape" useFirstPageNumber="1" horizontalDpi="0" verticalDpi="0" copies="0"/>
  <headerFooter alignWithMargins="0">
    <oddFooter>&amp;C&amp;"Times New Roman,Regular"&amp;P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31</v>
      </c>
    </row>
    <row r="3" spans="1:6" s="42" customFormat="1" ht="30.75" customHeight="1" x14ac:dyDescent="0.3">
      <c r="A3" s="131" t="s">
        <v>73</v>
      </c>
      <c r="B3" s="131"/>
      <c r="C3" s="131"/>
      <c r="D3" s="131"/>
      <c r="E3" s="131"/>
      <c r="F3" s="131"/>
    </row>
    <row r="4" spans="1:6" s="42" customFormat="1" ht="22.5" customHeight="1" x14ac:dyDescent="0.3">
      <c r="A4" s="106" t="s">
        <v>80</v>
      </c>
      <c r="B4" s="106"/>
      <c r="C4" s="106"/>
      <c r="D4" s="106"/>
      <c r="E4" s="106"/>
      <c r="F4" s="43" t="s">
        <v>34</v>
      </c>
    </row>
    <row r="5" spans="1:6" s="36" customFormat="1" ht="27" customHeight="1" x14ac:dyDescent="0.3">
      <c r="A5" s="126" t="s">
        <v>35</v>
      </c>
      <c r="B5" s="126"/>
      <c r="C5" s="44" t="s">
        <v>36</v>
      </c>
      <c r="D5" s="44" t="s">
        <v>37</v>
      </c>
      <c r="E5" s="127" t="s">
        <v>38</v>
      </c>
      <c r="F5" s="127"/>
    </row>
    <row r="6" spans="1:6" s="36" customFormat="1" ht="19.8" x14ac:dyDescent="0.3">
      <c r="A6" s="128" t="s">
        <v>263</v>
      </c>
      <c r="B6" s="128"/>
      <c r="C6" s="45">
        <v>486</v>
      </c>
      <c r="D6" s="46">
        <v>5260</v>
      </c>
      <c r="E6" s="111">
        <v>0</v>
      </c>
      <c r="F6" s="111"/>
    </row>
    <row r="7" spans="1:6" s="36" customFormat="1" ht="21.75" customHeight="1" x14ac:dyDescent="0.3">
      <c r="A7" s="113" t="s">
        <v>157</v>
      </c>
      <c r="B7" s="113"/>
      <c r="C7" s="47">
        <v>133</v>
      </c>
      <c r="D7" s="85">
        <v>2892</v>
      </c>
      <c r="E7" s="114">
        <v>0</v>
      </c>
      <c r="F7" s="114"/>
    </row>
    <row r="8" spans="1:6" s="36" customFormat="1" ht="22.95" customHeight="1" x14ac:dyDescent="0.3">
      <c r="A8" s="125" t="s">
        <v>39</v>
      </c>
      <c r="B8" s="49" t="s">
        <v>218</v>
      </c>
      <c r="C8" s="47">
        <v>58</v>
      </c>
      <c r="D8" s="85">
        <v>1902</v>
      </c>
      <c r="E8" s="114">
        <v>0</v>
      </c>
      <c r="F8" s="114"/>
    </row>
    <row r="9" spans="1:6" s="36" customFormat="1" ht="19.8" x14ac:dyDescent="0.3">
      <c r="A9" s="125"/>
      <c r="B9" s="49" t="s">
        <v>40</v>
      </c>
      <c r="C9" s="47">
        <v>10</v>
      </c>
      <c r="D9" s="85">
        <v>71</v>
      </c>
      <c r="E9" s="114">
        <v>0</v>
      </c>
      <c r="F9" s="114"/>
    </row>
    <row r="10" spans="1:6" s="36" customFormat="1" ht="19.8" x14ac:dyDescent="0.3">
      <c r="A10" s="125"/>
      <c r="B10" s="49" t="s">
        <v>41</v>
      </c>
      <c r="C10" s="47">
        <v>10</v>
      </c>
      <c r="D10" s="85">
        <v>341</v>
      </c>
      <c r="E10" s="114">
        <v>0</v>
      </c>
      <c r="F10" s="114"/>
    </row>
    <row r="11" spans="1:6" s="36" customFormat="1" ht="19.8" x14ac:dyDescent="0.3">
      <c r="A11" s="125"/>
      <c r="B11" s="49" t="s">
        <v>42</v>
      </c>
      <c r="C11" s="47">
        <v>3</v>
      </c>
      <c r="D11" s="85">
        <v>50</v>
      </c>
      <c r="E11" s="114">
        <v>0</v>
      </c>
      <c r="F11" s="114"/>
    </row>
    <row r="12" spans="1:6" s="36" customFormat="1" ht="19.8" x14ac:dyDescent="0.3">
      <c r="A12" s="125"/>
      <c r="B12" s="49" t="s">
        <v>43</v>
      </c>
      <c r="C12" s="47">
        <v>7</v>
      </c>
      <c r="D12" s="85">
        <v>191</v>
      </c>
      <c r="E12" s="114">
        <v>0</v>
      </c>
      <c r="F12" s="114"/>
    </row>
    <row r="13" spans="1:6" s="36" customFormat="1" ht="19.8" x14ac:dyDescent="0.3">
      <c r="A13" s="125"/>
      <c r="B13" s="49" t="s">
        <v>44</v>
      </c>
      <c r="C13" s="47">
        <v>21</v>
      </c>
      <c r="D13" s="85">
        <v>1257</v>
      </c>
      <c r="E13" s="114">
        <v>0</v>
      </c>
      <c r="F13" s="114"/>
    </row>
    <row r="14" spans="1:6" s="36" customFormat="1" ht="19.8" x14ac:dyDescent="0.3">
      <c r="A14" s="125"/>
      <c r="B14" s="49" t="s">
        <v>45</v>
      </c>
      <c r="C14" s="47">
        <v>6</v>
      </c>
      <c r="D14" s="85">
        <v>6</v>
      </c>
      <c r="E14" s="114">
        <v>0</v>
      </c>
      <c r="F14" s="114"/>
    </row>
    <row r="15" spans="1:6" s="36" customFormat="1" ht="20.399999999999999" x14ac:dyDescent="0.3">
      <c r="A15" s="125"/>
      <c r="B15" s="49" t="s">
        <v>242</v>
      </c>
      <c r="C15" s="47">
        <v>3</v>
      </c>
      <c r="D15" s="85">
        <v>90</v>
      </c>
      <c r="E15" s="114">
        <v>0</v>
      </c>
      <c r="F15" s="114"/>
    </row>
    <row r="16" spans="1:6" s="36" customFormat="1" ht="21.9" customHeight="1" x14ac:dyDescent="0.3">
      <c r="A16" s="125" t="s">
        <v>47</v>
      </c>
      <c r="B16" s="49" t="s">
        <v>48</v>
      </c>
      <c r="C16" s="47">
        <v>0</v>
      </c>
      <c r="D16" s="85">
        <v>0</v>
      </c>
      <c r="E16" s="114">
        <v>0</v>
      </c>
      <c r="F16" s="114"/>
    </row>
    <row r="17" spans="1:28" s="36" customFormat="1" ht="21.9" customHeight="1" x14ac:dyDescent="0.3">
      <c r="A17" s="125"/>
      <c r="B17" s="49" t="s">
        <v>49</v>
      </c>
      <c r="C17" s="47">
        <v>0</v>
      </c>
      <c r="D17" s="85">
        <v>0</v>
      </c>
      <c r="E17" s="114">
        <v>0</v>
      </c>
      <c r="F17" s="114"/>
    </row>
    <row r="18" spans="1:28" s="36" customFormat="1" ht="21.9" customHeight="1" x14ac:dyDescent="0.3">
      <c r="A18" s="125"/>
      <c r="B18" s="49" t="s">
        <v>50</v>
      </c>
      <c r="C18" s="47">
        <v>0</v>
      </c>
      <c r="D18" s="85">
        <v>0</v>
      </c>
      <c r="E18" s="114">
        <v>0</v>
      </c>
      <c r="F18" s="114"/>
    </row>
    <row r="19" spans="1:28" s="36" customFormat="1" ht="21.9" customHeight="1" x14ac:dyDescent="0.3">
      <c r="A19" s="125"/>
      <c r="B19" s="49" t="s">
        <v>219</v>
      </c>
      <c r="C19" s="47">
        <v>0</v>
      </c>
      <c r="D19" s="85">
        <v>0</v>
      </c>
      <c r="E19" s="114">
        <v>0</v>
      </c>
      <c r="F19" s="114"/>
    </row>
    <row r="20" spans="1:28" s="36" customFormat="1" ht="19.95" customHeight="1" x14ac:dyDescent="0.3">
      <c r="A20" s="125" t="s">
        <v>51</v>
      </c>
      <c r="B20" s="49" t="s">
        <v>48</v>
      </c>
      <c r="C20" s="47">
        <v>2</v>
      </c>
      <c r="D20" s="85">
        <v>8</v>
      </c>
      <c r="E20" s="114">
        <v>0</v>
      </c>
      <c r="F20" s="114"/>
    </row>
    <row r="21" spans="1:28" s="36" customFormat="1" ht="19.8" x14ac:dyDescent="0.3">
      <c r="A21" s="125"/>
      <c r="B21" s="49" t="s">
        <v>52</v>
      </c>
      <c r="C21" s="47">
        <v>2</v>
      </c>
      <c r="D21" s="85">
        <v>8</v>
      </c>
      <c r="E21" s="114">
        <v>0</v>
      </c>
      <c r="F21" s="114"/>
    </row>
    <row r="22" spans="1:28" s="36" customFormat="1" ht="19.8" x14ac:dyDescent="0.3">
      <c r="A22" s="125"/>
      <c r="B22" s="49" t="s">
        <v>53</v>
      </c>
      <c r="C22" s="47">
        <v>0</v>
      </c>
      <c r="D22" s="85">
        <v>0</v>
      </c>
      <c r="E22" s="114">
        <v>0</v>
      </c>
      <c r="F22" s="114"/>
    </row>
    <row r="23" spans="1:28" s="36" customFormat="1" ht="19.8" x14ac:dyDescent="0.3">
      <c r="A23" s="125"/>
      <c r="B23" s="49" t="s">
        <v>54</v>
      </c>
      <c r="C23" s="47">
        <v>0</v>
      </c>
      <c r="D23" s="85">
        <v>0</v>
      </c>
      <c r="E23" s="114">
        <v>0</v>
      </c>
      <c r="F23" s="114"/>
    </row>
    <row r="24" spans="1:28" s="36" customFormat="1" ht="19.8" x14ac:dyDescent="0.3">
      <c r="A24" s="125"/>
      <c r="B24" s="49" t="s">
        <v>55</v>
      </c>
      <c r="C24" s="47">
        <v>0</v>
      </c>
      <c r="D24" s="85">
        <v>0</v>
      </c>
      <c r="E24" s="114">
        <v>0</v>
      </c>
      <c r="F24" s="114"/>
    </row>
    <row r="25" spans="1:28" s="36" customFormat="1" ht="19.8" x14ac:dyDescent="0.3">
      <c r="A25" s="125"/>
      <c r="B25" s="49" t="s">
        <v>56</v>
      </c>
      <c r="C25" s="47">
        <v>0</v>
      </c>
      <c r="D25" s="85">
        <v>0</v>
      </c>
      <c r="E25" s="114">
        <v>0</v>
      </c>
      <c r="F25" s="114"/>
    </row>
    <row r="26" spans="1:28" s="36" customFormat="1" ht="19.8" x14ac:dyDescent="0.3">
      <c r="A26" s="125"/>
      <c r="B26" s="49" t="s">
        <v>219</v>
      </c>
      <c r="C26" s="47">
        <v>0</v>
      </c>
      <c r="D26" s="85">
        <v>0</v>
      </c>
      <c r="E26" s="114">
        <v>0</v>
      </c>
      <c r="F26" s="114"/>
    </row>
    <row r="27" spans="1:28" s="36" customFormat="1" ht="20.399999999999999" x14ac:dyDescent="0.3">
      <c r="A27" s="110" t="s">
        <v>243</v>
      </c>
      <c r="B27" s="110"/>
      <c r="C27" s="47">
        <v>77</v>
      </c>
      <c r="D27" s="85">
        <v>1138</v>
      </c>
      <c r="E27" s="114">
        <v>0</v>
      </c>
      <c r="F27" s="114"/>
    </row>
    <row r="28" spans="1:28" s="36" customFormat="1" ht="19.8" x14ac:dyDescent="0.3">
      <c r="A28" s="110" t="s">
        <v>58</v>
      </c>
      <c r="B28" s="110"/>
      <c r="C28" s="47">
        <v>353</v>
      </c>
      <c r="D28" s="85">
        <v>2368</v>
      </c>
      <c r="E28" s="114">
        <v>0</v>
      </c>
      <c r="F28" s="114"/>
    </row>
    <row r="29" spans="1:28" s="36" customFormat="1" ht="19.8" x14ac:dyDescent="0.3">
      <c r="A29" s="50"/>
      <c r="B29" s="51" t="s">
        <v>59</v>
      </c>
      <c r="C29" s="47">
        <v>229</v>
      </c>
      <c r="D29" s="85">
        <v>1907</v>
      </c>
      <c r="E29" s="114">
        <v>0</v>
      </c>
      <c r="F29" s="114"/>
    </row>
    <row r="30" spans="1:28" s="36" customFormat="1" ht="19.8" x14ac:dyDescent="0.3">
      <c r="A30" s="52"/>
      <c r="B30" s="51" t="s">
        <v>60</v>
      </c>
      <c r="C30" s="53">
        <v>124</v>
      </c>
      <c r="D30" s="54">
        <v>461</v>
      </c>
      <c r="E30" s="120">
        <v>0</v>
      </c>
      <c r="F30" s="120"/>
    </row>
    <row r="31" spans="1:28" s="57" customFormat="1" ht="23.25" customHeight="1" x14ac:dyDescent="0.3">
      <c r="A31" s="55" t="s">
        <v>61</v>
      </c>
      <c r="B31" s="56"/>
      <c r="C31" s="55" t="s">
        <v>62</v>
      </c>
      <c r="D31" s="55" t="s">
        <v>63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55" t="s">
        <v>65</v>
      </c>
      <c r="E32" s="55"/>
      <c r="H32" s="56"/>
      <c r="I32" s="43"/>
      <c r="J32" s="56"/>
      <c r="K32" s="56"/>
      <c r="L32" s="56"/>
      <c r="M32" s="56"/>
      <c r="N32" s="56"/>
      <c r="O32" s="56"/>
      <c r="P32" s="56"/>
      <c r="Q32" s="56"/>
      <c r="R32" s="56"/>
      <c r="S32" s="56"/>
      <c r="T32" s="56"/>
      <c r="U32" s="56"/>
      <c r="V32" s="56"/>
      <c r="W32" s="56"/>
    </row>
    <row r="33" spans="1:5" s="59" customFormat="1" ht="21" customHeight="1" x14ac:dyDescent="0.3">
      <c r="A33" s="42" t="s">
        <v>252</v>
      </c>
      <c r="B33" s="42"/>
    </row>
    <row r="34" spans="1:5" s="59" customFormat="1" ht="21" customHeight="1" x14ac:dyDescent="0.3">
      <c r="A34" s="59" t="s">
        <v>81</v>
      </c>
    </row>
    <row r="35" spans="1:5" s="59" customFormat="1" ht="21" customHeight="1" x14ac:dyDescent="0.3">
      <c r="A35" s="59" t="s">
        <v>165</v>
      </c>
      <c r="B35" s="42" t="s">
        <v>173</v>
      </c>
      <c r="C35" s="42"/>
      <c r="D35" s="42"/>
    </row>
    <row r="36" spans="1:5" s="42" customFormat="1" ht="18.600000000000001" x14ac:dyDescent="0.3">
      <c r="B36" s="42" t="s">
        <v>174</v>
      </c>
      <c r="E36" s="59"/>
    </row>
    <row r="37" spans="1:5" s="42" customFormat="1" ht="18.600000000000001" x14ac:dyDescent="0.3">
      <c r="B37" s="42" t="s">
        <v>175</v>
      </c>
      <c r="E37" s="59"/>
    </row>
    <row r="38" spans="1:5" s="42" customFormat="1" ht="18.600000000000001" x14ac:dyDescent="0.3">
      <c r="B38" s="42" t="s">
        <v>176</v>
      </c>
    </row>
    <row r="39" spans="1:5" s="42" customFormat="1" ht="16.2" x14ac:dyDescent="0.3">
      <c r="B39" s="59"/>
    </row>
    <row r="40" spans="1:5" s="42" customFormat="1" x14ac:dyDescent="0.3"/>
    <row r="41" spans="1:5" s="42" customFormat="1" x14ac:dyDescent="0.3"/>
    <row r="42" spans="1:5" s="42" customFormat="1" x14ac:dyDescent="0.3"/>
    <row r="43" spans="1:5" s="42" customFormat="1" x14ac:dyDescent="0.3"/>
    <row r="44" spans="1:5" s="42" customFormat="1" x14ac:dyDescent="0.3"/>
    <row r="45" spans="1:5" s="42" customFormat="1" x14ac:dyDescent="0.3"/>
    <row r="46" spans="1:5" s="42" customFormat="1" x14ac:dyDescent="0.3"/>
    <row r="47" spans="1:5" s="42" customFormat="1" ht="16.2" x14ac:dyDescent="0.3">
      <c r="B47" s="62"/>
    </row>
    <row r="48" spans="1:5"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31496062992126012" bottom="0.31496062992126012" header="0.31496062992126012" footer="0.31496062992126012"/>
  <pageSetup paperSize="0" firstPageNumber="96" fitToWidth="0" fitToHeight="0" orientation="landscape" useFirstPageNumber="1" horizontalDpi="0" verticalDpi="0" copies="0"/>
  <headerFooter alignWithMargins="0">
    <oddFooter>&amp;C&amp;"Times New Roman,Regular"&amp;P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31</v>
      </c>
    </row>
    <row r="3" spans="1:6" s="42" customFormat="1" ht="30.75" customHeight="1" x14ac:dyDescent="0.3">
      <c r="A3" s="131" t="s">
        <v>73</v>
      </c>
      <c r="B3" s="131"/>
      <c r="C3" s="131"/>
      <c r="D3" s="131"/>
      <c r="E3" s="131"/>
      <c r="F3" s="131"/>
    </row>
    <row r="4" spans="1:6" s="42" customFormat="1" ht="22.5" customHeight="1" x14ac:dyDescent="0.3">
      <c r="A4" s="106" t="s">
        <v>83</v>
      </c>
      <c r="B4" s="106"/>
      <c r="C4" s="106"/>
      <c r="D4" s="106"/>
      <c r="E4" s="106"/>
      <c r="F4" s="43" t="s">
        <v>34</v>
      </c>
    </row>
    <row r="5" spans="1:6" s="36" customFormat="1" ht="27" customHeight="1" x14ac:dyDescent="0.3">
      <c r="A5" s="126" t="s">
        <v>35</v>
      </c>
      <c r="B5" s="126"/>
      <c r="C5" s="44" t="s">
        <v>36</v>
      </c>
      <c r="D5" s="44" t="s">
        <v>37</v>
      </c>
      <c r="E5" s="127" t="s">
        <v>38</v>
      </c>
      <c r="F5" s="127"/>
    </row>
    <row r="6" spans="1:6" s="36" customFormat="1" ht="19.8" x14ac:dyDescent="0.3">
      <c r="A6" s="128" t="s">
        <v>263</v>
      </c>
      <c r="B6" s="128"/>
      <c r="C6" s="45">
        <v>632</v>
      </c>
      <c r="D6" s="46">
        <v>6235</v>
      </c>
      <c r="E6" s="111">
        <v>0</v>
      </c>
      <c r="F6" s="111"/>
    </row>
    <row r="7" spans="1:6" s="36" customFormat="1" ht="21.75" customHeight="1" x14ac:dyDescent="0.3">
      <c r="A7" s="113" t="s">
        <v>157</v>
      </c>
      <c r="B7" s="113"/>
      <c r="C7" s="47">
        <v>135</v>
      </c>
      <c r="D7" s="85">
        <v>3110</v>
      </c>
      <c r="E7" s="114">
        <v>0</v>
      </c>
      <c r="F7" s="114"/>
    </row>
    <row r="8" spans="1:6" s="36" customFormat="1" ht="22.95" customHeight="1" x14ac:dyDescent="0.3">
      <c r="A8" s="125" t="s">
        <v>39</v>
      </c>
      <c r="B8" s="49" t="s">
        <v>218</v>
      </c>
      <c r="C8" s="47">
        <v>72</v>
      </c>
      <c r="D8" s="85">
        <v>1600</v>
      </c>
      <c r="E8" s="114">
        <v>0</v>
      </c>
      <c r="F8" s="114"/>
    </row>
    <row r="9" spans="1:6" s="36" customFormat="1" ht="19.8" x14ac:dyDescent="0.3">
      <c r="A9" s="125"/>
      <c r="B9" s="49" t="s">
        <v>40</v>
      </c>
      <c r="C9" s="47">
        <v>16</v>
      </c>
      <c r="D9" s="85">
        <v>177</v>
      </c>
      <c r="E9" s="114">
        <v>0</v>
      </c>
      <c r="F9" s="114"/>
    </row>
    <row r="10" spans="1:6" s="36" customFormat="1" ht="19.8" x14ac:dyDescent="0.3">
      <c r="A10" s="125"/>
      <c r="B10" s="49" t="s">
        <v>41</v>
      </c>
      <c r="C10" s="47">
        <v>16</v>
      </c>
      <c r="D10" s="85">
        <v>294</v>
      </c>
      <c r="E10" s="114">
        <v>0</v>
      </c>
      <c r="F10" s="114"/>
    </row>
    <row r="11" spans="1:6" s="36" customFormat="1" ht="19.8" x14ac:dyDescent="0.3">
      <c r="A11" s="125"/>
      <c r="B11" s="49" t="s">
        <v>42</v>
      </c>
      <c r="C11" s="47">
        <v>4</v>
      </c>
      <c r="D11" s="85">
        <v>49</v>
      </c>
      <c r="E11" s="114">
        <v>0</v>
      </c>
      <c r="F11" s="114"/>
    </row>
    <row r="12" spans="1:6" s="36" customFormat="1" ht="19.8" x14ac:dyDescent="0.3">
      <c r="A12" s="125"/>
      <c r="B12" s="49" t="s">
        <v>43</v>
      </c>
      <c r="C12" s="47">
        <v>27</v>
      </c>
      <c r="D12" s="85">
        <v>369</v>
      </c>
      <c r="E12" s="114">
        <v>0</v>
      </c>
      <c r="F12" s="114"/>
    </row>
    <row r="13" spans="1:6" s="36" customFormat="1" ht="19.8" x14ac:dyDescent="0.3">
      <c r="A13" s="125"/>
      <c r="B13" s="49" t="s">
        <v>44</v>
      </c>
      <c r="C13" s="47">
        <v>9</v>
      </c>
      <c r="D13" s="85">
        <v>834</v>
      </c>
      <c r="E13" s="114">
        <v>0</v>
      </c>
      <c r="F13" s="114"/>
    </row>
    <row r="14" spans="1:6" s="36" customFormat="1" ht="19.8" x14ac:dyDescent="0.3">
      <c r="A14" s="125"/>
      <c r="B14" s="49" t="s">
        <v>45</v>
      </c>
      <c r="C14" s="47">
        <v>2</v>
      </c>
      <c r="D14" s="85">
        <v>2</v>
      </c>
      <c r="E14" s="114">
        <v>0</v>
      </c>
      <c r="F14" s="114"/>
    </row>
    <row r="15" spans="1:6" s="36" customFormat="1" ht="20.399999999999999" x14ac:dyDescent="0.3">
      <c r="A15" s="125"/>
      <c r="B15" s="49" t="s">
        <v>242</v>
      </c>
      <c r="C15" s="47">
        <v>3</v>
      </c>
      <c r="D15" s="85">
        <v>16</v>
      </c>
      <c r="E15" s="114">
        <v>0</v>
      </c>
      <c r="F15" s="114"/>
    </row>
    <row r="16" spans="1:6" s="36" customFormat="1" ht="21.9" customHeight="1" x14ac:dyDescent="0.3">
      <c r="A16" s="125" t="s">
        <v>47</v>
      </c>
      <c r="B16" s="49" t="s">
        <v>48</v>
      </c>
      <c r="C16" s="47">
        <v>0</v>
      </c>
      <c r="D16" s="85">
        <v>0</v>
      </c>
      <c r="E16" s="114">
        <v>0</v>
      </c>
      <c r="F16" s="114"/>
    </row>
    <row r="17" spans="1:28" s="36" customFormat="1" ht="21.9" customHeight="1" x14ac:dyDescent="0.3">
      <c r="A17" s="125"/>
      <c r="B17" s="49" t="s">
        <v>49</v>
      </c>
      <c r="C17" s="47">
        <v>0</v>
      </c>
      <c r="D17" s="85">
        <v>0</v>
      </c>
      <c r="E17" s="114">
        <v>0</v>
      </c>
      <c r="F17" s="114"/>
    </row>
    <row r="18" spans="1:28" s="36" customFormat="1" ht="21.9" customHeight="1" x14ac:dyDescent="0.3">
      <c r="A18" s="125"/>
      <c r="B18" s="49" t="s">
        <v>50</v>
      </c>
      <c r="C18" s="47">
        <v>0</v>
      </c>
      <c r="D18" s="85">
        <v>0</v>
      </c>
      <c r="E18" s="114">
        <v>0</v>
      </c>
      <c r="F18" s="114"/>
    </row>
    <row r="19" spans="1:28" s="36" customFormat="1" ht="21.9" customHeight="1" x14ac:dyDescent="0.3">
      <c r="A19" s="125"/>
      <c r="B19" s="49" t="s">
        <v>219</v>
      </c>
      <c r="C19" s="47">
        <v>0</v>
      </c>
      <c r="D19" s="85">
        <v>0</v>
      </c>
      <c r="E19" s="114">
        <v>0</v>
      </c>
      <c r="F19" s="114"/>
    </row>
    <row r="20" spans="1:28" s="36" customFormat="1" ht="19.95" customHeight="1" x14ac:dyDescent="0.3">
      <c r="A20" s="125" t="s">
        <v>51</v>
      </c>
      <c r="B20" s="49" t="s">
        <v>48</v>
      </c>
      <c r="C20" s="47">
        <v>5</v>
      </c>
      <c r="D20" s="85">
        <v>22</v>
      </c>
      <c r="E20" s="114">
        <v>0</v>
      </c>
      <c r="F20" s="114"/>
    </row>
    <row r="21" spans="1:28" s="36" customFormat="1" ht="19.8" x14ac:dyDescent="0.3">
      <c r="A21" s="125"/>
      <c r="B21" s="49" t="s">
        <v>52</v>
      </c>
      <c r="C21" s="47">
        <v>4</v>
      </c>
      <c r="D21" s="85">
        <v>15</v>
      </c>
      <c r="E21" s="114">
        <v>0</v>
      </c>
      <c r="F21" s="114"/>
    </row>
    <row r="22" spans="1:28" s="36" customFormat="1" ht="19.8" x14ac:dyDescent="0.3">
      <c r="A22" s="125"/>
      <c r="B22" s="49" t="s">
        <v>53</v>
      </c>
      <c r="C22" s="47">
        <v>0</v>
      </c>
      <c r="D22" s="85">
        <v>0</v>
      </c>
      <c r="E22" s="114">
        <v>0</v>
      </c>
      <c r="F22" s="114"/>
    </row>
    <row r="23" spans="1:28" s="36" customFormat="1" ht="19.8" x14ac:dyDescent="0.3">
      <c r="A23" s="125"/>
      <c r="B23" s="49" t="s">
        <v>54</v>
      </c>
      <c r="C23" s="47">
        <v>0</v>
      </c>
      <c r="D23" s="85">
        <v>0</v>
      </c>
      <c r="E23" s="114">
        <v>0</v>
      </c>
      <c r="F23" s="114"/>
    </row>
    <row r="24" spans="1:28" s="36" customFormat="1" ht="19.8" x14ac:dyDescent="0.3">
      <c r="A24" s="125"/>
      <c r="B24" s="49" t="s">
        <v>55</v>
      </c>
      <c r="C24" s="47">
        <v>1</v>
      </c>
      <c r="D24" s="85">
        <v>7</v>
      </c>
      <c r="E24" s="114">
        <v>0</v>
      </c>
      <c r="F24" s="114"/>
    </row>
    <row r="25" spans="1:28" s="36" customFormat="1" ht="19.8" x14ac:dyDescent="0.3">
      <c r="A25" s="125"/>
      <c r="B25" s="49" t="s">
        <v>56</v>
      </c>
      <c r="C25" s="47">
        <v>0</v>
      </c>
      <c r="D25" s="85">
        <v>0</v>
      </c>
      <c r="E25" s="114">
        <v>0</v>
      </c>
      <c r="F25" s="114"/>
    </row>
    <row r="26" spans="1:28" s="36" customFormat="1" ht="19.8" x14ac:dyDescent="0.3">
      <c r="A26" s="125"/>
      <c r="B26" s="49" t="s">
        <v>219</v>
      </c>
      <c r="C26" s="47">
        <v>0</v>
      </c>
      <c r="D26" s="85">
        <v>0</v>
      </c>
      <c r="E26" s="114">
        <v>0</v>
      </c>
      <c r="F26" s="114"/>
    </row>
    <row r="27" spans="1:28" s="36" customFormat="1" ht="20.399999999999999" x14ac:dyDescent="0.3">
      <c r="A27" s="110" t="s">
        <v>243</v>
      </c>
      <c r="B27" s="110"/>
      <c r="C27" s="47">
        <v>67</v>
      </c>
      <c r="D27" s="85">
        <v>1684</v>
      </c>
      <c r="E27" s="114">
        <v>0</v>
      </c>
      <c r="F27" s="114"/>
    </row>
    <row r="28" spans="1:28" s="36" customFormat="1" ht="19.8" x14ac:dyDescent="0.3">
      <c r="A28" s="110" t="s">
        <v>58</v>
      </c>
      <c r="B28" s="110"/>
      <c r="C28" s="47">
        <v>497</v>
      </c>
      <c r="D28" s="85">
        <v>3125</v>
      </c>
      <c r="E28" s="114">
        <v>0</v>
      </c>
      <c r="F28" s="114"/>
    </row>
    <row r="29" spans="1:28" s="36" customFormat="1" ht="19.8" x14ac:dyDescent="0.3">
      <c r="A29" s="50"/>
      <c r="B29" s="51" t="s">
        <v>59</v>
      </c>
      <c r="C29" s="47">
        <v>403</v>
      </c>
      <c r="D29" s="85">
        <v>2729</v>
      </c>
      <c r="E29" s="114">
        <v>0</v>
      </c>
      <c r="F29" s="114"/>
    </row>
    <row r="30" spans="1:28" s="36" customFormat="1" ht="19.8" x14ac:dyDescent="0.3">
      <c r="A30" s="52"/>
      <c r="B30" s="51" t="s">
        <v>60</v>
      </c>
      <c r="C30" s="53">
        <v>94</v>
      </c>
      <c r="D30" s="54">
        <v>396</v>
      </c>
      <c r="E30" s="120">
        <v>0</v>
      </c>
      <c r="F30" s="120"/>
    </row>
    <row r="31" spans="1:28" s="57" customFormat="1" ht="23.25" customHeight="1" x14ac:dyDescent="0.3">
      <c r="A31" s="55" t="s">
        <v>61</v>
      </c>
      <c r="B31" s="56"/>
      <c r="C31" s="55" t="s">
        <v>62</v>
      </c>
      <c r="D31" s="55" t="s">
        <v>63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55" t="s">
        <v>65</v>
      </c>
      <c r="E32" s="55"/>
      <c r="H32" s="56"/>
      <c r="I32" s="43"/>
      <c r="J32" s="56"/>
      <c r="K32" s="56"/>
      <c r="L32" s="56"/>
      <c r="M32" s="56"/>
      <c r="N32" s="56"/>
      <c r="O32" s="56"/>
      <c r="P32" s="56"/>
      <c r="Q32" s="56"/>
      <c r="R32" s="56"/>
      <c r="S32" s="56"/>
      <c r="T32" s="56"/>
      <c r="U32" s="56"/>
      <c r="V32" s="56"/>
      <c r="W32" s="56"/>
    </row>
    <row r="33" spans="1:4" s="42" customFormat="1" ht="22.5" customHeight="1" x14ac:dyDescent="0.3">
      <c r="A33" s="42" t="s">
        <v>251</v>
      </c>
    </row>
    <row r="34" spans="1:4" s="42" customFormat="1" ht="21" customHeight="1" x14ac:dyDescent="0.3">
      <c r="A34" s="59" t="s">
        <v>81</v>
      </c>
    </row>
    <row r="35" spans="1:4" s="42" customFormat="1" ht="21" customHeight="1" x14ac:dyDescent="0.3">
      <c r="A35" s="42" t="s">
        <v>84</v>
      </c>
      <c r="B35" s="42" t="s">
        <v>177</v>
      </c>
      <c r="D35" s="42" t="s">
        <v>178</v>
      </c>
    </row>
    <row r="36" spans="1:4" s="42" customFormat="1" ht="18.600000000000001" x14ac:dyDescent="0.3">
      <c r="B36" s="42" t="s">
        <v>179</v>
      </c>
      <c r="D36" s="42" t="s">
        <v>180</v>
      </c>
    </row>
    <row r="37" spans="1:4" s="42" customFormat="1" ht="16.2" x14ac:dyDescent="0.3">
      <c r="B37" s="42" t="s">
        <v>183</v>
      </c>
    </row>
    <row r="38" spans="1:4" s="42" customFormat="1" ht="16.2" x14ac:dyDescent="0.3">
      <c r="B38" s="42" t="s">
        <v>181</v>
      </c>
    </row>
    <row r="39" spans="1:4" s="42" customFormat="1" ht="16.2" x14ac:dyDescent="0.3">
      <c r="B39" s="42" t="s">
        <v>182</v>
      </c>
    </row>
    <row r="40" spans="1:4" s="42" customFormat="1" x14ac:dyDescent="0.3"/>
    <row r="41" spans="1:4" s="42" customFormat="1" x14ac:dyDescent="0.3"/>
    <row r="42" spans="1:4" s="42" customFormat="1" x14ac:dyDescent="0.3"/>
    <row r="43" spans="1:4" s="42" customFormat="1" x14ac:dyDescent="0.3"/>
    <row r="44" spans="1:4" s="42" customFormat="1" x14ac:dyDescent="0.3"/>
    <row r="45" spans="1:4" s="42" customFormat="1" x14ac:dyDescent="0.3"/>
    <row r="46" spans="1:4" s="42" customFormat="1" x14ac:dyDescent="0.3"/>
    <row r="47" spans="1:4" s="42" customFormat="1" ht="16.2" x14ac:dyDescent="0.3">
      <c r="B47" s="62"/>
    </row>
    <row r="48" spans="1:4"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31496062992126012" bottom="0.31496062992126012" header="0.31496062992126012" footer="0.31496062992126012"/>
  <pageSetup paperSize="0" firstPageNumber="96" fitToWidth="0" fitToHeight="0" orientation="landscape" useFirstPageNumber="1" horizontalDpi="0" verticalDpi="0" copies="0"/>
  <headerFooter alignWithMargins="0">
    <oddFooter>&amp;C&amp;"Times New Roman,Regular"&amp;P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31</v>
      </c>
    </row>
    <row r="3" spans="1:6" s="42" customFormat="1" ht="30.75" customHeight="1" x14ac:dyDescent="0.3">
      <c r="A3" s="131" t="s">
        <v>73</v>
      </c>
      <c r="B3" s="131"/>
      <c r="C3" s="131"/>
      <c r="D3" s="131"/>
      <c r="E3" s="131"/>
      <c r="F3" s="131"/>
    </row>
    <row r="4" spans="1:6" s="42" customFormat="1" ht="22.5" customHeight="1" x14ac:dyDescent="0.3">
      <c r="A4" s="106" t="s">
        <v>85</v>
      </c>
      <c r="B4" s="106"/>
      <c r="C4" s="106"/>
      <c r="D4" s="106"/>
      <c r="E4" s="106"/>
      <c r="F4" s="43" t="s">
        <v>34</v>
      </c>
    </row>
    <row r="5" spans="1:6" s="36" customFormat="1" ht="27" customHeight="1" x14ac:dyDescent="0.3">
      <c r="A5" s="126" t="s">
        <v>35</v>
      </c>
      <c r="B5" s="126"/>
      <c r="C5" s="44" t="s">
        <v>36</v>
      </c>
      <c r="D5" s="44" t="s">
        <v>37</v>
      </c>
      <c r="E5" s="127" t="s">
        <v>38</v>
      </c>
      <c r="F5" s="127"/>
    </row>
    <row r="6" spans="1:6" s="36" customFormat="1" ht="19.8" x14ac:dyDescent="0.3">
      <c r="A6" s="128" t="s">
        <v>263</v>
      </c>
      <c r="B6" s="128"/>
      <c r="C6" s="85">
        <v>480</v>
      </c>
      <c r="D6" s="85">
        <f>D7+D28</f>
        <v>4504</v>
      </c>
      <c r="E6" s="111">
        <v>0</v>
      </c>
      <c r="F6" s="111"/>
    </row>
    <row r="7" spans="1:6" s="36" customFormat="1" ht="19.8" x14ac:dyDescent="0.3">
      <c r="A7" s="110" t="s">
        <v>86</v>
      </c>
      <c r="B7" s="110"/>
      <c r="C7" s="85">
        <v>186</v>
      </c>
      <c r="D7" s="85">
        <v>2713</v>
      </c>
      <c r="E7" s="114">
        <v>0</v>
      </c>
      <c r="F7" s="114"/>
    </row>
    <row r="8" spans="1:6" s="36" customFormat="1" ht="20.399999999999999" customHeight="1" x14ac:dyDescent="0.3">
      <c r="A8" s="125" t="s">
        <v>39</v>
      </c>
      <c r="B8" s="49" t="s">
        <v>87</v>
      </c>
      <c r="C8" s="85">
        <v>156</v>
      </c>
      <c r="D8" s="85">
        <v>2317</v>
      </c>
      <c r="E8" s="114">
        <v>0</v>
      </c>
      <c r="F8" s="114"/>
    </row>
    <row r="9" spans="1:6" s="36" customFormat="1" ht="19.8" x14ac:dyDescent="0.3">
      <c r="A9" s="125"/>
      <c r="B9" s="49" t="s">
        <v>40</v>
      </c>
      <c r="C9" s="85">
        <v>66</v>
      </c>
      <c r="D9" s="85">
        <v>565</v>
      </c>
      <c r="E9" s="114">
        <v>0</v>
      </c>
      <c r="F9" s="114"/>
    </row>
    <row r="10" spans="1:6" s="36" customFormat="1" ht="19.8" x14ac:dyDescent="0.3">
      <c r="A10" s="125"/>
      <c r="B10" s="49" t="s">
        <v>41</v>
      </c>
      <c r="C10" s="85">
        <v>32</v>
      </c>
      <c r="D10" s="85">
        <v>649</v>
      </c>
      <c r="E10" s="114">
        <v>0</v>
      </c>
      <c r="F10" s="114"/>
    </row>
    <row r="11" spans="1:6" s="36" customFormat="1" ht="19.8" x14ac:dyDescent="0.3">
      <c r="A11" s="125"/>
      <c r="B11" s="49" t="s">
        <v>42</v>
      </c>
      <c r="C11" s="85">
        <v>7</v>
      </c>
      <c r="D11" s="85">
        <v>183</v>
      </c>
      <c r="E11" s="114">
        <v>0</v>
      </c>
      <c r="F11" s="114"/>
    </row>
    <row r="12" spans="1:6" s="36" customFormat="1" ht="19.8" x14ac:dyDescent="0.3">
      <c r="A12" s="125"/>
      <c r="B12" s="49" t="s">
        <v>43</v>
      </c>
      <c r="C12" s="85">
        <v>36</v>
      </c>
      <c r="D12" s="85">
        <v>356</v>
      </c>
      <c r="E12" s="114">
        <v>0</v>
      </c>
      <c r="F12" s="114"/>
    </row>
    <row r="13" spans="1:6" s="36" customFormat="1" ht="19.8" x14ac:dyDescent="0.3">
      <c r="A13" s="125"/>
      <c r="B13" s="49" t="s">
        <v>44</v>
      </c>
      <c r="C13" s="85">
        <f>18+2</f>
        <v>20</v>
      </c>
      <c r="D13" s="85">
        <v>615</v>
      </c>
      <c r="E13" s="114">
        <v>0</v>
      </c>
      <c r="F13" s="114"/>
    </row>
    <row r="14" spans="1:6" s="36" customFormat="1" ht="19.8" x14ac:dyDescent="0.3">
      <c r="A14" s="125"/>
      <c r="B14" s="49" t="s">
        <v>45</v>
      </c>
      <c r="C14" s="85">
        <v>0</v>
      </c>
      <c r="D14" s="85">
        <v>0</v>
      </c>
      <c r="E14" s="114">
        <v>0</v>
      </c>
      <c r="F14" s="114"/>
    </row>
    <row r="15" spans="1:6" s="36" customFormat="1" ht="20.399999999999999" x14ac:dyDescent="0.3">
      <c r="A15" s="125"/>
      <c r="B15" s="49" t="s">
        <v>88</v>
      </c>
      <c r="C15" s="85">
        <v>4</v>
      </c>
      <c r="D15" s="85">
        <v>60</v>
      </c>
      <c r="E15" s="114">
        <v>0</v>
      </c>
      <c r="F15" s="114"/>
    </row>
    <row r="16" spans="1:6" s="36" customFormat="1" ht="21.9" customHeight="1" x14ac:dyDescent="0.3">
      <c r="A16" s="125" t="s">
        <v>47</v>
      </c>
      <c r="B16" s="49" t="s">
        <v>48</v>
      </c>
      <c r="C16" s="85">
        <v>1</v>
      </c>
      <c r="D16" s="85">
        <v>6</v>
      </c>
      <c r="E16" s="114">
        <v>0</v>
      </c>
      <c r="F16" s="114"/>
    </row>
    <row r="17" spans="1:28" s="36" customFormat="1" ht="21.9" customHeight="1" x14ac:dyDescent="0.3">
      <c r="A17" s="125"/>
      <c r="B17" s="49" t="s">
        <v>49</v>
      </c>
      <c r="C17" s="85">
        <v>0</v>
      </c>
      <c r="D17" s="85">
        <v>0</v>
      </c>
      <c r="E17" s="114">
        <v>0</v>
      </c>
      <c r="F17" s="114"/>
    </row>
    <row r="18" spans="1:28" s="36" customFormat="1" ht="21.9" customHeight="1" x14ac:dyDescent="0.3">
      <c r="A18" s="125"/>
      <c r="B18" s="49" t="s">
        <v>50</v>
      </c>
      <c r="C18" s="85">
        <v>0</v>
      </c>
      <c r="D18" s="85">
        <v>0</v>
      </c>
      <c r="E18" s="114">
        <v>0</v>
      </c>
      <c r="F18" s="114"/>
    </row>
    <row r="19" spans="1:28" s="36" customFormat="1" ht="21.9" customHeight="1" x14ac:dyDescent="0.3">
      <c r="A19" s="125"/>
      <c r="B19" s="49" t="s">
        <v>89</v>
      </c>
      <c r="C19" s="85">
        <v>1</v>
      </c>
      <c r="D19" s="85">
        <v>6</v>
      </c>
      <c r="E19" s="114">
        <v>0</v>
      </c>
      <c r="F19" s="114"/>
    </row>
    <row r="20" spans="1:28" s="36" customFormat="1" ht="19.95" customHeight="1" x14ac:dyDescent="0.3">
      <c r="A20" s="125" t="s">
        <v>51</v>
      </c>
      <c r="B20" s="49" t="s">
        <v>48</v>
      </c>
      <c r="C20" s="85">
        <f>C21+C22+C23+C24+C25+C26</f>
        <v>14</v>
      </c>
      <c r="D20" s="85">
        <f>D21+D22+D23+D24+D25+D26</f>
        <v>185</v>
      </c>
      <c r="E20" s="114">
        <v>0</v>
      </c>
      <c r="F20" s="114"/>
    </row>
    <row r="21" spans="1:28" s="36" customFormat="1" ht="19.8" x14ac:dyDescent="0.3">
      <c r="A21" s="125"/>
      <c r="B21" s="49" t="s">
        <v>52</v>
      </c>
      <c r="C21" s="85">
        <v>3</v>
      </c>
      <c r="D21" s="85">
        <v>9</v>
      </c>
      <c r="E21" s="114">
        <v>0</v>
      </c>
      <c r="F21" s="114"/>
    </row>
    <row r="22" spans="1:28" s="36" customFormat="1" ht="19.8" x14ac:dyDescent="0.3">
      <c r="A22" s="125"/>
      <c r="B22" s="49" t="s">
        <v>53</v>
      </c>
      <c r="C22" s="85">
        <v>0</v>
      </c>
      <c r="D22" s="85">
        <v>0</v>
      </c>
      <c r="E22" s="114">
        <v>0</v>
      </c>
      <c r="F22" s="114"/>
    </row>
    <row r="23" spans="1:28" s="36" customFormat="1" ht="19.8" x14ac:dyDescent="0.3">
      <c r="A23" s="125"/>
      <c r="B23" s="49" t="s">
        <v>54</v>
      </c>
      <c r="C23" s="85">
        <v>1</v>
      </c>
      <c r="D23" s="85">
        <v>4</v>
      </c>
      <c r="E23" s="114">
        <v>0</v>
      </c>
      <c r="F23" s="114"/>
    </row>
    <row r="24" spans="1:28" s="36" customFormat="1" ht="19.8" x14ac:dyDescent="0.3">
      <c r="A24" s="125"/>
      <c r="B24" s="49" t="s">
        <v>55</v>
      </c>
      <c r="C24" s="85">
        <v>8</v>
      </c>
      <c r="D24" s="85">
        <v>160</v>
      </c>
      <c r="E24" s="114">
        <v>0</v>
      </c>
      <c r="F24" s="114"/>
    </row>
    <row r="25" spans="1:28" s="36" customFormat="1" ht="19.8" x14ac:dyDescent="0.3">
      <c r="A25" s="125"/>
      <c r="B25" s="49" t="s">
        <v>56</v>
      </c>
      <c r="C25" s="85">
        <v>0</v>
      </c>
      <c r="D25" s="85">
        <v>0</v>
      </c>
      <c r="E25" s="114">
        <v>0</v>
      </c>
      <c r="F25" s="114"/>
    </row>
    <row r="26" spans="1:28" s="36" customFormat="1" ht="20.399999999999999" x14ac:dyDescent="0.3">
      <c r="A26" s="125"/>
      <c r="B26" s="49" t="s">
        <v>90</v>
      </c>
      <c r="C26" s="85">
        <v>2</v>
      </c>
      <c r="D26" s="85">
        <v>12</v>
      </c>
      <c r="E26" s="114">
        <v>0</v>
      </c>
      <c r="F26" s="114"/>
    </row>
    <row r="27" spans="1:28" s="36" customFormat="1" ht="20.399999999999999" x14ac:dyDescent="0.3">
      <c r="A27" s="110" t="s">
        <v>91</v>
      </c>
      <c r="B27" s="110"/>
      <c r="C27" s="85">
        <v>17</v>
      </c>
      <c r="D27" s="85">
        <v>218</v>
      </c>
      <c r="E27" s="114">
        <v>0</v>
      </c>
      <c r="F27" s="114"/>
    </row>
    <row r="28" spans="1:28" s="36" customFormat="1" ht="19.8" x14ac:dyDescent="0.3">
      <c r="A28" s="110" t="s">
        <v>58</v>
      </c>
      <c r="B28" s="110"/>
      <c r="C28" s="85">
        <v>194</v>
      </c>
      <c r="D28" s="85">
        <v>1791</v>
      </c>
      <c r="E28" s="114">
        <v>0</v>
      </c>
      <c r="F28" s="114"/>
    </row>
    <row r="29" spans="1:28" s="36" customFormat="1" ht="19.8" x14ac:dyDescent="0.3">
      <c r="A29" s="50"/>
      <c r="B29" s="51" t="s">
        <v>59</v>
      </c>
      <c r="C29" s="85">
        <v>269</v>
      </c>
      <c r="D29" s="85">
        <v>1664</v>
      </c>
      <c r="E29" s="114">
        <v>0</v>
      </c>
      <c r="F29" s="114"/>
    </row>
    <row r="30" spans="1:28" s="36" customFormat="1" ht="19.8" x14ac:dyDescent="0.3">
      <c r="A30" s="52"/>
      <c r="B30" s="51" t="s">
        <v>60</v>
      </c>
      <c r="C30" s="54">
        <v>25</v>
      </c>
      <c r="D30" s="54">
        <v>127</v>
      </c>
      <c r="E30" s="120">
        <v>0</v>
      </c>
      <c r="F30" s="120"/>
    </row>
    <row r="31" spans="1:28" s="57" customFormat="1" ht="23.25" customHeight="1" x14ac:dyDescent="0.3">
      <c r="A31" s="55" t="s">
        <v>61</v>
      </c>
      <c r="B31" s="56"/>
      <c r="C31" s="55" t="s">
        <v>62</v>
      </c>
      <c r="D31" s="55" t="s">
        <v>63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55" t="s">
        <v>65</v>
      </c>
      <c r="E32" s="55"/>
      <c r="H32" s="56"/>
      <c r="I32" s="43"/>
      <c r="J32" s="56"/>
      <c r="K32" s="56"/>
      <c r="L32" s="56"/>
      <c r="M32" s="56"/>
      <c r="N32" s="56"/>
      <c r="O32" s="56"/>
      <c r="P32" s="56"/>
      <c r="Q32" s="56"/>
      <c r="R32" s="56"/>
      <c r="S32" s="56"/>
      <c r="T32" s="56"/>
      <c r="U32" s="56"/>
      <c r="V32" s="56"/>
      <c r="W32" s="56"/>
    </row>
    <row r="33" spans="1:4" s="42" customFormat="1" ht="22.5" customHeight="1" x14ac:dyDescent="0.3">
      <c r="A33" s="42" t="s">
        <v>251</v>
      </c>
    </row>
    <row r="34" spans="1:4" s="42" customFormat="1" ht="21" customHeight="1" x14ac:dyDescent="0.3">
      <c r="A34" s="59" t="s">
        <v>81</v>
      </c>
    </row>
    <row r="35" spans="1:4" s="42" customFormat="1" ht="21" customHeight="1" x14ac:dyDescent="0.3">
      <c r="A35" s="42" t="s">
        <v>84</v>
      </c>
      <c r="B35" s="42" t="s">
        <v>256</v>
      </c>
      <c r="D35" s="42" t="s">
        <v>92</v>
      </c>
    </row>
    <row r="36" spans="1:4" s="42" customFormat="1" ht="18.600000000000001" x14ac:dyDescent="0.3">
      <c r="B36" s="42" t="s">
        <v>184</v>
      </c>
      <c r="D36" s="42" t="s">
        <v>93</v>
      </c>
    </row>
    <row r="37" spans="1:4" s="42" customFormat="1" ht="18.600000000000001" x14ac:dyDescent="0.3">
      <c r="B37" s="42" t="s">
        <v>185</v>
      </c>
      <c r="D37" s="42" t="s">
        <v>94</v>
      </c>
    </row>
    <row r="38" spans="1:4" s="42" customFormat="1" ht="18.600000000000001" x14ac:dyDescent="0.3">
      <c r="B38" s="42" t="s">
        <v>186</v>
      </c>
    </row>
    <row r="39" spans="1:4" s="42" customFormat="1" ht="18.600000000000001" x14ac:dyDescent="0.3">
      <c r="B39" s="42" t="s">
        <v>187</v>
      </c>
    </row>
    <row r="40" spans="1:4" s="42" customFormat="1" x14ac:dyDescent="0.3"/>
    <row r="41" spans="1:4" s="42" customFormat="1" x14ac:dyDescent="0.3"/>
    <row r="42" spans="1:4" s="42" customFormat="1" x14ac:dyDescent="0.3"/>
    <row r="43" spans="1:4" s="42" customFormat="1" x14ac:dyDescent="0.3"/>
    <row r="44" spans="1:4" s="42" customFormat="1" x14ac:dyDescent="0.3"/>
    <row r="45" spans="1:4" s="42" customFormat="1" x14ac:dyDescent="0.3"/>
    <row r="46" spans="1:4" s="42" customFormat="1" x14ac:dyDescent="0.3"/>
    <row r="47" spans="1:4" s="42" customFormat="1" x14ac:dyDescent="0.3"/>
    <row r="48" spans="1:4" s="42" customFormat="1" x14ac:dyDescent="0.3"/>
    <row r="49" spans="2:2" s="42" customFormat="1" x14ac:dyDescent="0.3"/>
    <row r="50" spans="2:2" s="42" customFormat="1" x14ac:dyDescent="0.3"/>
    <row r="51" spans="2:2" s="42" customFormat="1" x14ac:dyDescent="0.3"/>
    <row r="52" spans="2:2" s="42" customFormat="1" x14ac:dyDescent="0.3"/>
    <row r="53" spans="2:2" s="42" customFormat="1" x14ac:dyDescent="0.3"/>
    <row r="54" spans="2:2" s="42" customFormat="1" x14ac:dyDescent="0.3"/>
    <row r="55" spans="2:2" s="42" customFormat="1" x14ac:dyDescent="0.3"/>
    <row r="56" spans="2:2" s="42" customFormat="1" x14ac:dyDescent="0.3"/>
    <row r="57" spans="2:2" s="42" customFormat="1" x14ac:dyDescent="0.3"/>
    <row r="58" spans="2:2" s="42" customFormat="1" x14ac:dyDescent="0.3"/>
    <row r="59" spans="2:2" s="42" customFormat="1" x14ac:dyDescent="0.3">
      <c r="B59" s="63"/>
    </row>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31496062992126012" bottom="0.31496062992126012" header="0.31496062992126012" footer="0.31496062992126012"/>
  <pageSetup paperSize="0" firstPageNumber="96" fitToWidth="0" fitToHeight="0" orientation="landscape" useFirstPageNumber="1" horizontalDpi="0" verticalDpi="0" copies="0"/>
  <headerFooter alignWithMargins="0">
    <oddFooter>&amp;C&amp;"Times New Roman,Regular"&amp;P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27</v>
      </c>
    </row>
    <row r="2" spans="1:6" s="36" customFormat="1" ht="26.25" customHeight="1" x14ac:dyDescent="0.3">
      <c r="A2" s="38" t="s">
        <v>28</v>
      </c>
      <c r="B2" s="39" t="s">
        <v>29</v>
      </c>
      <c r="E2" s="40" t="s">
        <v>30</v>
      </c>
      <c r="F2" s="41" t="s">
        <v>95</v>
      </c>
    </row>
    <row r="3" spans="1:6" s="42" customFormat="1" ht="30.75" customHeight="1" x14ac:dyDescent="0.3">
      <c r="A3" s="104" t="s">
        <v>32</v>
      </c>
      <c r="B3" s="104"/>
      <c r="C3" s="104"/>
      <c r="D3" s="104"/>
      <c r="E3" s="104"/>
      <c r="F3" s="104"/>
    </row>
    <row r="4" spans="1:6" s="42" customFormat="1" ht="22.5" customHeight="1" x14ac:dyDescent="0.3">
      <c r="A4" s="106" t="s">
        <v>210</v>
      </c>
      <c r="B4" s="106"/>
      <c r="C4" s="106"/>
      <c r="D4" s="106"/>
      <c r="E4" s="106"/>
      <c r="F4" s="65" t="s">
        <v>96</v>
      </c>
    </row>
    <row r="5" spans="1:6" s="36" customFormat="1" ht="27" customHeight="1" x14ac:dyDescent="0.3">
      <c r="A5" s="107" t="s">
        <v>97</v>
      </c>
      <c r="B5" s="107"/>
      <c r="C5" s="35" t="s">
        <v>98</v>
      </c>
      <c r="D5" s="35" t="s">
        <v>99</v>
      </c>
      <c r="E5" s="108" t="s">
        <v>100</v>
      </c>
      <c r="F5" s="108"/>
    </row>
    <row r="6" spans="1:6" s="36" customFormat="1" ht="19.8" x14ac:dyDescent="0.3">
      <c r="A6" s="128" t="s">
        <v>263</v>
      </c>
      <c r="B6" s="128"/>
      <c r="C6" s="85">
        <v>409</v>
      </c>
      <c r="D6" s="85">
        <v>3890</v>
      </c>
      <c r="E6" s="111">
        <v>0</v>
      </c>
      <c r="F6" s="111"/>
    </row>
    <row r="7" spans="1:6" s="36" customFormat="1" ht="19.8" x14ac:dyDescent="0.3">
      <c r="A7" s="110" t="s">
        <v>221</v>
      </c>
      <c r="B7" s="110"/>
      <c r="C7" s="85">
        <f>C6-C28</f>
        <v>137</v>
      </c>
      <c r="D7" s="85">
        <f>D6-D28</f>
        <v>2243</v>
      </c>
      <c r="E7" s="114">
        <v>0</v>
      </c>
      <c r="F7" s="114"/>
    </row>
    <row r="8" spans="1:6" s="36" customFormat="1" ht="22.95" customHeight="1" x14ac:dyDescent="0.3">
      <c r="A8" s="125" t="s">
        <v>222</v>
      </c>
      <c r="B8" s="49" t="s">
        <v>246</v>
      </c>
      <c r="C8" s="85">
        <f>C9+C10+C11+C12+C13+C14+C15-6</f>
        <v>111</v>
      </c>
      <c r="D8" s="85">
        <f>D9+D10+D11+D12+D13+D14+D15-213</f>
        <v>1909</v>
      </c>
      <c r="E8" s="114">
        <v>0</v>
      </c>
      <c r="F8" s="114"/>
    </row>
    <row r="9" spans="1:6" s="36" customFormat="1" ht="19.8" x14ac:dyDescent="0.3">
      <c r="A9" s="125"/>
      <c r="B9" s="49" t="s">
        <v>223</v>
      </c>
      <c r="C9" s="85">
        <v>37</v>
      </c>
      <c r="D9" s="85">
        <v>173</v>
      </c>
      <c r="E9" s="114">
        <v>0</v>
      </c>
      <c r="F9" s="114"/>
    </row>
    <row r="10" spans="1:6" s="36" customFormat="1" ht="19.8" x14ac:dyDescent="0.3">
      <c r="A10" s="125"/>
      <c r="B10" s="49" t="s">
        <v>224</v>
      </c>
      <c r="C10" s="85">
        <v>21</v>
      </c>
      <c r="D10" s="85">
        <v>229</v>
      </c>
      <c r="E10" s="114">
        <v>0</v>
      </c>
      <c r="F10" s="114"/>
    </row>
    <row r="11" spans="1:6" s="36" customFormat="1" ht="19.8" x14ac:dyDescent="0.3">
      <c r="A11" s="125"/>
      <c r="B11" s="49" t="s">
        <v>225</v>
      </c>
      <c r="C11" s="85">
        <v>9</v>
      </c>
      <c r="D11" s="85">
        <v>210</v>
      </c>
      <c r="E11" s="114">
        <v>0</v>
      </c>
      <c r="F11" s="114"/>
    </row>
    <row r="12" spans="1:6" s="36" customFormat="1" ht="19.8" x14ac:dyDescent="0.3">
      <c r="A12" s="125"/>
      <c r="B12" s="49" t="s">
        <v>226</v>
      </c>
      <c r="C12" s="85">
        <v>31</v>
      </c>
      <c r="D12" s="85">
        <v>424</v>
      </c>
      <c r="E12" s="114">
        <v>0</v>
      </c>
      <c r="F12" s="114"/>
    </row>
    <row r="13" spans="1:6" s="36" customFormat="1" ht="19.8" x14ac:dyDescent="0.3">
      <c r="A13" s="125"/>
      <c r="B13" s="49" t="s">
        <v>227</v>
      </c>
      <c r="C13" s="85">
        <v>14</v>
      </c>
      <c r="D13" s="85">
        <v>1032</v>
      </c>
      <c r="E13" s="114">
        <v>0</v>
      </c>
      <c r="F13" s="114"/>
    </row>
    <row r="14" spans="1:6" s="36" customFormat="1" ht="19.8" x14ac:dyDescent="0.3">
      <c r="A14" s="125"/>
      <c r="B14" s="49" t="s">
        <v>228</v>
      </c>
      <c r="C14" s="85">
        <v>1</v>
      </c>
      <c r="D14" s="85">
        <v>1</v>
      </c>
      <c r="E14" s="114">
        <v>0</v>
      </c>
      <c r="F14" s="114"/>
    </row>
    <row r="15" spans="1:6" s="36" customFormat="1" ht="20.399999999999999" x14ac:dyDescent="0.3">
      <c r="A15" s="125"/>
      <c r="B15" s="49" t="s">
        <v>247</v>
      </c>
      <c r="C15" s="85">
        <v>4</v>
      </c>
      <c r="D15" s="85">
        <v>53</v>
      </c>
      <c r="E15" s="114">
        <v>0</v>
      </c>
      <c r="F15" s="114"/>
    </row>
    <row r="16" spans="1:6" s="36" customFormat="1" ht="21.9" customHeight="1" x14ac:dyDescent="0.3">
      <c r="A16" s="125" t="s">
        <v>229</v>
      </c>
      <c r="B16" s="49" t="s">
        <v>230</v>
      </c>
      <c r="C16" s="85">
        <v>1</v>
      </c>
      <c r="D16" s="85">
        <v>159</v>
      </c>
      <c r="E16" s="114">
        <v>0</v>
      </c>
      <c r="F16" s="114"/>
    </row>
    <row r="17" spans="1:28" s="36" customFormat="1" ht="21.9" customHeight="1" x14ac:dyDescent="0.3">
      <c r="A17" s="125"/>
      <c r="B17" s="49" t="s">
        <v>231</v>
      </c>
      <c r="C17" s="85">
        <v>0</v>
      </c>
      <c r="D17" s="85">
        <v>0</v>
      </c>
      <c r="E17" s="114">
        <v>0</v>
      </c>
      <c r="F17" s="114"/>
    </row>
    <row r="18" spans="1:28" s="36" customFormat="1" ht="21.9" customHeight="1" x14ac:dyDescent="0.3">
      <c r="A18" s="125"/>
      <c r="B18" s="49" t="s">
        <v>232</v>
      </c>
      <c r="C18" s="85">
        <v>0</v>
      </c>
      <c r="D18" s="85">
        <v>0</v>
      </c>
      <c r="E18" s="114">
        <v>0</v>
      </c>
      <c r="F18" s="114"/>
    </row>
    <row r="19" spans="1:28" s="36" customFormat="1" ht="21.9" customHeight="1" x14ac:dyDescent="0.3">
      <c r="A19" s="125"/>
      <c r="B19" s="49" t="s">
        <v>248</v>
      </c>
      <c r="C19" s="85">
        <v>1</v>
      </c>
      <c r="D19" s="85">
        <v>159</v>
      </c>
      <c r="E19" s="114">
        <v>0</v>
      </c>
      <c r="F19" s="114"/>
    </row>
    <row r="20" spans="1:28" s="36" customFormat="1" ht="19.95" customHeight="1" x14ac:dyDescent="0.3">
      <c r="A20" s="125" t="s">
        <v>233</v>
      </c>
      <c r="B20" s="49" t="s">
        <v>230</v>
      </c>
      <c r="C20" s="85">
        <v>8</v>
      </c>
      <c r="D20" s="85">
        <v>23</v>
      </c>
      <c r="E20" s="114">
        <v>0</v>
      </c>
      <c r="F20" s="114"/>
    </row>
    <row r="21" spans="1:28" s="36" customFormat="1" ht="19.8" x14ac:dyDescent="0.3">
      <c r="A21" s="125"/>
      <c r="B21" s="49" t="s">
        <v>234</v>
      </c>
      <c r="C21" s="85">
        <v>3</v>
      </c>
      <c r="D21" s="85">
        <v>8</v>
      </c>
      <c r="E21" s="114">
        <v>0</v>
      </c>
      <c r="F21" s="114"/>
    </row>
    <row r="22" spans="1:28" s="36" customFormat="1" ht="19.8" x14ac:dyDescent="0.3">
      <c r="A22" s="125"/>
      <c r="B22" s="49" t="s">
        <v>235</v>
      </c>
      <c r="C22" s="85">
        <v>0</v>
      </c>
      <c r="D22" s="85">
        <v>0</v>
      </c>
      <c r="E22" s="114">
        <v>0</v>
      </c>
      <c r="F22" s="114"/>
    </row>
    <row r="23" spans="1:28" s="36" customFormat="1" ht="19.8" x14ac:dyDescent="0.3">
      <c r="A23" s="125"/>
      <c r="B23" s="49" t="s">
        <v>236</v>
      </c>
      <c r="C23" s="85">
        <v>1</v>
      </c>
      <c r="D23" s="85">
        <v>1</v>
      </c>
      <c r="E23" s="114">
        <v>0</v>
      </c>
      <c r="F23" s="114"/>
    </row>
    <row r="24" spans="1:28" s="36" customFormat="1" ht="19.8" x14ac:dyDescent="0.3">
      <c r="A24" s="125"/>
      <c r="B24" s="49" t="s">
        <v>237</v>
      </c>
      <c r="C24" s="85">
        <v>3</v>
      </c>
      <c r="D24" s="85">
        <v>9</v>
      </c>
      <c r="E24" s="114">
        <v>0</v>
      </c>
      <c r="F24" s="114"/>
    </row>
    <row r="25" spans="1:28" s="36" customFormat="1" ht="19.8" x14ac:dyDescent="0.3">
      <c r="A25" s="125"/>
      <c r="B25" s="49" t="s">
        <v>238</v>
      </c>
      <c r="C25" s="85">
        <v>0</v>
      </c>
      <c r="D25" s="85">
        <v>0</v>
      </c>
      <c r="E25" s="114">
        <v>0</v>
      </c>
      <c r="F25" s="114"/>
    </row>
    <row r="26" spans="1:28" s="36" customFormat="1" ht="20.399999999999999" x14ac:dyDescent="0.3">
      <c r="A26" s="125"/>
      <c r="B26" s="49" t="s">
        <v>249</v>
      </c>
      <c r="C26" s="85">
        <v>1</v>
      </c>
      <c r="D26" s="85">
        <v>5</v>
      </c>
      <c r="E26" s="114">
        <v>0</v>
      </c>
      <c r="F26" s="114"/>
    </row>
    <row r="27" spans="1:28" s="36" customFormat="1" ht="20.399999999999999" x14ac:dyDescent="0.3">
      <c r="A27" s="110" t="s">
        <v>250</v>
      </c>
      <c r="B27" s="110"/>
      <c r="C27" s="85">
        <v>17</v>
      </c>
      <c r="D27" s="85">
        <v>152</v>
      </c>
      <c r="E27" s="114">
        <v>0</v>
      </c>
      <c r="F27" s="114"/>
    </row>
    <row r="28" spans="1:28" s="36" customFormat="1" ht="19.8" x14ac:dyDescent="0.3">
      <c r="A28" s="110" t="s">
        <v>239</v>
      </c>
      <c r="B28" s="110"/>
      <c r="C28" s="85">
        <v>272</v>
      </c>
      <c r="D28" s="85">
        <v>1647</v>
      </c>
      <c r="E28" s="114">
        <v>0</v>
      </c>
      <c r="F28" s="114"/>
    </row>
    <row r="29" spans="1:28" s="36" customFormat="1" ht="19.8" x14ac:dyDescent="0.3">
      <c r="A29" s="50"/>
      <c r="B29" s="51" t="s">
        <v>240</v>
      </c>
      <c r="C29" s="85">
        <v>247</v>
      </c>
      <c r="D29" s="85">
        <v>1567</v>
      </c>
      <c r="E29" s="114">
        <v>0</v>
      </c>
      <c r="F29" s="114"/>
    </row>
    <row r="30" spans="1:28" s="36" customFormat="1" ht="19.8" x14ac:dyDescent="0.3">
      <c r="A30" s="52"/>
      <c r="B30" s="51" t="s">
        <v>241</v>
      </c>
      <c r="C30" s="54">
        <v>25</v>
      </c>
      <c r="D30" s="54">
        <v>80</v>
      </c>
      <c r="E30" s="120">
        <v>0</v>
      </c>
      <c r="F30" s="120"/>
    </row>
    <row r="31" spans="1:28" s="57" customFormat="1" ht="23.25" customHeight="1" x14ac:dyDescent="0.3">
      <c r="A31" s="55" t="s">
        <v>61</v>
      </c>
      <c r="B31" s="56"/>
      <c r="C31" s="67" t="s">
        <v>122</v>
      </c>
      <c r="D31" s="67" t="s">
        <v>123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67" t="s">
        <v>124</v>
      </c>
      <c r="E32" s="55"/>
      <c r="H32" s="56"/>
      <c r="I32" s="43"/>
      <c r="J32" s="56"/>
      <c r="K32" s="56"/>
      <c r="L32" s="56"/>
      <c r="M32" s="56"/>
      <c r="N32" s="56"/>
      <c r="O32" s="56"/>
      <c r="P32" s="56"/>
      <c r="Q32" s="56"/>
      <c r="R32" s="56"/>
      <c r="S32" s="56"/>
      <c r="T32" s="56"/>
      <c r="U32" s="56"/>
      <c r="V32" s="56"/>
      <c r="W32" s="56"/>
    </row>
    <row r="33" spans="1:2" s="42" customFormat="1" ht="21" customHeight="1" x14ac:dyDescent="0.3">
      <c r="A33" s="42" t="s">
        <v>251</v>
      </c>
    </row>
    <row r="34" spans="1:2" s="42" customFormat="1" ht="21" customHeight="1" x14ac:dyDescent="0.3">
      <c r="A34" s="59" t="s">
        <v>125</v>
      </c>
    </row>
    <row r="35" spans="1:2" s="42" customFormat="1" ht="21" customHeight="1" x14ac:dyDescent="0.3">
      <c r="A35" s="42" t="s">
        <v>84</v>
      </c>
      <c r="B35" s="42" t="s">
        <v>188</v>
      </c>
    </row>
    <row r="36" spans="1:2" s="42" customFormat="1" ht="18.600000000000001" x14ac:dyDescent="0.3">
      <c r="B36" s="42" t="s">
        <v>189</v>
      </c>
    </row>
    <row r="37" spans="1:2" s="42" customFormat="1" ht="18.600000000000001" x14ac:dyDescent="0.3">
      <c r="B37" s="42" t="s">
        <v>185</v>
      </c>
    </row>
    <row r="38" spans="1:2" s="42" customFormat="1" ht="18.600000000000001" x14ac:dyDescent="0.3">
      <c r="B38" s="42" t="s">
        <v>186</v>
      </c>
    </row>
    <row r="39" spans="1:2" s="42" customFormat="1" ht="18.600000000000001" x14ac:dyDescent="0.3">
      <c r="B39" s="42" t="s">
        <v>187</v>
      </c>
    </row>
    <row r="40" spans="1:2" s="42" customFormat="1" x14ac:dyDescent="0.3"/>
    <row r="41" spans="1:2" s="42" customFormat="1" x14ac:dyDescent="0.3"/>
    <row r="42" spans="1:2" s="42" customFormat="1" x14ac:dyDescent="0.3"/>
    <row r="43" spans="1:2" s="42" customFormat="1" x14ac:dyDescent="0.3"/>
    <row r="44" spans="1:2" s="42" customFormat="1" x14ac:dyDescent="0.3"/>
    <row r="45" spans="1:2" s="42" customFormat="1" x14ac:dyDescent="0.3"/>
    <row r="46" spans="1:2" s="42" customFormat="1" x14ac:dyDescent="0.3"/>
    <row r="47" spans="1:2" s="42" customFormat="1" x14ac:dyDescent="0.3"/>
    <row r="48" spans="1:2"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51" bottom="0.39370078740157505" header="0.51" footer="0.39370078740157505"/>
  <pageSetup paperSize="9" firstPageNumber="96" fitToWidth="0" fitToHeight="0" orientation="landscape" useFirstPageNumber="1" verticalDpi="0" r:id="rId1"/>
  <headerFooter alignWithMargins="0">
    <oddFooter>&amp;C&amp;"Times New Roman,Regular"&amp;P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126</v>
      </c>
    </row>
    <row r="2" spans="1:6" s="36" customFormat="1" ht="26.25" customHeight="1" x14ac:dyDescent="0.3">
      <c r="A2" s="38" t="s">
        <v>28</v>
      </c>
      <c r="B2" s="39" t="s">
        <v>29</v>
      </c>
      <c r="E2" s="40" t="s">
        <v>30</v>
      </c>
      <c r="F2" s="41" t="s">
        <v>95</v>
      </c>
    </row>
    <row r="3" spans="1:6" s="42" customFormat="1" ht="30.75" customHeight="1" x14ac:dyDescent="0.3">
      <c r="A3" s="104" t="s">
        <v>32</v>
      </c>
      <c r="B3" s="104"/>
      <c r="C3" s="104"/>
      <c r="D3" s="104"/>
      <c r="E3" s="104"/>
      <c r="F3" s="104"/>
    </row>
    <row r="4" spans="1:6" s="42" customFormat="1" ht="22.5" customHeight="1" x14ac:dyDescent="0.3">
      <c r="A4" s="106" t="s">
        <v>213</v>
      </c>
      <c r="B4" s="106"/>
      <c r="C4" s="106"/>
      <c r="D4" s="106"/>
      <c r="E4" s="106"/>
      <c r="F4" s="65" t="s">
        <v>96</v>
      </c>
    </row>
    <row r="5" spans="1:6" s="36" customFormat="1" ht="27" customHeight="1" x14ac:dyDescent="0.3">
      <c r="A5" s="107" t="s">
        <v>97</v>
      </c>
      <c r="B5" s="107"/>
      <c r="C5" s="35" t="s">
        <v>98</v>
      </c>
      <c r="D5" s="35" t="s">
        <v>99</v>
      </c>
      <c r="E5" s="108" t="s">
        <v>100</v>
      </c>
      <c r="F5" s="108"/>
    </row>
    <row r="6" spans="1:6" s="36" customFormat="1" ht="19.8" x14ac:dyDescent="0.3">
      <c r="A6" s="128" t="s">
        <v>263</v>
      </c>
      <c r="B6" s="128"/>
      <c r="C6" s="85">
        <v>527</v>
      </c>
      <c r="D6" s="85">
        <v>5701</v>
      </c>
      <c r="E6" s="111">
        <v>0</v>
      </c>
      <c r="F6" s="111"/>
    </row>
    <row r="7" spans="1:6" s="36" customFormat="1" ht="20.399999999999999" x14ac:dyDescent="0.3">
      <c r="A7" s="110" t="s">
        <v>157</v>
      </c>
      <c r="B7" s="110"/>
      <c r="C7" s="85">
        <f>C6-C28</f>
        <v>152</v>
      </c>
      <c r="D7" s="85">
        <f>D6-D28</f>
        <v>2793</v>
      </c>
      <c r="E7" s="114">
        <v>0</v>
      </c>
      <c r="F7" s="114"/>
    </row>
    <row r="8" spans="1:6" s="36" customFormat="1" ht="20.399999999999999" customHeight="1" x14ac:dyDescent="0.3">
      <c r="A8" s="125" t="s">
        <v>222</v>
      </c>
      <c r="B8" s="49" t="s">
        <v>218</v>
      </c>
      <c r="C8" s="85">
        <f>C9+C10+C11+C12+C13+C14+C15-5</f>
        <v>106</v>
      </c>
      <c r="D8" s="85">
        <f>D9+D10+D11+D12+D13+D14+D15-213</f>
        <v>1568</v>
      </c>
      <c r="E8" s="114">
        <v>0</v>
      </c>
      <c r="F8" s="114"/>
    </row>
    <row r="9" spans="1:6" s="36" customFormat="1" ht="19.8" x14ac:dyDescent="0.3">
      <c r="A9" s="125"/>
      <c r="B9" s="49" t="s">
        <v>223</v>
      </c>
      <c r="C9" s="85">
        <v>32</v>
      </c>
      <c r="D9" s="85">
        <v>210</v>
      </c>
      <c r="E9" s="114">
        <v>0</v>
      </c>
      <c r="F9" s="114"/>
    </row>
    <row r="10" spans="1:6" s="36" customFormat="1" ht="19.8" x14ac:dyDescent="0.3">
      <c r="A10" s="125"/>
      <c r="B10" s="49" t="s">
        <v>224</v>
      </c>
      <c r="C10" s="85">
        <v>16</v>
      </c>
      <c r="D10" s="85">
        <v>145</v>
      </c>
      <c r="E10" s="114">
        <v>0</v>
      </c>
      <c r="F10" s="114"/>
    </row>
    <row r="11" spans="1:6" s="36" customFormat="1" ht="19.8" x14ac:dyDescent="0.3">
      <c r="A11" s="125"/>
      <c r="B11" s="49" t="s">
        <v>225</v>
      </c>
      <c r="C11" s="85">
        <v>5</v>
      </c>
      <c r="D11" s="85">
        <v>51</v>
      </c>
      <c r="E11" s="114">
        <v>0</v>
      </c>
      <c r="F11" s="114"/>
    </row>
    <row r="12" spans="1:6" s="36" customFormat="1" ht="19.8" x14ac:dyDescent="0.3">
      <c r="A12" s="125"/>
      <c r="B12" s="49" t="s">
        <v>226</v>
      </c>
      <c r="C12" s="85">
        <v>33</v>
      </c>
      <c r="D12" s="85">
        <v>580</v>
      </c>
      <c r="E12" s="114">
        <v>0</v>
      </c>
      <c r="F12" s="114"/>
    </row>
    <row r="13" spans="1:6" s="36" customFormat="1" ht="19.8" x14ac:dyDescent="0.3">
      <c r="A13" s="125"/>
      <c r="B13" s="49" t="s">
        <v>227</v>
      </c>
      <c r="C13" s="85">
        <v>23</v>
      </c>
      <c r="D13" s="85">
        <v>722</v>
      </c>
      <c r="E13" s="114">
        <v>0</v>
      </c>
      <c r="F13" s="114"/>
    </row>
    <row r="14" spans="1:6" s="36" customFormat="1" ht="19.8" x14ac:dyDescent="0.3">
      <c r="A14" s="125"/>
      <c r="B14" s="49" t="s">
        <v>228</v>
      </c>
      <c r="C14" s="85">
        <v>0</v>
      </c>
      <c r="D14" s="85">
        <v>0</v>
      </c>
      <c r="E14" s="114">
        <v>0</v>
      </c>
      <c r="F14" s="114"/>
    </row>
    <row r="15" spans="1:6" s="36" customFormat="1" ht="20.399999999999999" x14ac:dyDescent="0.3">
      <c r="A15" s="125"/>
      <c r="B15" s="49" t="s">
        <v>242</v>
      </c>
      <c r="C15" s="85">
        <v>2</v>
      </c>
      <c r="D15" s="85">
        <v>73</v>
      </c>
      <c r="E15" s="114">
        <v>0</v>
      </c>
      <c r="F15" s="114"/>
    </row>
    <row r="16" spans="1:6" s="36" customFormat="1" ht="21.9" customHeight="1" x14ac:dyDescent="0.3">
      <c r="A16" s="125" t="s">
        <v>229</v>
      </c>
      <c r="B16" s="49" t="s">
        <v>230</v>
      </c>
      <c r="C16" s="85">
        <v>2</v>
      </c>
      <c r="D16" s="85">
        <v>8</v>
      </c>
      <c r="E16" s="114">
        <v>0</v>
      </c>
      <c r="F16" s="114"/>
    </row>
    <row r="17" spans="1:28" s="36" customFormat="1" ht="21.9" customHeight="1" x14ac:dyDescent="0.3">
      <c r="A17" s="125"/>
      <c r="B17" s="49" t="s">
        <v>231</v>
      </c>
      <c r="C17" s="85">
        <v>1</v>
      </c>
      <c r="D17" s="85">
        <v>5</v>
      </c>
      <c r="E17" s="114">
        <v>0</v>
      </c>
      <c r="F17" s="114"/>
    </row>
    <row r="18" spans="1:28" s="36" customFormat="1" ht="21.9" customHeight="1" x14ac:dyDescent="0.3">
      <c r="A18" s="125"/>
      <c r="B18" s="49" t="s">
        <v>232</v>
      </c>
      <c r="C18" s="85">
        <v>0</v>
      </c>
      <c r="D18" s="85">
        <v>0</v>
      </c>
      <c r="E18" s="114">
        <v>0</v>
      </c>
      <c r="F18" s="114"/>
    </row>
    <row r="19" spans="1:28" s="36" customFormat="1" ht="21.9" customHeight="1" x14ac:dyDescent="0.3">
      <c r="A19" s="125"/>
      <c r="B19" s="49" t="s">
        <v>244</v>
      </c>
      <c r="C19" s="85">
        <v>1</v>
      </c>
      <c r="D19" s="85">
        <v>3</v>
      </c>
      <c r="E19" s="114">
        <v>0</v>
      </c>
      <c r="F19" s="114"/>
    </row>
    <row r="20" spans="1:28" s="36" customFormat="1" ht="19.95" customHeight="1" x14ac:dyDescent="0.3">
      <c r="A20" s="125" t="s">
        <v>233</v>
      </c>
      <c r="B20" s="49" t="s">
        <v>230</v>
      </c>
      <c r="C20" s="85">
        <f>SUM(C21:C26)</f>
        <v>11</v>
      </c>
      <c r="D20" s="85">
        <f>SUM(D21:D26)</f>
        <v>403</v>
      </c>
      <c r="E20" s="114">
        <v>0</v>
      </c>
      <c r="F20" s="114"/>
    </row>
    <row r="21" spans="1:28" s="36" customFormat="1" ht="19.8" x14ac:dyDescent="0.3">
      <c r="A21" s="125"/>
      <c r="B21" s="49" t="s">
        <v>234</v>
      </c>
      <c r="C21" s="85">
        <v>4</v>
      </c>
      <c r="D21" s="85">
        <v>21</v>
      </c>
      <c r="E21" s="114">
        <v>0</v>
      </c>
      <c r="F21" s="114"/>
    </row>
    <row r="22" spans="1:28" s="36" customFormat="1" ht="19.8" x14ac:dyDescent="0.3">
      <c r="A22" s="125"/>
      <c r="B22" s="49" t="s">
        <v>235</v>
      </c>
      <c r="C22" s="85">
        <v>0</v>
      </c>
      <c r="D22" s="85">
        <v>0</v>
      </c>
      <c r="E22" s="114">
        <v>0</v>
      </c>
      <c r="F22" s="114"/>
    </row>
    <row r="23" spans="1:28" s="36" customFormat="1" ht="19.8" x14ac:dyDescent="0.3">
      <c r="A23" s="125"/>
      <c r="B23" s="49" t="s">
        <v>236</v>
      </c>
      <c r="C23" s="85">
        <v>1</v>
      </c>
      <c r="D23" s="85">
        <v>2</v>
      </c>
      <c r="E23" s="114">
        <v>0</v>
      </c>
      <c r="F23" s="114"/>
    </row>
    <row r="24" spans="1:28" s="36" customFormat="1" ht="19.8" x14ac:dyDescent="0.3">
      <c r="A24" s="125"/>
      <c r="B24" s="49" t="s">
        <v>237</v>
      </c>
      <c r="C24" s="85">
        <v>6</v>
      </c>
      <c r="D24" s="85">
        <v>380</v>
      </c>
      <c r="E24" s="114">
        <v>0</v>
      </c>
      <c r="F24" s="114"/>
    </row>
    <row r="25" spans="1:28" s="36" customFormat="1" ht="19.8" x14ac:dyDescent="0.3">
      <c r="A25" s="125"/>
      <c r="B25" s="49" t="s">
        <v>238</v>
      </c>
      <c r="C25" s="85">
        <v>0</v>
      </c>
      <c r="D25" s="85">
        <v>0</v>
      </c>
      <c r="E25" s="114">
        <v>0</v>
      </c>
      <c r="F25" s="114"/>
    </row>
    <row r="26" spans="1:28" s="36" customFormat="1" ht="19.8" x14ac:dyDescent="0.3">
      <c r="A26" s="125"/>
      <c r="B26" s="49" t="s">
        <v>219</v>
      </c>
      <c r="C26" s="85">
        <v>0</v>
      </c>
      <c r="D26" s="85">
        <v>0</v>
      </c>
      <c r="E26" s="114">
        <v>0</v>
      </c>
      <c r="F26" s="114"/>
    </row>
    <row r="27" spans="1:28" s="36" customFormat="1" ht="20.399999999999999" x14ac:dyDescent="0.3">
      <c r="A27" s="110" t="s">
        <v>245</v>
      </c>
      <c r="B27" s="110"/>
      <c r="C27" s="85">
        <v>37</v>
      </c>
      <c r="D27" s="85">
        <v>1043</v>
      </c>
      <c r="E27" s="114">
        <v>0</v>
      </c>
      <c r="F27" s="114"/>
    </row>
    <row r="28" spans="1:28" s="36" customFormat="1" ht="19.8" x14ac:dyDescent="0.3">
      <c r="A28" s="110" t="s">
        <v>239</v>
      </c>
      <c r="B28" s="110"/>
      <c r="C28" s="85">
        <f>C29+C30</f>
        <v>375</v>
      </c>
      <c r="D28" s="85">
        <f>D29+D30</f>
        <v>2908</v>
      </c>
      <c r="E28" s="114">
        <v>0</v>
      </c>
      <c r="F28" s="114"/>
    </row>
    <row r="29" spans="1:28" s="36" customFormat="1" ht="19.8" x14ac:dyDescent="0.3">
      <c r="A29" s="50"/>
      <c r="B29" s="51" t="s">
        <v>240</v>
      </c>
      <c r="C29" s="85">
        <v>364</v>
      </c>
      <c r="D29" s="85">
        <v>2848</v>
      </c>
      <c r="E29" s="114">
        <v>0</v>
      </c>
      <c r="F29" s="114"/>
    </row>
    <row r="30" spans="1:28" s="36" customFormat="1" ht="19.8" x14ac:dyDescent="0.3">
      <c r="A30" s="52"/>
      <c r="B30" s="51" t="s">
        <v>241</v>
      </c>
      <c r="C30" s="54">
        <v>11</v>
      </c>
      <c r="D30" s="54">
        <v>60</v>
      </c>
      <c r="E30" s="120">
        <v>0</v>
      </c>
      <c r="F30" s="120"/>
    </row>
    <row r="31" spans="1:28" s="57" customFormat="1" ht="23.25" customHeight="1" x14ac:dyDescent="0.3">
      <c r="A31" s="55" t="s">
        <v>61</v>
      </c>
      <c r="B31" s="56"/>
      <c r="C31" s="67" t="s">
        <v>122</v>
      </c>
      <c r="D31" s="67" t="s">
        <v>123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67" t="s">
        <v>124</v>
      </c>
      <c r="E32" s="55"/>
      <c r="H32" s="56"/>
      <c r="I32" s="43"/>
      <c r="J32" s="56"/>
      <c r="K32" s="56"/>
      <c r="L32" s="56"/>
      <c r="M32" s="56"/>
      <c r="N32" s="56"/>
      <c r="O32" s="56"/>
      <c r="P32" s="56"/>
      <c r="Q32" s="56"/>
      <c r="R32" s="56"/>
      <c r="S32" s="56"/>
      <c r="T32" s="56"/>
      <c r="U32" s="56"/>
      <c r="V32" s="56"/>
      <c r="W32" s="56"/>
    </row>
    <row r="33" spans="1:4" s="42" customFormat="1" ht="21" customHeight="1" x14ac:dyDescent="0.3">
      <c r="A33" s="84" t="s">
        <v>255</v>
      </c>
    </row>
    <row r="34" spans="1:4" s="42" customFormat="1" ht="21" customHeight="1" x14ac:dyDescent="0.3">
      <c r="A34" s="59" t="s">
        <v>125</v>
      </c>
    </row>
    <row r="35" spans="1:4" s="42" customFormat="1" ht="21" customHeight="1" x14ac:dyDescent="0.3">
      <c r="A35" s="42" t="s">
        <v>84</v>
      </c>
      <c r="B35" s="42" t="s">
        <v>190</v>
      </c>
      <c r="D35" s="42" t="s">
        <v>92</v>
      </c>
    </row>
    <row r="36" spans="1:4" s="42" customFormat="1" ht="18.600000000000001" x14ac:dyDescent="0.3">
      <c r="B36" s="42" t="s">
        <v>191</v>
      </c>
      <c r="D36" s="42" t="s">
        <v>127</v>
      </c>
    </row>
    <row r="37" spans="1:4" s="42" customFormat="1" ht="18.600000000000001" x14ac:dyDescent="0.3">
      <c r="B37" s="42" t="s">
        <v>192</v>
      </c>
      <c r="D37" s="42" t="s">
        <v>128</v>
      </c>
    </row>
    <row r="38" spans="1:4" s="42" customFormat="1" ht="18.600000000000001" x14ac:dyDescent="0.3">
      <c r="B38" s="42" t="s">
        <v>193</v>
      </c>
      <c r="D38" s="42" t="s">
        <v>129</v>
      </c>
    </row>
    <row r="39" spans="1:4" s="42" customFormat="1" ht="18.600000000000001" x14ac:dyDescent="0.3">
      <c r="B39" s="42" t="s">
        <v>187</v>
      </c>
    </row>
    <row r="40" spans="1:4" s="42" customFormat="1" x14ac:dyDescent="0.3"/>
    <row r="41" spans="1:4" s="42" customFormat="1" x14ac:dyDescent="0.3"/>
    <row r="42" spans="1:4" s="42" customFormat="1" x14ac:dyDescent="0.3"/>
    <row r="43" spans="1:4" s="42" customFormat="1" x14ac:dyDescent="0.3"/>
    <row r="44" spans="1:4" s="42" customFormat="1" x14ac:dyDescent="0.3"/>
    <row r="45" spans="1:4" s="42" customFormat="1" x14ac:dyDescent="0.3"/>
    <row r="46" spans="1:4" s="42" customFormat="1" x14ac:dyDescent="0.3"/>
    <row r="47" spans="1:4" s="42" customFormat="1" x14ac:dyDescent="0.3"/>
    <row r="48" spans="1:4"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51" bottom="0.39370078740157505" header="0.51" footer="0.39370078740157505"/>
  <pageSetup paperSize="0" firstPageNumber="96" fitToWidth="0" fitToHeight="0" orientation="landscape" useFirstPageNumber="1" horizontalDpi="0" verticalDpi="0" copies="0"/>
  <headerFooter alignWithMargins="0">
    <oddFooter>&amp;C&amp;"Times New Roman,Regular"&amp;P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126</v>
      </c>
    </row>
    <row r="2" spans="1:6" s="36" customFormat="1" ht="26.25" customHeight="1" x14ac:dyDescent="0.3">
      <c r="A2" s="38" t="s">
        <v>28</v>
      </c>
      <c r="B2" s="39" t="s">
        <v>29</v>
      </c>
      <c r="E2" s="40" t="s">
        <v>30</v>
      </c>
      <c r="F2" s="41" t="s">
        <v>95</v>
      </c>
    </row>
    <row r="3" spans="1:6" s="42" customFormat="1" ht="30.75" customHeight="1" x14ac:dyDescent="0.3">
      <c r="A3" s="104" t="s">
        <v>32</v>
      </c>
      <c r="B3" s="104"/>
      <c r="C3" s="104"/>
      <c r="D3" s="104"/>
      <c r="E3" s="104"/>
      <c r="F3" s="104"/>
    </row>
    <row r="4" spans="1:6" s="42" customFormat="1" ht="22.5" customHeight="1" x14ac:dyDescent="0.3">
      <c r="A4" s="106" t="s">
        <v>212</v>
      </c>
      <c r="B4" s="106"/>
      <c r="C4" s="106"/>
      <c r="D4" s="106"/>
      <c r="E4" s="106"/>
      <c r="F4" s="65" t="s">
        <v>96</v>
      </c>
    </row>
    <row r="5" spans="1:6" s="36" customFormat="1" ht="27" customHeight="1" x14ac:dyDescent="0.3">
      <c r="A5" s="107" t="s">
        <v>97</v>
      </c>
      <c r="B5" s="107"/>
      <c r="C5" s="35" t="s">
        <v>98</v>
      </c>
      <c r="D5" s="35" t="s">
        <v>99</v>
      </c>
      <c r="E5" s="108" t="s">
        <v>100</v>
      </c>
      <c r="F5" s="108"/>
    </row>
    <row r="6" spans="1:6" s="36" customFormat="1" ht="19.8" x14ac:dyDescent="0.3">
      <c r="A6" s="128" t="s">
        <v>263</v>
      </c>
      <c r="B6" s="128"/>
      <c r="C6" s="85">
        <v>426</v>
      </c>
      <c r="D6" s="85">
        <v>5819</v>
      </c>
      <c r="E6" s="114">
        <v>1</v>
      </c>
      <c r="F6" s="114"/>
    </row>
    <row r="7" spans="1:6" s="36" customFormat="1" ht="20.399999999999999" x14ac:dyDescent="0.3">
      <c r="A7" s="110" t="s">
        <v>157</v>
      </c>
      <c r="B7" s="110"/>
      <c r="C7" s="85">
        <v>160</v>
      </c>
      <c r="D7" s="85">
        <v>3610</v>
      </c>
      <c r="E7" s="114">
        <v>1</v>
      </c>
      <c r="F7" s="114"/>
    </row>
    <row r="8" spans="1:6" s="36" customFormat="1" ht="20.399999999999999" customHeight="1" x14ac:dyDescent="0.3">
      <c r="A8" s="125" t="s">
        <v>222</v>
      </c>
      <c r="B8" s="49" t="s">
        <v>218</v>
      </c>
      <c r="C8" s="85">
        <v>128</v>
      </c>
      <c r="D8" s="85">
        <v>2726</v>
      </c>
      <c r="E8" s="114">
        <v>0</v>
      </c>
      <c r="F8" s="114"/>
    </row>
    <row r="9" spans="1:6" s="36" customFormat="1" ht="19.8" x14ac:dyDescent="0.3">
      <c r="A9" s="125"/>
      <c r="B9" s="49" t="s">
        <v>223</v>
      </c>
      <c r="C9" s="85">
        <v>52</v>
      </c>
      <c r="D9" s="85">
        <v>596</v>
      </c>
      <c r="E9" s="114">
        <v>0</v>
      </c>
      <c r="F9" s="114"/>
    </row>
    <row r="10" spans="1:6" s="36" customFormat="1" ht="19.8" x14ac:dyDescent="0.3">
      <c r="A10" s="125"/>
      <c r="B10" s="49" t="s">
        <v>224</v>
      </c>
      <c r="C10" s="85">
        <v>11</v>
      </c>
      <c r="D10" s="85">
        <v>67</v>
      </c>
      <c r="E10" s="114">
        <v>0</v>
      </c>
      <c r="F10" s="114"/>
    </row>
    <row r="11" spans="1:6" s="36" customFormat="1" ht="19.8" x14ac:dyDescent="0.3">
      <c r="A11" s="125"/>
      <c r="B11" s="49" t="s">
        <v>225</v>
      </c>
      <c r="C11" s="85">
        <v>16</v>
      </c>
      <c r="D11" s="85">
        <v>199</v>
      </c>
      <c r="E11" s="114">
        <v>0</v>
      </c>
      <c r="F11" s="114"/>
    </row>
    <row r="12" spans="1:6" s="36" customFormat="1" ht="19.8" x14ac:dyDescent="0.3">
      <c r="A12" s="125"/>
      <c r="B12" s="49" t="s">
        <v>226</v>
      </c>
      <c r="C12" s="85">
        <v>27</v>
      </c>
      <c r="D12" s="85">
        <v>1048</v>
      </c>
      <c r="E12" s="114">
        <v>0</v>
      </c>
      <c r="F12" s="114"/>
    </row>
    <row r="13" spans="1:6" s="36" customFormat="1" ht="19.8" x14ac:dyDescent="0.3">
      <c r="A13" s="125"/>
      <c r="B13" s="49" t="s">
        <v>227</v>
      </c>
      <c r="C13" s="85">
        <v>36</v>
      </c>
      <c r="D13" s="85">
        <v>1065</v>
      </c>
      <c r="E13" s="114">
        <v>0</v>
      </c>
      <c r="F13" s="114"/>
    </row>
    <row r="14" spans="1:6" s="36" customFormat="1" ht="19.8" x14ac:dyDescent="0.3">
      <c r="A14" s="125"/>
      <c r="B14" s="49" t="s">
        <v>228</v>
      </c>
      <c r="C14" s="85">
        <v>3</v>
      </c>
      <c r="D14" s="85">
        <v>3</v>
      </c>
      <c r="E14" s="114">
        <v>0</v>
      </c>
      <c r="F14" s="114"/>
    </row>
    <row r="15" spans="1:6" s="36" customFormat="1" ht="20.399999999999999" x14ac:dyDescent="0.3">
      <c r="A15" s="125"/>
      <c r="B15" s="49" t="s">
        <v>242</v>
      </c>
      <c r="C15" s="85">
        <v>1</v>
      </c>
      <c r="D15" s="85">
        <v>61</v>
      </c>
      <c r="E15" s="114">
        <v>0</v>
      </c>
      <c r="F15" s="114"/>
    </row>
    <row r="16" spans="1:6" s="36" customFormat="1" ht="21.9" customHeight="1" x14ac:dyDescent="0.3">
      <c r="A16" s="125" t="s">
        <v>229</v>
      </c>
      <c r="B16" s="49" t="s">
        <v>230</v>
      </c>
      <c r="C16" s="85">
        <v>1</v>
      </c>
      <c r="D16" s="85">
        <v>26</v>
      </c>
      <c r="E16" s="114">
        <v>0</v>
      </c>
      <c r="F16" s="114"/>
    </row>
    <row r="17" spans="1:28" s="36" customFormat="1" ht="21.9" customHeight="1" x14ac:dyDescent="0.3">
      <c r="A17" s="125"/>
      <c r="B17" s="49" t="s">
        <v>231</v>
      </c>
      <c r="C17" s="85">
        <v>0</v>
      </c>
      <c r="D17" s="85">
        <v>0</v>
      </c>
      <c r="E17" s="114">
        <v>0</v>
      </c>
      <c r="F17" s="114"/>
    </row>
    <row r="18" spans="1:28" s="36" customFormat="1" ht="21.9" customHeight="1" x14ac:dyDescent="0.3">
      <c r="A18" s="125"/>
      <c r="B18" s="49" t="s">
        <v>232</v>
      </c>
      <c r="C18" s="85">
        <v>0</v>
      </c>
      <c r="D18" s="85">
        <v>0</v>
      </c>
      <c r="E18" s="114">
        <v>0</v>
      </c>
      <c r="F18" s="114"/>
    </row>
    <row r="19" spans="1:28" s="36" customFormat="1" ht="21.9" customHeight="1" x14ac:dyDescent="0.3">
      <c r="A19" s="125"/>
      <c r="B19" s="49" t="s">
        <v>219</v>
      </c>
      <c r="C19" s="85">
        <v>1</v>
      </c>
      <c r="D19" s="85">
        <v>26</v>
      </c>
      <c r="E19" s="114">
        <v>0</v>
      </c>
      <c r="F19" s="114"/>
    </row>
    <row r="20" spans="1:28" s="36" customFormat="1" ht="19.95" customHeight="1" x14ac:dyDescent="0.3">
      <c r="A20" s="125" t="s">
        <v>233</v>
      </c>
      <c r="B20" s="49" t="s">
        <v>230</v>
      </c>
      <c r="C20" s="85">
        <v>13</v>
      </c>
      <c r="D20" s="85">
        <v>126</v>
      </c>
      <c r="E20" s="114">
        <v>1</v>
      </c>
      <c r="F20" s="114"/>
    </row>
    <row r="21" spans="1:28" s="36" customFormat="1" ht="19.8" x14ac:dyDescent="0.3">
      <c r="A21" s="125"/>
      <c r="B21" s="49" t="s">
        <v>234</v>
      </c>
      <c r="C21" s="85">
        <v>3</v>
      </c>
      <c r="D21" s="85">
        <v>6</v>
      </c>
      <c r="E21" s="114">
        <v>0</v>
      </c>
      <c r="F21" s="114"/>
    </row>
    <row r="22" spans="1:28" s="36" customFormat="1" ht="19.8" x14ac:dyDescent="0.3">
      <c r="A22" s="125"/>
      <c r="B22" s="49" t="s">
        <v>235</v>
      </c>
      <c r="C22" s="85">
        <v>0</v>
      </c>
      <c r="D22" s="85">
        <v>0</v>
      </c>
      <c r="E22" s="114">
        <v>0</v>
      </c>
      <c r="F22" s="114"/>
    </row>
    <row r="23" spans="1:28" s="36" customFormat="1" ht="19.8" x14ac:dyDescent="0.3">
      <c r="A23" s="125"/>
      <c r="B23" s="49" t="s">
        <v>236</v>
      </c>
      <c r="C23" s="85">
        <v>4</v>
      </c>
      <c r="D23" s="85">
        <v>16</v>
      </c>
      <c r="E23" s="114">
        <v>0</v>
      </c>
      <c r="F23" s="114"/>
    </row>
    <row r="24" spans="1:28" s="36" customFormat="1" ht="19.8" x14ac:dyDescent="0.3">
      <c r="A24" s="125"/>
      <c r="B24" s="49" t="s">
        <v>237</v>
      </c>
      <c r="C24" s="85">
        <v>5</v>
      </c>
      <c r="D24" s="85">
        <v>102</v>
      </c>
      <c r="E24" s="114">
        <v>0</v>
      </c>
      <c r="F24" s="114"/>
    </row>
    <row r="25" spans="1:28" s="36" customFormat="1" ht="19.8" x14ac:dyDescent="0.3">
      <c r="A25" s="125"/>
      <c r="B25" s="49" t="s">
        <v>238</v>
      </c>
      <c r="C25" s="85">
        <v>0</v>
      </c>
      <c r="D25" s="85">
        <v>0</v>
      </c>
      <c r="E25" s="114">
        <v>0</v>
      </c>
      <c r="F25" s="114"/>
    </row>
    <row r="26" spans="1:28" s="36" customFormat="1" ht="19.8" x14ac:dyDescent="0.3">
      <c r="A26" s="125"/>
      <c r="B26" s="49" t="s">
        <v>219</v>
      </c>
      <c r="C26" s="85">
        <v>1</v>
      </c>
      <c r="D26" s="85">
        <v>2</v>
      </c>
      <c r="E26" s="114">
        <v>1</v>
      </c>
      <c r="F26" s="114"/>
    </row>
    <row r="27" spans="1:28" s="36" customFormat="1" ht="20.399999999999999" x14ac:dyDescent="0.3">
      <c r="A27" s="110" t="s">
        <v>243</v>
      </c>
      <c r="B27" s="110"/>
      <c r="C27" s="85">
        <v>26</v>
      </c>
      <c r="D27" s="85">
        <v>1656</v>
      </c>
      <c r="E27" s="114">
        <v>0</v>
      </c>
      <c r="F27" s="114"/>
    </row>
    <row r="28" spans="1:28" s="36" customFormat="1" ht="19.8" x14ac:dyDescent="0.3">
      <c r="A28" s="110" t="s">
        <v>239</v>
      </c>
      <c r="B28" s="110"/>
      <c r="C28" s="85">
        <v>266</v>
      </c>
      <c r="D28" s="85">
        <v>2209</v>
      </c>
      <c r="E28" s="114">
        <v>0</v>
      </c>
      <c r="F28" s="114"/>
    </row>
    <row r="29" spans="1:28" s="36" customFormat="1" ht="19.8" x14ac:dyDescent="0.3">
      <c r="A29" s="50"/>
      <c r="B29" s="51" t="s">
        <v>240</v>
      </c>
      <c r="C29" s="85">
        <v>255</v>
      </c>
      <c r="D29" s="85">
        <v>2164</v>
      </c>
      <c r="E29" s="114">
        <v>0</v>
      </c>
      <c r="F29" s="114"/>
    </row>
    <row r="30" spans="1:28" s="36" customFormat="1" ht="19.8" x14ac:dyDescent="0.3">
      <c r="A30" s="52"/>
      <c r="B30" s="51" t="s">
        <v>241</v>
      </c>
      <c r="C30" s="54">
        <v>11</v>
      </c>
      <c r="D30" s="54">
        <v>45</v>
      </c>
      <c r="E30" s="120">
        <v>0</v>
      </c>
      <c r="F30" s="120"/>
    </row>
    <row r="31" spans="1:28" s="57" customFormat="1" ht="23.25" customHeight="1" x14ac:dyDescent="0.3">
      <c r="A31" s="55" t="s">
        <v>61</v>
      </c>
      <c r="B31" s="56"/>
      <c r="C31" s="67" t="s">
        <v>122</v>
      </c>
      <c r="D31" s="67" t="s">
        <v>123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67" t="s">
        <v>124</v>
      </c>
      <c r="E32" s="55"/>
      <c r="H32" s="56"/>
      <c r="I32" s="43"/>
      <c r="J32" s="56"/>
      <c r="K32" s="56"/>
      <c r="L32" s="56"/>
      <c r="M32" s="56"/>
      <c r="N32" s="56"/>
      <c r="O32" s="56"/>
      <c r="P32" s="56"/>
      <c r="Q32" s="56"/>
      <c r="R32" s="56"/>
      <c r="S32" s="56"/>
      <c r="T32" s="56"/>
      <c r="U32" s="56"/>
      <c r="V32" s="56"/>
      <c r="W32" s="56"/>
    </row>
    <row r="33" spans="1:5" s="42" customFormat="1" ht="21" customHeight="1" x14ac:dyDescent="0.3">
      <c r="A33" s="84" t="s">
        <v>255</v>
      </c>
    </row>
    <row r="34" spans="1:5" s="42" customFormat="1" ht="21" customHeight="1" x14ac:dyDescent="0.3">
      <c r="A34" s="59" t="s">
        <v>125</v>
      </c>
      <c r="D34" s="59" t="s">
        <v>130</v>
      </c>
      <c r="E34" s="59"/>
    </row>
    <row r="35" spans="1:5" s="42" customFormat="1" ht="21" customHeight="1" x14ac:dyDescent="0.3">
      <c r="A35" s="59" t="s">
        <v>131</v>
      </c>
      <c r="B35" s="42" t="s">
        <v>194</v>
      </c>
      <c r="D35" s="42" t="s">
        <v>206</v>
      </c>
      <c r="E35" s="59"/>
    </row>
    <row r="36" spans="1:5" s="42" customFormat="1" ht="18.600000000000001" x14ac:dyDescent="0.3">
      <c r="B36" s="42" t="s">
        <v>179</v>
      </c>
      <c r="D36" s="42" t="s">
        <v>207</v>
      </c>
      <c r="E36" s="59"/>
    </row>
    <row r="37" spans="1:5" s="42" customFormat="1" ht="18.600000000000001" x14ac:dyDescent="0.3">
      <c r="B37" s="42" t="s">
        <v>195</v>
      </c>
      <c r="D37" s="42" t="s">
        <v>208</v>
      </c>
      <c r="E37" s="59"/>
    </row>
    <row r="38" spans="1:5" s="42" customFormat="1" ht="18.600000000000001" x14ac:dyDescent="0.3">
      <c r="B38" s="42" t="s">
        <v>196</v>
      </c>
      <c r="D38" s="42" t="s">
        <v>209</v>
      </c>
    </row>
    <row r="39" spans="1:5" s="42" customFormat="1" ht="18.600000000000001" x14ac:dyDescent="0.3">
      <c r="B39" s="42" t="s">
        <v>197</v>
      </c>
    </row>
    <row r="40" spans="1:5" s="42" customFormat="1" ht="18.600000000000001" x14ac:dyDescent="0.3">
      <c r="B40" s="42" t="s">
        <v>198</v>
      </c>
    </row>
    <row r="41" spans="1:5" s="42" customFormat="1" x14ac:dyDescent="0.3"/>
    <row r="42" spans="1:5" s="42" customFormat="1" x14ac:dyDescent="0.3"/>
    <row r="43" spans="1:5" s="42" customFormat="1" x14ac:dyDescent="0.3"/>
    <row r="44" spans="1:5" s="42" customFormat="1" x14ac:dyDescent="0.3"/>
    <row r="45" spans="1:5" s="42" customFormat="1" x14ac:dyDescent="0.3"/>
    <row r="46" spans="1:5" s="42" customFormat="1" x14ac:dyDescent="0.3"/>
    <row r="47" spans="1:5" s="42" customFormat="1" x14ac:dyDescent="0.3"/>
    <row r="48" spans="1:5"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51" bottom="0.39370078740157505" header="0.51" footer="0.39370078740157505"/>
  <pageSetup paperSize="0" firstPageNumber="96" fitToWidth="0" fitToHeight="0" orientation="landscape" useFirstPageNumber="1" horizontalDpi="0" verticalDpi="0" copies="0"/>
  <headerFooter alignWithMargins="0">
    <oddFooter>&amp;C&amp;"Times New Roman,Regular"&amp;P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126</v>
      </c>
    </row>
    <row r="2" spans="1:6" s="36" customFormat="1" ht="26.25" customHeight="1" x14ac:dyDescent="0.3">
      <c r="A2" s="38" t="s">
        <v>28</v>
      </c>
      <c r="B2" s="39" t="s">
        <v>29</v>
      </c>
      <c r="E2" s="40" t="s">
        <v>30</v>
      </c>
      <c r="F2" s="41" t="s">
        <v>95</v>
      </c>
    </row>
    <row r="3" spans="1:6" s="42" customFormat="1" ht="30.75" customHeight="1" x14ac:dyDescent="0.3">
      <c r="A3" s="104" t="s">
        <v>32</v>
      </c>
      <c r="B3" s="104"/>
      <c r="C3" s="104"/>
      <c r="D3" s="104"/>
      <c r="E3" s="104"/>
      <c r="F3" s="104"/>
    </row>
    <row r="4" spans="1:6" s="42" customFormat="1" ht="22.5" customHeight="1" x14ac:dyDescent="0.3">
      <c r="A4" s="106" t="s">
        <v>211</v>
      </c>
      <c r="B4" s="106"/>
      <c r="C4" s="106"/>
      <c r="D4" s="106"/>
      <c r="E4" s="106"/>
      <c r="F4" s="65" t="s">
        <v>96</v>
      </c>
    </row>
    <row r="5" spans="1:6" s="36" customFormat="1" ht="27" customHeight="1" x14ac:dyDescent="0.3">
      <c r="A5" s="107" t="s">
        <v>97</v>
      </c>
      <c r="B5" s="107"/>
      <c r="C5" s="35" t="s">
        <v>98</v>
      </c>
      <c r="D5" s="35" t="s">
        <v>99</v>
      </c>
      <c r="E5" s="108" t="s">
        <v>100</v>
      </c>
      <c r="F5" s="108"/>
    </row>
    <row r="6" spans="1:6" s="36" customFormat="1" ht="19.8" x14ac:dyDescent="0.3">
      <c r="A6" s="128" t="s">
        <v>263</v>
      </c>
      <c r="B6" s="128"/>
      <c r="C6" s="85">
        <f>C7+C28</f>
        <v>503</v>
      </c>
      <c r="D6" s="85">
        <f>D7+D28</f>
        <v>6880</v>
      </c>
      <c r="E6" s="114">
        <v>1</v>
      </c>
      <c r="F6" s="114"/>
    </row>
    <row r="7" spans="1:6" s="36" customFormat="1" ht="20.399999999999999" x14ac:dyDescent="0.3">
      <c r="A7" s="110" t="s">
        <v>157</v>
      </c>
      <c r="B7" s="110"/>
      <c r="C7" s="85">
        <f>C8+C16+C20+C27-1-8-2</f>
        <v>207</v>
      </c>
      <c r="D7" s="85">
        <f>D8+D16+D20+D27-42-174-314</f>
        <v>4651</v>
      </c>
      <c r="E7" s="114">
        <v>1</v>
      </c>
      <c r="F7" s="114"/>
    </row>
    <row r="8" spans="1:6" s="36" customFormat="1" ht="20.399999999999999" customHeight="1" x14ac:dyDescent="0.3">
      <c r="A8" s="125" t="s">
        <v>222</v>
      </c>
      <c r="B8" s="49" t="s">
        <v>218</v>
      </c>
      <c r="C8" s="85">
        <f>SUM(C9:C15)-2-20-3*2</f>
        <v>170</v>
      </c>
      <c r="D8" s="85">
        <f>SUM(D9:D15)-314-848-25*2</f>
        <v>3664</v>
      </c>
      <c r="E8" s="114">
        <v>1</v>
      </c>
      <c r="F8" s="114"/>
    </row>
    <row r="9" spans="1:6" s="36" customFormat="1" ht="19.8" x14ac:dyDescent="0.3">
      <c r="A9" s="125"/>
      <c r="B9" s="49" t="s">
        <v>223</v>
      </c>
      <c r="C9" s="85">
        <v>60</v>
      </c>
      <c r="D9" s="85">
        <v>478</v>
      </c>
      <c r="E9" s="114">
        <v>0</v>
      </c>
      <c r="F9" s="114"/>
    </row>
    <row r="10" spans="1:6" s="36" customFormat="1" ht="19.8" x14ac:dyDescent="0.3">
      <c r="A10" s="125"/>
      <c r="B10" s="49" t="s">
        <v>224</v>
      </c>
      <c r="C10" s="85">
        <v>27</v>
      </c>
      <c r="D10" s="85">
        <v>777</v>
      </c>
      <c r="E10" s="114">
        <v>0</v>
      </c>
      <c r="F10" s="114"/>
    </row>
    <row r="11" spans="1:6" s="36" customFormat="1" ht="19.8" x14ac:dyDescent="0.3">
      <c r="A11" s="125"/>
      <c r="B11" s="49" t="s">
        <v>225</v>
      </c>
      <c r="C11" s="85">
        <v>11</v>
      </c>
      <c r="D11" s="85">
        <v>256</v>
      </c>
      <c r="E11" s="114">
        <v>0</v>
      </c>
      <c r="F11" s="114"/>
    </row>
    <row r="12" spans="1:6" s="36" customFormat="1" ht="19.8" x14ac:dyDescent="0.3">
      <c r="A12" s="125"/>
      <c r="B12" s="49" t="s">
        <v>226</v>
      </c>
      <c r="C12" s="85">
        <v>41</v>
      </c>
      <c r="D12" s="85">
        <v>902</v>
      </c>
      <c r="E12" s="114">
        <v>0</v>
      </c>
      <c r="F12" s="114"/>
    </row>
    <row r="13" spans="1:6" s="36" customFormat="1" ht="19.8" x14ac:dyDescent="0.3">
      <c r="A13" s="125"/>
      <c r="B13" s="49" t="s">
        <v>227</v>
      </c>
      <c r="C13" s="85">
        <v>46</v>
      </c>
      <c r="D13" s="85">
        <v>1982</v>
      </c>
      <c r="E13" s="114">
        <v>0</v>
      </c>
      <c r="F13" s="114"/>
    </row>
    <row r="14" spans="1:6" s="36" customFormat="1" ht="19.8" x14ac:dyDescent="0.3">
      <c r="A14" s="125"/>
      <c r="B14" s="49" t="s">
        <v>228</v>
      </c>
      <c r="C14" s="85">
        <v>8</v>
      </c>
      <c r="D14" s="85">
        <v>11</v>
      </c>
      <c r="E14" s="114">
        <v>1</v>
      </c>
      <c r="F14" s="114"/>
    </row>
    <row r="15" spans="1:6" s="36" customFormat="1" ht="20.399999999999999" x14ac:dyDescent="0.3">
      <c r="A15" s="125"/>
      <c r="B15" s="49" t="s">
        <v>242</v>
      </c>
      <c r="C15" s="85">
        <v>5</v>
      </c>
      <c r="D15" s="85">
        <v>470</v>
      </c>
      <c r="E15" s="114">
        <v>0</v>
      </c>
      <c r="F15" s="114"/>
    </row>
    <row r="16" spans="1:6" s="36" customFormat="1" ht="21.9" customHeight="1" x14ac:dyDescent="0.3">
      <c r="A16" s="125" t="s">
        <v>229</v>
      </c>
      <c r="B16" s="49" t="s">
        <v>230</v>
      </c>
      <c r="C16" s="85">
        <f>SUM(C17:C19)</f>
        <v>2</v>
      </c>
      <c r="D16" s="85">
        <f>SUM(D17:D19)</f>
        <v>10</v>
      </c>
      <c r="E16" s="114">
        <v>0</v>
      </c>
      <c r="F16" s="114"/>
    </row>
    <row r="17" spans="1:28" s="36" customFormat="1" ht="21.9" customHeight="1" x14ac:dyDescent="0.3">
      <c r="A17" s="125"/>
      <c r="B17" s="49" t="s">
        <v>231</v>
      </c>
      <c r="C17" s="85">
        <v>1</v>
      </c>
      <c r="D17" s="85">
        <v>6</v>
      </c>
      <c r="E17" s="114">
        <v>0</v>
      </c>
      <c r="F17" s="114"/>
    </row>
    <row r="18" spans="1:28" s="36" customFormat="1" ht="21.9" customHeight="1" x14ac:dyDescent="0.3">
      <c r="A18" s="125"/>
      <c r="B18" s="49" t="s">
        <v>232</v>
      </c>
      <c r="C18" s="85">
        <v>0</v>
      </c>
      <c r="D18" s="85">
        <v>0</v>
      </c>
      <c r="E18" s="114">
        <v>0</v>
      </c>
      <c r="F18" s="114"/>
    </row>
    <row r="19" spans="1:28" s="36" customFormat="1" ht="21.9" customHeight="1" x14ac:dyDescent="0.3">
      <c r="A19" s="125"/>
      <c r="B19" s="49" t="s">
        <v>219</v>
      </c>
      <c r="C19" s="85">
        <v>1</v>
      </c>
      <c r="D19" s="85">
        <v>4</v>
      </c>
      <c r="E19" s="114">
        <v>0</v>
      </c>
      <c r="F19" s="114"/>
    </row>
    <row r="20" spans="1:28" s="36" customFormat="1" ht="19.95" customHeight="1" x14ac:dyDescent="0.3">
      <c r="A20" s="125" t="s">
        <v>233</v>
      </c>
      <c r="B20" s="49" t="s">
        <v>230</v>
      </c>
      <c r="C20" s="85">
        <f>SUM(C21:C26)</f>
        <v>11</v>
      </c>
      <c r="D20" s="85">
        <f>SUM(D21:D26)</f>
        <v>226</v>
      </c>
      <c r="E20" s="114">
        <v>0</v>
      </c>
      <c r="F20" s="114"/>
    </row>
    <row r="21" spans="1:28" s="36" customFormat="1" ht="19.8" x14ac:dyDescent="0.3">
      <c r="A21" s="125"/>
      <c r="B21" s="49" t="s">
        <v>234</v>
      </c>
      <c r="C21" s="85">
        <v>3</v>
      </c>
      <c r="D21" s="85">
        <v>9</v>
      </c>
      <c r="E21" s="114">
        <v>0</v>
      </c>
      <c r="F21" s="114"/>
    </row>
    <row r="22" spans="1:28" s="36" customFormat="1" ht="19.8" x14ac:dyDescent="0.3">
      <c r="A22" s="125"/>
      <c r="B22" s="49" t="s">
        <v>235</v>
      </c>
      <c r="C22" s="85">
        <v>0</v>
      </c>
      <c r="D22" s="85">
        <v>0</v>
      </c>
      <c r="E22" s="114">
        <v>0</v>
      </c>
      <c r="F22" s="114"/>
    </row>
    <row r="23" spans="1:28" s="36" customFormat="1" ht="19.8" x14ac:dyDescent="0.3">
      <c r="A23" s="125"/>
      <c r="B23" s="49" t="s">
        <v>236</v>
      </c>
      <c r="C23" s="85">
        <v>0</v>
      </c>
      <c r="D23" s="85">
        <v>0</v>
      </c>
      <c r="E23" s="114">
        <v>0</v>
      </c>
      <c r="F23" s="114"/>
    </row>
    <row r="24" spans="1:28" s="36" customFormat="1" ht="19.8" x14ac:dyDescent="0.3">
      <c r="A24" s="125"/>
      <c r="B24" s="49" t="s">
        <v>237</v>
      </c>
      <c r="C24" s="85">
        <v>8</v>
      </c>
      <c r="D24" s="85">
        <v>217</v>
      </c>
      <c r="E24" s="114">
        <v>0</v>
      </c>
      <c r="F24" s="114"/>
    </row>
    <row r="25" spans="1:28" s="36" customFormat="1" ht="19.8" x14ac:dyDescent="0.3">
      <c r="A25" s="125"/>
      <c r="B25" s="49" t="s">
        <v>238</v>
      </c>
      <c r="C25" s="85">
        <v>0</v>
      </c>
      <c r="D25" s="85">
        <v>0</v>
      </c>
      <c r="E25" s="114">
        <v>0</v>
      </c>
      <c r="F25" s="114"/>
    </row>
    <row r="26" spans="1:28" s="36" customFormat="1" ht="19.8" x14ac:dyDescent="0.3">
      <c r="A26" s="125"/>
      <c r="B26" s="49" t="s">
        <v>219</v>
      </c>
      <c r="C26" s="85">
        <v>0</v>
      </c>
      <c r="D26" s="85">
        <v>0</v>
      </c>
      <c r="E26" s="114">
        <v>0</v>
      </c>
      <c r="F26" s="114"/>
    </row>
    <row r="27" spans="1:28" s="36" customFormat="1" ht="20.399999999999999" x14ac:dyDescent="0.3">
      <c r="A27" s="110" t="s">
        <v>243</v>
      </c>
      <c r="B27" s="110"/>
      <c r="C27" s="85">
        <v>35</v>
      </c>
      <c r="D27" s="85">
        <v>1281</v>
      </c>
      <c r="E27" s="114">
        <v>0</v>
      </c>
      <c r="F27" s="114"/>
    </row>
    <row r="28" spans="1:28" s="36" customFormat="1" ht="19.8" x14ac:dyDescent="0.3">
      <c r="A28" s="110" t="s">
        <v>239</v>
      </c>
      <c r="B28" s="110"/>
      <c r="C28" s="85">
        <v>296</v>
      </c>
      <c r="D28" s="85">
        <v>2229</v>
      </c>
      <c r="E28" s="114">
        <v>0</v>
      </c>
      <c r="F28" s="114"/>
    </row>
    <row r="29" spans="1:28" s="36" customFormat="1" ht="19.8" x14ac:dyDescent="0.3">
      <c r="A29" s="50"/>
      <c r="B29" s="51" t="s">
        <v>240</v>
      </c>
      <c r="C29" s="85">
        <v>285</v>
      </c>
      <c r="D29" s="85">
        <v>2181</v>
      </c>
      <c r="E29" s="114">
        <v>0</v>
      </c>
      <c r="F29" s="114"/>
    </row>
    <row r="30" spans="1:28" s="36" customFormat="1" ht="19.8" x14ac:dyDescent="0.3">
      <c r="A30" s="52"/>
      <c r="B30" s="51" t="s">
        <v>241</v>
      </c>
      <c r="C30" s="54">
        <v>11</v>
      </c>
      <c r="D30" s="54">
        <v>48</v>
      </c>
      <c r="E30" s="120">
        <v>0</v>
      </c>
      <c r="F30" s="120"/>
    </row>
    <row r="31" spans="1:28" s="57" customFormat="1" ht="23.25" customHeight="1" x14ac:dyDescent="0.3">
      <c r="A31" s="55" t="s">
        <v>61</v>
      </c>
      <c r="B31" s="56"/>
      <c r="C31" s="67" t="s">
        <v>122</v>
      </c>
      <c r="D31" s="67" t="s">
        <v>123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67" t="s">
        <v>124</v>
      </c>
      <c r="E32" s="55"/>
      <c r="H32" s="56"/>
      <c r="I32" s="43"/>
      <c r="J32" s="56"/>
      <c r="K32" s="56"/>
      <c r="L32" s="56"/>
      <c r="M32" s="56"/>
      <c r="N32" s="56"/>
      <c r="O32" s="56"/>
      <c r="P32" s="56"/>
      <c r="Q32" s="56"/>
      <c r="R32" s="56"/>
      <c r="S32" s="56"/>
      <c r="T32" s="56"/>
      <c r="U32" s="56"/>
      <c r="V32" s="56"/>
      <c r="W32" s="56"/>
    </row>
    <row r="33" spans="1:4" s="42" customFormat="1" ht="21" customHeight="1" x14ac:dyDescent="0.3">
      <c r="A33" s="84" t="s">
        <v>255</v>
      </c>
    </row>
    <row r="34" spans="1:4" s="42" customFormat="1" ht="21" customHeight="1" x14ac:dyDescent="0.3">
      <c r="A34" s="59" t="s">
        <v>125</v>
      </c>
    </row>
    <row r="35" spans="1:4" s="42" customFormat="1" ht="21" customHeight="1" x14ac:dyDescent="0.3">
      <c r="A35" s="59" t="s">
        <v>131</v>
      </c>
      <c r="B35" s="42" t="s">
        <v>190</v>
      </c>
      <c r="D35" s="59" t="s">
        <v>130</v>
      </c>
    </row>
    <row r="36" spans="1:4" s="42" customFormat="1" ht="18.600000000000001" x14ac:dyDescent="0.3">
      <c r="B36" s="42" t="s">
        <v>191</v>
      </c>
      <c r="D36" s="42" t="s">
        <v>200</v>
      </c>
    </row>
    <row r="37" spans="1:4" s="42" customFormat="1" ht="18.600000000000001" x14ac:dyDescent="0.3">
      <c r="B37" s="42" t="s">
        <v>192</v>
      </c>
      <c r="D37" s="42" t="s">
        <v>201</v>
      </c>
    </row>
    <row r="38" spans="1:4" s="42" customFormat="1" ht="18.600000000000001" x14ac:dyDescent="0.3">
      <c r="B38" s="42" t="s">
        <v>199</v>
      </c>
      <c r="D38" s="42" t="s">
        <v>202</v>
      </c>
    </row>
    <row r="39" spans="1:4" s="42" customFormat="1" ht="16.2" x14ac:dyDescent="0.3">
      <c r="D39" s="42" t="s">
        <v>203</v>
      </c>
    </row>
    <row r="40" spans="1:4" s="42" customFormat="1" ht="16.2" x14ac:dyDescent="0.3">
      <c r="D40" s="42" t="s">
        <v>204</v>
      </c>
    </row>
    <row r="41" spans="1:4" s="42" customFormat="1" x14ac:dyDescent="0.3"/>
    <row r="42" spans="1:4" s="42" customFormat="1" x14ac:dyDescent="0.3"/>
    <row r="43" spans="1:4" s="42" customFormat="1" x14ac:dyDescent="0.3"/>
    <row r="44" spans="1:4" s="42" customFormat="1" x14ac:dyDescent="0.3"/>
    <row r="45" spans="1:4" s="42" customFormat="1" x14ac:dyDescent="0.3"/>
    <row r="46" spans="1:4" s="42" customFormat="1" x14ac:dyDescent="0.3"/>
    <row r="47" spans="1:4" s="42" customFormat="1" x14ac:dyDescent="0.3"/>
    <row r="48" spans="1:4"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51" bottom="0.39370078740157505" header="0.51" footer="0.39370078740157505"/>
  <pageSetup paperSize="9" firstPageNumber="96" fitToWidth="0" fitToHeight="0" orientation="landscape" useFirstPageNumber="1" verticalDpi="0" r:id="rId1"/>
  <headerFooter alignWithMargins="0">
    <oddFooter>&amp;C&amp;"Times New Roman,Regular"&amp;P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59"/>
  <sheetViews>
    <sheetView workbookViewId="0">
      <selection activeCell="A6" sqref="A6:B6"/>
    </sheetView>
  </sheetViews>
  <sheetFormatPr defaultColWidth="9" defaultRowHeight="15.6" x14ac:dyDescent="0.3"/>
  <cols>
    <col min="1" max="1" width="12" style="63" customWidth="1"/>
    <col min="2" max="2" width="43" style="63" customWidth="1"/>
    <col min="3" max="3" width="37.33203125" style="63" customWidth="1"/>
    <col min="4" max="4" width="38.44140625" style="63" customWidth="1"/>
    <col min="5" max="5" width="11.33203125" style="63" customWidth="1"/>
    <col min="6" max="6" width="30.6640625" style="63" customWidth="1"/>
    <col min="7" max="7" width="11.33203125" style="63" bestFit="1" customWidth="1"/>
    <col min="8" max="8" width="9" style="63" customWidth="1"/>
    <col min="9" max="16384" width="9" style="63"/>
  </cols>
  <sheetData>
    <row r="1" spans="1:6" s="36" customFormat="1" ht="24.75" customHeight="1" x14ac:dyDescent="0.3">
      <c r="A1" s="35" t="s">
        <v>25</v>
      </c>
      <c r="E1" s="37" t="s">
        <v>26</v>
      </c>
      <c r="F1" s="37" t="s">
        <v>126</v>
      </c>
    </row>
    <row r="2" spans="1:6" s="36" customFormat="1" ht="26.25" customHeight="1" x14ac:dyDescent="0.3">
      <c r="A2" s="38" t="s">
        <v>28</v>
      </c>
      <c r="B2" s="39" t="s">
        <v>29</v>
      </c>
      <c r="E2" s="40" t="s">
        <v>30</v>
      </c>
      <c r="F2" s="41" t="s">
        <v>95</v>
      </c>
    </row>
    <row r="3" spans="1:6" s="42" customFormat="1" ht="30.75" customHeight="1" x14ac:dyDescent="0.3">
      <c r="A3" s="104" t="s">
        <v>32</v>
      </c>
      <c r="B3" s="104"/>
      <c r="C3" s="104"/>
      <c r="D3" s="104"/>
      <c r="E3" s="104"/>
      <c r="F3" s="104"/>
    </row>
    <row r="4" spans="1:6" s="42" customFormat="1" ht="22.5" customHeight="1" x14ac:dyDescent="0.3">
      <c r="A4" s="134" t="s">
        <v>214</v>
      </c>
      <c r="B4" s="106"/>
      <c r="C4" s="106"/>
      <c r="D4" s="106"/>
      <c r="E4" s="106"/>
      <c r="F4" s="65" t="s">
        <v>96</v>
      </c>
    </row>
    <row r="5" spans="1:6" s="36" customFormat="1" ht="35.1" customHeight="1" x14ac:dyDescent="0.3">
      <c r="A5" s="107" t="s">
        <v>97</v>
      </c>
      <c r="B5" s="107"/>
      <c r="C5" s="35" t="s">
        <v>98</v>
      </c>
      <c r="D5" s="35" t="s">
        <v>99</v>
      </c>
      <c r="E5" s="108" t="s">
        <v>100</v>
      </c>
      <c r="F5" s="108"/>
    </row>
    <row r="6" spans="1:6" s="36" customFormat="1" ht="19.8" x14ac:dyDescent="0.3">
      <c r="A6" s="128" t="s">
        <v>263</v>
      </c>
      <c r="B6" s="128"/>
      <c r="C6" s="85">
        <f>C8+C16+C20+C28</f>
        <v>351</v>
      </c>
      <c r="D6" s="85">
        <v>4642</v>
      </c>
      <c r="E6" s="111">
        <v>0</v>
      </c>
      <c r="F6" s="111"/>
    </row>
    <row r="7" spans="1:6" s="36" customFormat="1" ht="19.8" x14ac:dyDescent="0.3">
      <c r="A7" s="110" t="s">
        <v>221</v>
      </c>
      <c r="B7" s="110"/>
      <c r="C7" s="85">
        <v>131</v>
      </c>
      <c r="D7" s="85">
        <v>2766</v>
      </c>
      <c r="E7" s="114">
        <v>0</v>
      </c>
      <c r="F7" s="114"/>
    </row>
    <row r="8" spans="1:6" s="36" customFormat="1" ht="19.95" customHeight="1" x14ac:dyDescent="0.3">
      <c r="A8" s="125" t="s">
        <v>222</v>
      </c>
      <c r="B8" s="48" t="s">
        <v>135</v>
      </c>
      <c r="C8" s="85">
        <v>125</v>
      </c>
      <c r="D8" s="85">
        <v>2564</v>
      </c>
      <c r="E8" s="114">
        <v>0</v>
      </c>
      <c r="F8" s="114"/>
    </row>
    <row r="9" spans="1:6" s="36" customFormat="1" ht="19.8" x14ac:dyDescent="0.3">
      <c r="A9" s="125"/>
      <c r="B9" s="49" t="s">
        <v>223</v>
      </c>
      <c r="C9" s="85">
        <v>61</v>
      </c>
      <c r="D9" s="85">
        <v>1191</v>
      </c>
      <c r="E9" s="114">
        <v>0</v>
      </c>
      <c r="F9" s="114"/>
    </row>
    <row r="10" spans="1:6" s="36" customFormat="1" ht="19.8" x14ac:dyDescent="0.3">
      <c r="A10" s="125"/>
      <c r="B10" s="49" t="s">
        <v>224</v>
      </c>
      <c r="C10" s="85">
        <v>22</v>
      </c>
      <c r="D10" s="85">
        <v>472</v>
      </c>
      <c r="E10" s="114">
        <v>0</v>
      </c>
      <c r="F10" s="114"/>
    </row>
    <row r="11" spans="1:6" s="36" customFormat="1" ht="19.8" x14ac:dyDescent="0.3">
      <c r="A11" s="125"/>
      <c r="B11" s="49" t="s">
        <v>225</v>
      </c>
      <c r="C11" s="85">
        <v>10</v>
      </c>
      <c r="D11" s="85">
        <v>171</v>
      </c>
      <c r="E11" s="114">
        <v>0</v>
      </c>
      <c r="F11" s="114"/>
    </row>
    <row r="12" spans="1:6" s="36" customFormat="1" ht="19.8" x14ac:dyDescent="0.3">
      <c r="A12" s="125"/>
      <c r="B12" s="49" t="s">
        <v>226</v>
      </c>
      <c r="C12" s="85">
        <v>30</v>
      </c>
      <c r="D12" s="85">
        <v>969</v>
      </c>
      <c r="E12" s="114">
        <v>0</v>
      </c>
      <c r="F12" s="114"/>
    </row>
    <row r="13" spans="1:6" s="36" customFormat="1" ht="19.8" x14ac:dyDescent="0.3">
      <c r="A13" s="125"/>
      <c r="B13" s="49" t="s">
        <v>227</v>
      </c>
      <c r="C13" s="85">
        <v>11</v>
      </c>
      <c r="D13" s="85">
        <v>282</v>
      </c>
      <c r="E13" s="114">
        <v>0</v>
      </c>
      <c r="F13" s="114"/>
    </row>
    <row r="14" spans="1:6" s="36" customFormat="1" ht="19.8" x14ac:dyDescent="0.3">
      <c r="A14" s="125"/>
      <c r="B14" s="49" t="s">
        <v>228</v>
      </c>
      <c r="C14" s="85">
        <v>1</v>
      </c>
      <c r="D14" s="85">
        <v>1</v>
      </c>
      <c r="E14" s="114">
        <v>0</v>
      </c>
      <c r="F14" s="114"/>
    </row>
    <row r="15" spans="1:6" s="36" customFormat="1" ht="19.8" x14ac:dyDescent="0.3">
      <c r="A15" s="125"/>
      <c r="B15" s="49" t="s">
        <v>219</v>
      </c>
      <c r="C15" s="85">
        <v>6</v>
      </c>
      <c r="D15" s="85">
        <v>86</v>
      </c>
      <c r="E15" s="114">
        <v>0</v>
      </c>
      <c r="F15" s="114"/>
    </row>
    <row r="16" spans="1:6" s="36" customFormat="1" ht="21.9" customHeight="1" x14ac:dyDescent="0.3">
      <c r="A16" s="125" t="s">
        <v>229</v>
      </c>
      <c r="B16" s="49" t="s">
        <v>230</v>
      </c>
      <c r="C16" s="85">
        <v>3</v>
      </c>
      <c r="D16" s="85">
        <v>134</v>
      </c>
      <c r="E16" s="114">
        <v>0</v>
      </c>
      <c r="F16" s="114"/>
    </row>
    <row r="17" spans="1:28" s="36" customFormat="1" ht="21.9" customHeight="1" x14ac:dyDescent="0.3">
      <c r="A17" s="125"/>
      <c r="B17" s="49" t="s">
        <v>231</v>
      </c>
      <c r="C17" s="85">
        <v>0</v>
      </c>
      <c r="D17" s="85">
        <v>0</v>
      </c>
      <c r="E17" s="114">
        <v>0</v>
      </c>
      <c r="F17" s="114"/>
    </row>
    <row r="18" spans="1:28" s="36" customFormat="1" ht="21.9" customHeight="1" x14ac:dyDescent="0.3">
      <c r="A18" s="125"/>
      <c r="B18" s="49" t="s">
        <v>232</v>
      </c>
      <c r="C18" s="85">
        <v>0</v>
      </c>
      <c r="D18" s="85">
        <v>0</v>
      </c>
      <c r="E18" s="114">
        <v>0</v>
      </c>
      <c r="F18" s="114"/>
    </row>
    <row r="19" spans="1:28" s="36" customFormat="1" ht="21.9" customHeight="1" x14ac:dyDescent="0.3">
      <c r="A19" s="125"/>
      <c r="B19" s="49" t="s">
        <v>219</v>
      </c>
      <c r="C19" s="85">
        <v>3</v>
      </c>
      <c r="D19" s="85">
        <v>134</v>
      </c>
      <c r="E19" s="114">
        <v>0</v>
      </c>
      <c r="F19" s="114"/>
    </row>
    <row r="20" spans="1:28" s="36" customFormat="1" ht="19.95" customHeight="1" x14ac:dyDescent="0.3">
      <c r="A20" s="125" t="s">
        <v>233</v>
      </c>
      <c r="B20" s="49" t="s">
        <v>230</v>
      </c>
      <c r="C20" s="85">
        <v>3</v>
      </c>
      <c r="D20" s="85">
        <v>68</v>
      </c>
      <c r="E20" s="114">
        <v>0</v>
      </c>
      <c r="F20" s="114"/>
    </row>
    <row r="21" spans="1:28" s="36" customFormat="1" ht="19.8" x14ac:dyDescent="0.3">
      <c r="A21" s="125"/>
      <c r="B21" s="49" t="s">
        <v>234</v>
      </c>
      <c r="C21" s="85">
        <v>0</v>
      </c>
      <c r="D21" s="85">
        <v>0</v>
      </c>
      <c r="E21" s="114">
        <v>0</v>
      </c>
      <c r="F21" s="114"/>
    </row>
    <row r="22" spans="1:28" s="36" customFormat="1" ht="19.8" x14ac:dyDescent="0.3">
      <c r="A22" s="125"/>
      <c r="B22" s="49" t="s">
        <v>235</v>
      </c>
      <c r="C22" s="85">
        <v>0</v>
      </c>
      <c r="D22" s="85">
        <v>0</v>
      </c>
      <c r="E22" s="114">
        <v>0</v>
      </c>
      <c r="F22" s="114"/>
    </row>
    <row r="23" spans="1:28" s="36" customFormat="1" ht="19.8" x14ac:dyDescent="0.3">
      <c r="A23" s="125"/>
      <c r="B23" s="49" t="s">
        <v>236</v>
      </c>
      <c r="C23" s="85">
        <v>2</v>
      </c>
      <c r="D23" s="85">
        <v>13</v>
      </c>
      <c r="E23" s="114">
        <v>0</v>
      </c>
      <c r="F23" s="114"/>
    </row>
    <row r="24" spans="1:28" s="36" customFormat="1" ht="19.8" x14ac:dyDescent="0.3">
      <c r="A24" s="125"/>
      <c r="B24" s="49" t="s">
        <v>237</v>
      </c>
      <c r="C24" s="85">
        <v>1</v>
      </c>
      <c r="D24" s="85">
        <v>55</v>
      </c>
      <c r="E24" s="114">
        <v>0</v>
      </c>
      <c r="F24" s="114"/>
    </row>
    <row r="25" spans="1:28" s="36" customFormat="1" ht="19.8" x14ac:dyDescent="0.3">
      <c r="A25" s="125"/>
      <c r="B25" s="49" t="s">
        <v>238</v>
      </c>
      <c r="C25" s="85">
        <v>0</v>
      </c>
      <c r="D25" s="85">
        <v>0</v>
      </c>
      <c r="E25" s="114">
        <v>0</v>
      </c>
      <c r="F25" s="114"/>
    </row>
    <row r="26" spans="1:28" s="36" customFormat="1" ht="19.8" x14ac:dyDescent="0.3">
      <c r="A26" s="125"/>
      <c r="B26" s="49" t="s">
        <v>219</v>
      </c>
      <c r="C26" s="85">
        <v>0</v>
      </c>
      <c r="D26" s="85">
        <v>0</v>
      </c>
      <c r="E26" s="114">
        <v>0</v>
      </c>
      <c r="F26" s="114"/>
    </row>
    <row r="27" spans="1:28" s="36" customFormat="1" ht="19.8" x14ac:dyDescent="0.3">
      <c r="A27" s="110" t="s">
        <v>220</v>
      </c>
      <c r="B27" s="110"/>
      <c r="C27" s="85">
        <v>0</v>
      </c>
      <c r="D27" s="85">
        <v>0</v>
      </c>
      <c r="E27" s="114">
        <v>0</v>
      </c>
      <c r="F27" s="114"/>
    </row>
    <row r="28" spans="1:28" s="36" customFormat="1" ht="19.8" x14ac:dyDescent="0.3">
      <c r="A28" s="110" t="s">
        <v>239</v>
      </c>
      <c r="B28" s="110"/>
      <c r="C28" s="85">
        <v>220</v>
      </c>
      <c r="D28" s="85">
        <v>1876</v>
      </c>
      <c r="E28" s="114">
        <v>0</v>
      </c>
      <c r="F28" s="114"/>
    </row>
    <row r="29" spans="1:28" s="36" customFormat="1" ht="19.8" x14ac:dyDescent="0.3">
      <c r="A29" s="50"/>
      <c r="B29" s="51" t="s">
        <v>240</v>
      </c>
      <c r="C29" s="85">
        <v>198</v>
      </c>
      <c r="D29" s="85">
        <v>1651</v>
      </c>
      <c r="E29" s="114">
        <v>0</v>
      </c>
      <c r="F29" s="114"/>
    </row>
    <row r="30" spans="1:28" s="36" customFormat="1" ht="19.8" x14ac:dyDescent="0.3">
      <c r="A30" s="52"/>
      <c r="B30" s="51" t="s">
        <v>241</v>
      </c>
      <c r="C30" s="54">
        <v>22</v>
      </c>
      <c r="D30" s="54">
        <v>225</v>
      </c>
      <c r="E30" s="120">
        <v>0</v>
      </c>
      <c r="F30" s="120"/>
    </row>
    <row r="31" spans="1:28" s="57" customFormat="1" ht="23.25" customHeight="1" x14ac:dyDescent="0.3">
      <c r="A31" s="55" t="s">
        <v>61</v>
      </c>
      <c r="B31" s="56"/>
      <c r="C31" s="67" t="s">
        <v>122</v>
      </c>
      <c r="D31" s="67" t="s">
        <v>123</v>
      </c>
      <c r="E31" s="55" t="s">
        <v>64</v>
      </c>
      <c r="F31" s="55"/>
      <c r="H31" s="56"/>
      <c r="I31" s="43"/>
      <c r="J31" s="56"/>
      <c r="M31" s="56"/>
      <c r="N31" s="56"/>
      <c r="O31" s="56"/>
      <c r="P31" s="56"/>
      <c r="R31" s="56"/>
      <c r="S31" s="56"/>
      <c r="T31" s="56"/>
      <c r="U31" s="56"/>
      <c r="Z31" s="56"/>
      <c r="AB31" s="58"/>
    </row>
    <row r="32" spans="1:28" s="57" customFormat="1" ht="22.5" customHeight="1" x14ac:dyDescent="0.3">
      <c r="A32" s="56"/>
      <c r="B32" s="56"/>
      <c r="C32" s="55"/>
      <c r="D32" s="67" t="s">
        <v>124</v>
      </c>
      <c r="E32" s="55"/>
      <c r="H32" s="56"/>
      <c r="I32" s="43"/>
      <c r="J32" s="56"/>
      <c r="K32" s="56"/>
      <c r="L32" s="56"/>
      <c r="M32" s="56"/>
      <c r="N32" s="56"/>
      <c r="O32" s="56"/>
      <c r="P32" s="56"/>
      <c r="Q32" s="56"/>
      <c r="R32" s="56"/>
      <c r="S32" s="56"/>
      <c r="T32" s="56"/>
      <c r="U32" s="56"/>
      <c r="V32" s="56"/>
      <c r="W32" s="56"/>
    </row>
    <row r="33" spans="1:1" s="42" customFormat="1" ht="21" customHeight="1" x14ac:dyDescent="0.3">
      <c r="A33" s="84" t="s">
        <v>255</v>
      </c>
    </row>
    <row r="34" spans="1:1" s="42" customFormat="1" ht="21" customHeight="1" x14ac:dyDescent="0.3">
      <c r="A34" s="59" t="s">
        <v>125</v>
      </c>
    </row>
    <row r="35" spans="1:1" s="42" customFormat="1" ht="21" customHeight="1" x14ac:dyDescent="0.3">
      <c r="A35" s="59" t="s">
        <v>132</v>
      </c>
    </row>
    <row r="36" spans="1:1" s="42" customFormat="1" x14ac:dyDescent="0.3"/>
    <row r="37" spans="1:1" s="42" customFormat="1" x14ac:dyDescent="0.3"/>
    <row r="38" spans="1:1" s="42" customFormat="1" x14ac:dyDescent="0.3"/>
    <row r="39" spans="1:1" s="42" customFormat="1" x14ac:dyDescent="0.3"/>
    <row r="40" spans="1:1" s="42" customFormat="1" x14ac:dyDescent="0.3"/>
    <row r="41" spans="1:1" s="42" customFormat="1" x14ac:dyDescent="0.3"/>
    <row r="42" spans="1:1" s="42" customFormat="1" x14ac:dyDescent="0.3"/>
    <row r="43" spans="1:1" s="42" customFormat="1" x14ac:dyDescent="0.3"/>
    <row r="44" spans="1:1" s="42" customFormat="1" x14ac:dyDescent="0.3"/>
    <row r="45" spans="1:1" s="42" customFormat="1" x14ac:dyDescent="0.3"/>
    <row r="46" spans="1:1" s="42" customFormat="1" x14ac:dyDescent="0.3"/>
    <row r="47" spans="1:1" s="42" customFormat="1" x14ac:dyDescent="0.3"/>
    <row r="48" spans="1:1" s="42" customFormat="1" x14ac:dyDescent="0.3"/>
    <row r="49" s="42" customFormat="1" x14ac:dyDescent="0.3"/>
    <row r="50" s="42" customFormat="1" x14ac:dyDescent="0.3"/>
    <row r="51" s="42" customFormat="1" x14ac:dyDescent="0.3"/>
    <row r="52" s="42" customFormat="1" x14ac:dyDescent="0.3"/>
    <row r="53" s="42" customFormat="1" x14ac:dyDescent="0.3"/>
    <row r="54" s="42" customFormat="1" x14ac:dyDescent="0.3"/>
    <row r="55" s="42" customFormat="1" x14ac:dyDescent="0.3"/>
    <row r="56" s="42" customFormat="1" x14ac:dyDescent="0.3"/>
    <row r="57" s="42" customFormat="1" x14ac:dyDescent="0.3"/>
    <row r="58" s="42" customFormat="1" x14ac:dyDescent="0.3"/>
    <row r="59" s="42"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55118110236220452" bottom="0.39370078740157505" header="0.511811023622047" footer="0.39370078740157505"/>
  <pageSetup paperSize="0" firstPageNumber="96" fitToWidth="0" fitToHeight="0" orientation="landscape" useFirstPageNumber="1" horizontalDpi="0" verticalDpi="0" copies="0"/>
  <headerFooter alignWithMargins="0">
    <oddFooter>&amp;C&amp;"Times New Roman,Regular"&amp;P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59"/>
  <sheetViews>
    <sheetView workbookViewId="0">
      <selection activeCell="A6" sqref="A6:B6"/>
    </sheetView>
  </sheetViews>
  <sheetFormatPr defaultRowHeight="16.2" x14ac:dyDescent="0.3"/>
  <cols>
    <col min="1" max="1" width="12" customWidth="1"/>
    <col min="2" max="2" width="43" customWidth="1"/>
    <col min="3" max="3" width="37.33203125" customWidth="1"/>
    <col min="4" max="4" width="38.44140625" customWidth="1"/>
    <col min="5" max="5" width="11.33203125" customWidth="1"/>
    <col min="6" max="6" width="30.6640625" customWidth="1"/>
    <col min="7" max="7" width="11.33203125" bestFit="1" customWidth="1"/>
    <col min="8" max="8" width="9" customWidth="1"/>
    <col min="9" max="9" width="8.88671875" customWidth="1"/>
  </cols>
  <sheetData>
    <row r="1" spans="1:6" s="39" customFormat="1" ht="24.75" customHeight="1" x14ac:dyDescent="0.3">
      <c r="A1" s="35" t="s">
        <v>25</v>
      </c>
      <c r="E1" s="37" t="s">
        <v>26</v>
      </c>
      <c r="F1" s="37" t="s">
        <v>133</v>
      </c>
    </row>
    <row r="2" spans="1:6" s="39" customFormat="1" ht="26.25" customHeight="1" x14ac:dyDescent="0.3">
      <c r="A2" s="38" t="s">
        <v>28</v>
      </c>
      <c r="B2" s="39" t="s">
        <v>29</v>
      </c>
      <c r="E2" s="40" t="s">
        <v>30</v>
      </c>
      <c r="F2" s="41" t="s">
        <v>95</v>
      </c>
    </row>
    <row r="3" spans="1:6" s="59" customFormat="1" ht="30.75" customHeight="1" x14ac:dyDescent="0.3">
      <c r="A3" s="104" t="s">
        <v>32</v>
      </c>
      <c r="B3" s="104"/>
      <c r="C3" s="104"/>
      <c r="D3" s="104"/>
      <c r="E3" s="104"/>
      <c r="F3" s="104"/>
    </row>
    <row r="4" spans="1:6" s="59" customFormat="1" ht="22.5" customHeight="1" x14ac:dyDescent="0.3">
      <c r="A4" s="134" t="s">
        <v>215</v>
      </c>
      <c r="B4" s="106"/>
      <c r="C4" s="106"/>
      <c r="D4" s="106"/>
      <c r="E4" s="106"/>
      <c r="F4" s="65" t="s">
        <v>96</v>
      </c>
    </row>
    <row r="5" spans="1:6" s="39" customFormat="1" ht="35.1" customHeight="1" x14ac:dyDescent="0.3">
      <c r="A5" s="107" t="s">
        <v>97</v>
      </c>
      <c r="B5" s="107"/>
      <c r="C5" s="35" t="s">
        <v>98</v>
      </c>
      <c r="D5" s="35" t="s">
        <v>99</v>
      </c>
      <c r="E5" s="108" t="s">
        <v>100</v>
      </c>
      <c r="F5" s="108"/>
    </row>
    <row r="6" spans="1:6" s="39" customFormat="1" ht="19.8" x14ac:dyDescent="0.3">
      <c r="A6" s="128" t="s">
        <v>263</v>
      </c>
      <c r="B6" s="128"/>
      <c r="C6" s="85">
        <v>272</v>
      </c>
      <c r="D6" s="85">
        <v>2924</v>
      </c>
      <c r="E6" s="111">
        <v>0</v>
      </c>
      <c r="F6" s="111"/>
    </row>
    <row r="7" spans="1:6" s="39" customFormat="1" ht="19.8" x14ac:dyDescent="0.3">
      <c r="A7" s="128" t="s">
        <v>101</v>
      </c>
      <c r="B7" s="128"/>
      <c r="C7" s="85">
        <v>102</v>
      </c>
      <c r="D7" s="85">
        <v>1667</v>
      </c>
      <c r="E7" s="114">
        <v>0</v>
      </c>
      <c r="F7" s="114"/>
    </row>
    <row r="8" spans="1:6" s="39" customFormat="1" ht="19.95" customHeight="1" x14ac:dyDescent="0.3">
      <c r="A8" s="136" t="s">
        <v>102</v>
      </c>
      <c r="B8" s="48" t="s">
        <v>135</v>
      </c>
      <c r="C8" s="85">
        <v>98</v>
      </c>
      <c r="D8" s="85">
        <v>1629</v>
      </c>
      <c r="E8" s="114">
        <v>0</v>
      </c>
      <c r="F8" s="114"/>
    </row>
    <row r="9" spans="1:6" s="39" customFormat="1" ht="19.8" x14ac:dyDescent="0.3">
      <c r="A9" s="136"/>
      <c r="B9" s="48" t="s">
        <v>103</v>
      </c>
      <c r="C9" s="85">
        <v>52</v>
      </c>
      <c r="D9" s="85">
        <v>704</v>
      </c>
      <c r="E9" s="114">
        <v>0</v>
      </c>
      <c r="F9" s="114"/>
    </row>
    <row r="10" spans="1:6" s="39" customFormat="1" ht="19.8" x14ac:dyDescent="0.3">
      <c r="A10" s="136"/>
      <c r="B10" s="48" t="s">
        <v>104</v>
      </c>
      <c r="C10" s="85">
        <v>14</v>
      </c>
      <c r="D10" s="85">
        <v>214</v>
      </c>
      <c r="E10" s="114">
        <v>0</v>
      </c>
      <c r="F10" s="114"/>
    </row>
    <row r="11" spans="1:6" s="39" customFormat="1" ht="19.8" x14ac:dyDescent="0.3">
      <c r="A11" s="136"/>
      <c r="B11" s="48" t="s">
        <v>105</v>
      </c>
      <c r="C11" s="85">
        <v>1</v>
      </c>
      <c r="D11" s="85">
        <v>43</v>
      </c>
      <c r="E11" s="114">
        <v>0</v>
      </c>
      <c r="F11" s="114"/>
    </row>
    <row r="12" spans="1:6" s="39" customFormat="1" ht="19.8" x14ac:dyDescent="0.3">
      <c r="A12" s="136"/>
      <c r="B12" s="48" t="s">
        <v>106</v>
      </c>
      <c r="C12" s="85">
        <v>14</v>
      </c>
      <c r="D12" s="85">
        <v>372</v>
      </c>
      <c r="E12" s="114">
        <v>0</v>
      </c>
      <c r="F12" s="114"/>
    </row>
    <row r="13" spans="1:6" s="39" customFormat="1" ht="19.8" x14ac:dyDescent="0.3">
      <c r="A13" s="136"/>
      <c r="B13" s="48" t="s">
        <v>107</v>
      </c>
      <c r="C13" s="85">
        <v>12</v>
      </c>
      <c r="D13" s="85">
        <v>300</v>
      </c>
      <c r="E13" s="114">
        <v>0</v>
      </c>
      <c r="F13" s="114"/>
    </row>
    <row r="14" spans="1:6" s="39" customFormat="1" ht="19.8" x14ac:dyDescent="0.3">
      <c r="A14" s="136"/>
      <c r="B14" s="48" t="s">
        <v>108</v>
      </c>
      <c r="C14" s="85">
        <v>6</v>
      </c>
      <c r="D14" s="85">
        <v>11</v>
      </c>
      <c r="E14" s="114">
        <v>0</v>
      </c>
      <c r="F14" s="114"/>
    </row>
    <row r="15" spans="1:6" s="39" customFormat="1" ht="19.8" x14ac:dyDescent="0.3">
      <c r="A15" s="136"/>
      <c r="B15" s="48" t="s">
        <v>46</v>
      </c>
      <c r="C15" s="85">
        <v>4</v>
      </c>
      <c r="D15" s="85">
        <v>279</v>
      </c>
      <c r="E15" s="114">
        <v>0</v>
      </c>
      <c r="F15" s="114"/>
    </row>
    <row r="16" spans="1:6" s="39" customFormat="1" ht="21.9" customHeight="1" x14ac:dyDescent="0.3">
      <c r="A16" s="136" t="s">
        <v>109</v>
      </c>
      <c r="B16" s="48" t="s">
        <v>110</v>
      </c>
      <c r="C16" s="85">
        <v>1</v>
      </c>
      <c r="D16" s="85">
        <v>4</v>
      </c>
      <c r="E16" s="114">
        <v>0</v>
      </c>
      <c r="F16" s="114"/>
    </row>
    <row r="17" spans="1:28" s="39" customFormat="1" ht="21.9" customHeight="1" x14ac:dyDescent="0.3">
      <c r="A17" s="136"/>
      <c r="B17" s="48" t="s">
        <v>111</v>
      </c>
      <c r="C17" s="85">
        <v>1</v>
      </c>
      <c r="D17" s="85">
        <v>4</v>
      </c>
      <c r="E17" s="114">
        <v>0</v>
      </c>
      <c r="F17" s="114"/>
    </row>
    <row r="18" spans="1:28" s="39" customFormat="1" ht="21.9" customHeight="1" x14ac:dyDescent="0.3">
      <c r="A18" s="136"/>
      <c r="B18" s="48" t="s">
        <v>112</v>
      </c>
      <c r="C18" s="85">
        <v>0</v>
      </c>
      <c r="D18" s="85">
        <v>0</v>
      </c>
      <c r="E18" s="114">
        <v>0</v>
      </c>
      <c r="F18" s="114"/>
    </row>
    <row r="19" spans="1:28" s="39" customFormat="1" ht="21.9" customHeight="1" x14ac:dyDescent="0.3">
      <c r="A19" s="136"/>
      <c r="B19" s="48" t="s">
        <v>46</v>
      </c>
      <c r="C19" s="85">
        <v>0</v>
      </c>
      <c r="D19" s="85">
        <v>0</v>
      </c>
      <c r="E19" s="114">
        <v>0</v>
      </c>
      <c r="F19" s="114"/>
    </row>
    <row r="20" spans="1:28" s="39" customFormat="1" ht="19.95" customHeight="1" x14ac:dyDescent="0.3">
      <c r="A20" s="136" t="s">
        <v>113</v>
      </c>
      <c r="B20" s="48" t="s">
        <v>110</v>
      </c>
      <c r="C20" s="85">
        <v>2</v>
      </c>
      <c r="D20" s="85">
        <v>11</v>
      </c>
      <c r="E20" s="114">
        <v>0</v>
      </c>
      <c r="F20" s="114"/>
    </row>
    <row r="21" spans="1:28" s="39" customFormat="1" ht="19.8" x14ac:dyDescent="0.3">
      <c r="A21" s="136"/>
      <c r="B21" s="48" t="s">
        <v>114</v>
      </c>
      <c r="C21" s="85">
        <v>0</v>
      </c>
      <c r="D21" s="85">
        <v>0</v>
      </c>
      <c r="E21" s="114">
        <v>0</v>
      </c>
      <c r="F21" s="114"/>
    </row>
    <row r="22" spans="1:28" s="39" customFormat="1" ht="19.8" x14ac:dyDescent="0.3">
      <c r="A22" s="136"/>
      <c r="B22" s="48" t="s">
        <v>115</v>
      </c>
      <c r="C22" s="85">
        <v>0</v>
      </c>
      <c r="D22" s="85">
        <v>0</v>
      </c>
      <c r="E22" s="114">
        <v>0</v>
      </c>
      <c r="F22" s="114"/>
    </row>
    <row r="23" spans="1:28" s="39" customFormat="1" ht="19.8" x14ac:dyDescent="0.3">
      <c r="A23" s="136"/>
      <c r="B23" s="48" t="s">
        <v>116</v>
      </c>
      <c r="C23" s="85">
        <v>1</v>
      </c>
      <c r="D23" s="85">
        <v>4</v>
      </c>
      <c r="E23" s="114">
        <v>0</v>
      </c>
      <c r="F23" s="114"/>
    </row>
    <row r="24" spans="1:28" s="39" customFormat="1" ht="19.8" x14ac:dyDescent="0.3">
      <c r="A24" s="136"/>
      <c r="B24" s="48" t="s">
        <v>117</v>
      </c>
      <c r="C24" s="85">
        <v>1</v>
      </c>
      <c r="D24" s="85">
        <v>7</v>
      </c>
      <c r="E24" s="114">
        <v>0</v>
      </c>
      <c r="F24" s="114"/>
    </row>
    <row r="25" spans="1:28" s="39" customFormat="1" ht="19.8" x14ac:dyDescent="0.3">
      <c r="A25" s="136"/>
      <c r="B25" s="48" t="s">
        <v>118</v>
      </c>
      <c r="C25" s="85">
        <v>0</v>
      </c>
      <c r="D25" s="85">
        <v>0</v>
      </c>
      <c r="E25" s="114">
        <v>0</v>
      </c>
      <c r="F25" s="114"/>
    </row>
    <row r="26" spans="1:28" s="39" customFormat="1" ht="19.8" x14ac:dyDescent="0.3">
      <c r="A26" s="136"/>
      <c r="B26" s="48" t="s">
        <v>46</v>
      </c>
      <c r="C26" s="85">
        <v>0</v>
      </c>
      <c r="D26" s="85">
        <v>0</v>
      </c>
      <c r="E26" s="114">
        <v>0</v>
      </c>
      <c r="F26" s="114"/>
    </row>
    <row r="27" spans="1:28" s="39" customFormat="1" ht="19.8" x14ac:dyDescent="0.3">
      <c r="A27" s="135" t="s">
        <v>57</v>
      </c>
      <c r="B27" s="135"/>
      <c r="C27" s="85">
        <v>1</v>
      </c>
      <c r="D27" s="85">
        <v>23</v>
      </c>
      <c r="E27" s="114">
        <v>0</v>
      </c>
      <c r="F27" s="114"/>
    </row>
    <row r="28" spans="1:28" s="39" customFormat="1" ht="19.8" x14ac:dyDescent="0.3">
      <c r="A28" s="128" t="s">
        <v>119</v>
      </c>
      <c r="B28" s="128"/>
      <c r="C28" s="85">
        <v>170</v>
      </c>
      <c r="D28" s="85">
        <v>1257</v>
      </c>
      <c r="E28" s="114">
        <v>0</v>
      </c>
      <c r="F28" s="114"/>
    </row>
    <row r="29" spans="1:28" s="39" customFormat="1" ht="19.8" x14ac:dyDescent="0.3">
      <c r="A29" s="68"/>
      <c r="B29" s="66" t="s">
        <v>120</v>
      </c>
      <c r="C29" s="85">
        <v>151</v>
      </c>
      <c r="D29" s="85">
        <v>1133</v>
      </c>
      <c r="E29" s="114">
        <v>0</v>
      </c>
      <c r="F29" s="114"/>
    </row>
    <row r="30" spans="1:28" s="39" customFormat="1" ht="19.8" x14ac:dyDescent="0.3">
      <c r="A30" s="69"/>
      <c r="B30" s="66" t="s">
        <v>121</v>
      </c>
      <c r="C30" s="54">
        <v>19</v>
      </c>
      <c r="D30" s="54">
        <v>124</v>
      </c>
      <c r="E30" s="120">
        <v>0</v>
      </c>
      <c r="F30" s="120"/>
    </row>
    <row r="31" spans="1:28" s="71" customFormat="1" ht="23.25" customHeight="1" x14ac:dyDescent="0.3">
      <c r="A31" s="55" t="s">
        <v>61</v>
      </c>
      <c r="B31" s="70"/>
      <c r="C31" s="67" t="s">
        <v>122</v>
      </c>
      <c r="D31" s="67" t="s">
        <v>123</v>
      </c>
      <c r="E31" s="55" t="s">
        <v>64</v>
      </c>
      <c r="F31" s="67"/>
      <c r="H31" s="70"/>
      <c r="I31" s="65"/>
      <c r="J31" s="70"/>
      <c r="M31" s="70"/>
      <c r="N31" s="70"/>
      <c r="O31" s="70"/>
      <c r="P31" s="70"/>
      <c r="R31" s="70"/>
      <c r="S31" s="70"/>
      <c r="T31" s="70"/>
      <c r="U31" s="70"/>
      <c r="Z31" s="70"/>
      <c r="AB31" s="72"/>
    </row>
    <row r="32" spans="1:28" s="71" customFormat="1" ht="22.5" customHeight="1" x14ac:dyDescent="0.3">
      <c r="A32" s="70"/>
      <c r="B32" s="70"/>
      <c r="C32" s="67"/>
      <c r="D32" s="67" t="s">
        <v>124</v>
      </c>
      <c r="E32" s="67"/>
      <c r="H32" s="70"/>
      <c r="I32" s="65"/>
      <c r="J32" s="70"/>
      <c r="K32" s="70"/>
      <c r="L32" s="70"/>
      <c r="M32" s="70"/>
      <c r="N32" s="70"/>
      <c r="O32" s="70"/>
      <c r="P32" s="70"/>
      <c r="Q32" s="70"/>
      <c r="R32" s="70"/>
      <c r="S32" s="70"/>
      <c r="T32" s="70"/>
      <c r="U32" s="70"/>
      <c r="V32" s="70"/>
      <c r="W32" s="70"/>
    </row>
    <row r="33" spans="1:1" s="59" customFormat="1" ht="21" customHeight="1" x14ac:dyDescent="0.3">
      <c r="A33" s="59" t="s">
        <v>134</v>
      </c>
    </row>
    <row r="34" spans="1:1" s="59" customFormat="1" ht="21" customHeight="1" x14ac:dyDescent="0.3">
      <c r="A34" s="59" t="s">
        <v>125</v>
      </c>
    </row>
    <row r="35" spans="1:1" s="59" customFormat="1" ht="21" customHeight="1" x14ac:dyDescent="0.3">
      <c r="A35" s="59" t="s">
        <v>82</v>
      </c>
    </row>
    <row r="36" spans="1:1" s="59" customFormat="1" x14ac:dyDescent="0.3"/>
    <row r="37" spans="1:1" s="59" customFormat="1" x14ac:dyDescent="0.3"/>
    <row r="38" spans="1:1" s="59" customFormat="1" x14ac:dyDescent="0.3"/>
    <row r="39" spans="1:1" s="59" customFormat="1" x14ac:dyDescent="0.3"/>
    <row r="40" spans="1:1" s="59" customFormat="1" x14ac:dyDescent="0.3"/>
    <row r="41" spans="1:1" s="59" customFormat="1" x14ac:dyDescent="0.3"/>
    <row r="42" spans="1:1" s="59" customFormat="1" x14ac:dyDescent="0.3"/>
    <row r="43" spans="1:1" s="59" customFormat="1" x14ac:dyDescent="0.3"/>
    <row r="44" spans="1:1" s="59" customFormat="1" x14ac:dyDescent="0.3"/>
    <row r="45" spans="1:1" s="59" customFormat="1" x14ac:dyDescent="0.3"/>
    <row r="46" spans="1:1" s="59" customFormat="1" x14ac:dyDescent="0.3"/>
    <row r="47" spans="1:1" s="59" customFormat="1" x14ac:dyDescent="0.3"/>
    <row r="48" spans="1:1" s="59" customFormat="1" x14ac:dyDescent="0.3"/>
    <row r="49" s="59" customFormat="1" x14ac:dyDescent="0.3"/>
    <row r="50" s="59" customFormat="1" x14ac:dyDescent="0.3"/>
    <row r="51" s="59" customFormat="1" x14ac:dyDescent="0.3"/>
    <row r="52" s="59" customFormat="1" x14ac:dyDescent="0.3"/>
    <row r="53" s="59" customFormat="1" x14ac:dyDescent="0.3"/>
    <row r="54" s="59" customFormat="1" x14ac:dyDescent="0.3"/>
    <row r="55" s="59" customFormat="1" x14ac:dyDescent="0.3"/>
    <row r="56" s="59" customFormat="1" x14ac:dyDescent="0.3"/>
    <row r="57" s="59" customFormat="1" x14ac:dyDescent="0.3"/>
    <row r="58" s="59" customFormat="1" x14ac:dyDescent="0.3"/>
    <row r="59" s="59" customFormat="1" x14ac:dyDescent="0.3"/>
  </sheetData>
  <mergeCells count="36">
    <mergeCell ref="A3:F3"/>
    <mergeCell ref="A4:E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E30:F30"/>
    <mergeCell ref="A27:B27"/>
    <mergeCell ref="E27:F27"/>
    <mergeCell ref="A28:B28"/>
    <mergeCell ref="E28:F28"/>
    <mergeCell ref="E29:F29"/>
  </mergeCells>
  <phoneticPr fontId="3" type="noConversion"/>
  <printOptions horizontalCentered="1" verticalCentered="1"/>
  <pageMargins left="0.98425196850393692" right="0.35433070866141703" top="0.55118110236220452" bottom="0.39370078740157505" header="0.511811023622047" footer="0.39370078740157505"/>
  <pageSetup paperSize="0" firstPageNumber="84" fitToWidth="0" fitToHeight="0" orientation="landscape" useFirstPageNumber="1" horizontalDpi="0" verticalDpi="0" copies="0"/>
  <headerFooter alignWithMargins="0">
    <oddFooter>&amp;C&amp;"Times New Roman,Regular"95</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59"/>
  <sheetViews>
    <sheetView workbookViewId="0">
      <selection activeCell="A6" sqref="A6:B6"/>
    </sheetView>
  </sheetViews>
  <sheetFormatPr defaultRowHeight="16.2" x14ac:dyDescent="0.3"/>
  <cols>
    <col min="1" max="1" width="12" customWidth="1"/>
    <col min="2" max="2" width="40.6640625" customWidth="1"/>
    <col min="3" max="3" width="35" customWidth="1"/>
    <col min="4" max="4" width="37.44140625" customWidth="1"/>
    <col min="5" max="5" width="11.33203125" customWidth="1"/>
    <col min="6" max="6" width="30.6640625" customWidth="1"/>
    <col min="7" max="7" width="11.33203125" bestFit="1" customWidth="1"/>
    <col min="8" max="8" width="9" customWidth="1"/>
    <col min="9" max="9" width="8.88671875" customWidth="1"/>
  </cols>
  <sheetData>
    <row r="1" spans="1:6" s="39" customFormat="1" ht="24.75" customHeight="1" x14ac:dyDescent="0.3">
      <c r="A1" s="35" t="s">
        <v>25</v>
      </c>
      <c r="E1" s="37" t="s">
        <v>26</v>
      </c>
      <c r="F1" s="37" t="s">
        <v>133</v>
      </c>
    </row>
    <row r="2" spans="1:6" s="39" customFormat="1" ht="26.25" customHeight="1" x14ac:dyDescent="0.3">
      <c r="A2" s="38" t="s">
        <v>28</v>
      </c>
      <c r="B2" s="39" t="s">
        <v>29</v>
      </c>
      <c r="E2" s="40" t="s">
        <v>30</v>
      </c>
      <c r="F2" s="41" t="s">
        <v>95</v>
      </c>
    </row>
    <row r="3" spans="1:6" s="59" customFormat="1" ht="30.75" customHeight="1" x14ac:dyDescent="0.3">
      <c r="A3" s="104" t="s">
        <v>32</v>
      </c>
      <c r="B3" s="104"/>
      <c r="C3" s="104"/>
      <c r="D3" s="104"/>
      <c r="E3" s="104"/>
      <c r="F3" s="104"/>
    </row>
    <row r="4" spans="1:6" s="59" customFormat="1" ht="22.5" customHeight="1" x14ac:dyDescent="0.3">
      <c r="A4" s="138" t="s">
        <v>216</v>
      </c>
      <c r="B4" s="138"/>
      <c r="C4" s="138"/>
      <c r="D4" s="138"/>
      <c r="E4" s="83"/>
      <c r="F4" s="65" t="s">
        <v>96</v>
      </c>
    </row>
    <row r="5" spans="1:6" s="39" customFormat="1" ht="35.1" customHeight="1" x14ac:dyDescent="0.3">
      <c r="A5" s="107" t="s">
        <v>97</v>
      </c>
      <c r="B5" s="107"/>
      <c r="C5" s="35" t="s">
        <v>98</v>
      </c>
      <c r="D5" s="35" t="s">
        <v>99</v>
      </c>
      <c r="E5" s="108" t="s">
        <v>100</v>
      </c>
      <c r="F5" s="108"/>
    </row>
    <row r="6" spans="1:6" s="39" customFormat="1" ht="19.8" x14ac:dyDescent="0.3">
      <c r="A6" s="128" t="s">
        <v>263</v>
      </c>
      <c r="B6" s="128"/>
      <c r="C6" s="85">
        <v>248</v>
      </c>
      <c r="D6" s="85">
        <v>3231</v>
      </c>
      <c r="E6" s="111">
        <v>0</v>
      </c>
      <c r="F6" s="111"/>
    </row>
    <row r="7" spans="1:6" s="39" customFormat="1" ht="19.8" x14ac:dyDescent="0.3">
      <c r="A7" s="128" t="s">
        <v>101</v>
      </c>
      <c r="B7" s="128"/>
      <c r="C7" s="85">
        <v>89</v>
      </c>
      <c r="D7" s="85">
        <v>1151</v>
      </c>
      <c r="E7" s="114">
        <v>0</v>
      </c>
      <c r="F7" s="114"/>
    </row>
    <row r="8" spans="1:6" s="39" customFormat="1" ht="19.95" customHeight="1" x14ac:dyDescent="0.3">
      <c r="A8" s="136" t="s">
        <v>102</v>
      </c>
      <c r="B8" s="48" t="s">
        <v>135</v>
      </c>
      <c r="C8" s="85">
        <v>85</v>
      </c>
      <c r="D8" s="85">
        <v>751</v>
      </c>
      <c r="E8" s="114">
        <v>0</v>
      </c>
      <c r="F8" s="114"/>
    </row>
    <row r="9" spans="1:6" s="39" customFormat="1" ht="19.8" x14ac:dyDescent="0.3">
      <c r="A9" s="136"/>
      <c r="B9" s="48" t="s">
        <v>103</v>
      </c>
      <c r="C9" s="85">
        <v>38</v>
      </c>
      <c r="D9" s="85">
        <v>365</v>
      </c>
      <c r="E9" s="114">
        <v>0</v>
      </c>
      <c r="F9" s="114"/>
    </row>
    <row r="10" spans="1:6" s="39" customFormat="1" ht="19.8" x14ac:dyDescent="0.3">
      <c r="A10" s="136"/>
      <c r="B10" s="48" t="s">
        <v>104</v>
      </c>
      <c r="C10" s="85">
        <v>11</v>
      </c>
      <c r="D10" s="85">
        <v>95</v>
      </c>
      <c r="E10" s="114">
        <v>0</v>
      </c>
      <c r="F10" s="114"/>
    </row>
    <row r="11" spans="1:6" s="39" customFormat="1" ht="19.8" x14ac:dyDescent="0.3">
      <c r="A11" s="136"/>
      <c r="B11" s="48" t="s">
        <v>105</v>
      </c>
      <c r="C11" s="85">
        <v>1</v>
      </c>
      <c r="D11" s="85">
        <v>10</v>
      </c>
      <c r="E11" s="114">
        <v>0</v>
      </c>
      <c r="F11" s="114"/>
    </row>
    <row r="12" spans="1:6" s="39" customFormat="1" ht="19.8" x14ac:dyDescent="0.3">
      <c r="A12" s="136"/>
      <c r="B12" s="48" t="s">
        <v>106</v>
      </c>
      <c r="C12" s="85">
        <v>23</v>
      </c>
      <c r="D12" s="85">
        <v>236</v>
      </c>
      <c r="E12" s="114">
        <v>0</v>
      </c>
      <c r="F12" s="114"/>
    </row>
    <row r="13" spans="1:6" s="39" customFormat="1" ht="19.8" x14ac:dyDescent="0.3">
      <c r="A13" s="136"/>
      <c r="B13" s="48" t="s">
        <v>107</v>
      </c>
      <c r="C13" s="85">
        <v>7</v>
      </c>
      <c r="D13" s="85">
        <v>123</v>
      </c>
      <c r="E13" s="114">
        <v>0</v>
      </c>
      <c r="F13" s="114"/>
    </row>
    <row r="14" spans="1:6" s="39" customFormat="1" ht="19.8" x14ac:dyDescent="0.3">
      <c r="A14" s="136"/>
      <c r="B14" s="48" t="s">
        <v>108</v>
      </c>
      <c r="C14" s="85">
        <v>8</v>
      </c>
      <c r="D14" s="85">
        <v>8</v>
      </c>
      <c r="E14" s="114">
        <v>0</v>
      </c>
      <c r="F14" s="114"/>
    </row>
    <row r="15" spans="1:6" s="39" customFormat="1" ht="19.8" x14ac:dyDescent="0.3">
      <c r="A15" s="136"/>
      <c r="B15" s="48" t="s">
        <v>46</v>
      </c>
      <c r="C15" s="85">
        <v>0</v>
      </c>
      <c r="D15" s="85">
        <v>0</v>
      </c>
      <c r="E15" s="114">
        <v>0</v>
      </c>
      <c r="F15" s="114"/>
    </row>
    <row r="16" spans="1:6" s="39" customFormat="1" ht="21.9" customHeight="1" x14ac:dyDescent="0.3">
      <c r="A16" s="136" t="s">
        <v>109</v>
      </c>
      <c r="B16" s="48" t="s">
        <v>110</v>
      </c>
      <c r="C16" s="85">
        <v>1</v>
      </c>
      <c r="D16" s="85">
        <v>6</v>
      </c>
      <c r="E16" s="114">
        <v>0</v>
      </c>
      <c r="F16" s="114"/>
    </row>
    <row r="17" spans="1:28" s="39" customFormat="1" ht="21.9" customHeight="1" x14ac:dyDescent="0.3">
      <c r="A17" s="136"/>
      <c r="B17" s="48" t="s">
        <v>111</v>
      </c>
      <c r="C17" s="85">
        <v>0</v>
      </c>
      <c r="D17" s="85">
        <v>0</v>
      </c>
      <c r="E17" s="114">
        <v>0</v>
      </c>
      <c r="F17" s="114"/>
    </row>
    <row r="18" spans="1:28" s="39" customFormat="1" ht="21.9" customHeight="1" x14ac:dyDescent="0.3">
      <c r="A18" s="136"/>
      <c r="B18" s="48" t="s">
        <v>112</v>
      </c>
      <c r="C18" s="85">
        <v>0</v>
      </c>
      <c r="D18" s="85">
        <v>0</v>
      </c>
      <c r="E18" s="114">
        <v>0</v>
      </c>
      <c r="F18" s="114"/>
    </row>
    <row r="19" spans="1:28" s="39" customFormat="1" ht="21.9" customHeight="1" x14ac:dyDescent="0.3">
      <c r="A19" s="136"/>
      <c r="B19" s="48" t="s">
        <v>46</v>
      </c>
      <c r="C19" s="85">
        <v>1</v>
      </c>
      <c r="D19" s="85">
        <v>6</v>
      </c>
      <c r="E19" s="114">
        <v>0</v>
      </c>
      <c r="F19" s="114"/>
    </row>
    <row r="20" spans="1:28" s="39" customFormat="1" ht="19.95" customHeight="1" x14ac:dyDescent="0.3">
      <c r="A20" s="136" t="s">
        <v>113</v>
      </c>
      <c r="B20" s="48" t="s">
        <v>110</v>
      </c>
      <c r="C20" s="85">
        <v>3</v>
      </c>
      <c r="D20" s="85">
        <v>394</v>
      </c>
      <c r="E20" s="114">
        <v>0</v>
      </c>
      <c r="F20" s="114"/>
    </row>
    <row r="21" spans="1:28" s="39" customFormat="1" ht="19.8" x14ac:dyDescent="0.3">
      <c r="A21" s="136"/>
      <c r="B21" s="48" t="s">
        <v>114</v>
      </c>
      <c r="C21" s="85">
        <v>0</v>
      </c>
      <c r="D21" s="85">
        <v>0</v>
      </c>
      <c r="E21" s="114">
        <v>0</v>
      </c>
      <c r="F21" s="114"/>
    </row>
    <row r="22" spans="1:28" s="39" customFormat="1" ht="19.8" x14ac:dyDescent="0.3">
      <c r="A22" s="136"/>
      <c r="B22" s="48" t="s">
        <v>115</v>
      </c>
      <c r="C22" s="85">
        <v>0</v>
      </c>
      <c r="D22" s="85">
        <v>0</v>
      </c>
      <c r="E22" s="114">
        <v>0</v>
      </c>
      <c r="F22" s="114"/>
    </row>
    <row r="23" spans="1:28" s="39" customFormat="1" ht="19.8" x14ac:dyDescent="0.3">
      <c r="A23" s="136"/>
      <c r="B23" s="48" t="s">
        <v>116</v>
      </c>
      <c r="C23" s="85">
        <v>1</v>
      </c>
      <c r="D23" s="85">
        <v>2</v>
      </c>
      <c r="E23" s="114">
        <v>0</v>
      </c>
      <c r="F23" s="114"/>
    </row>
    <row r="24" spans="1:28" s="39" customFormat="1" ht="19.8" x14ac:dyDescent="0.3">
      <c r="A24" s="136"/>
      <c r="B24" s="48" t="s">
        <v>117</v>
      </c>
      <c r="C24" s="85">
        <v>2</v>
      </c>
      <c r="D24" s="85">
        <v>392</v>
      </c>
      <c r="E24" s="114">
        <v>0</v>
      </c>
      <c r="F24" s="114"/>
    </row>
    <row r="25" spans="1:28" s="39" customFormat="1" ht="19.8" x14ac:dyDescent="0.3">
      <c r="A25" s="136"/>
      <c r="B25" s="48" t="s">
        <v>118</v>
      </c>
      <c r="C25" s="85">
        <v>0</v>
      </c>
      <c r="D25" s="85">
        <v>0</v>
      </c>
      <c r="E25" s="114">
        <v>0</v>
      </c>
      <c r="F25" s="114"/>
    </row>
    <row r="26" spans="1:28" s="39" customFormat="1" ht="19.8" x14ac:dyDescent="0.3">
      <c r="A26" s="136"/>
      <c r="B26" s="48" t="s">
        <v>46</v>
      </c>
      <c r="C26" s="85">
        <v>0</v>
      </c>
      <c r="D26" s="85">
        <v>0</v>
      </c>
      <c r="E26" s="114">
        <v>0</v>
      </c>
      <c r="F26" s="114"/>
    </row>
    <row r="27" spans="1:28" s="39" customFormat="1" ht="19.8" x14ac:dyDescent="0.3">
      <c r="A27" s="137" t="s">
        <v>136</v>
      </c>
      <c r="B27" s="137"/>
      <c r="C27" s="85">
        <v>0</v>
      </c>
      <c r="D27" s="85">
        <v>0</v>
      </c>
      <c r="E27" s="114">
        <v>0</v>
      </c>
      <c r="F27" s="114"/>
    </row>
    <row r="28" spans="1:28" s="39" customFormat="1" ht="19.8" x14ac:dyDescent="0.3">
      <c r="A28" s="128" t="s">
        <v>119</v>
      </c>
      <c r="B28" s="128"/>
      <c r="C28" s="85">
        <v>159</v>
      </c>
      <c r="D28" s="85">
        <v>2080</v>
      </c>
      <c r="E28" s="114">
        <v>0</v>
      </c>
      <c r="F28" s="114"/>
    </row>
    <row r="29" spans="1:28" s="39" customFormat="1" ht="19.8" x14ac:dyDescent="0.3">
      <c r="A29" s="128" t="s">
        <v>120</v>
      </c>
      <c r="B29" s="128"/>
      <c r="C29" s="85">
        <v>143</v>
      </c>
      <c r="D29" s="85">
        <v>1951</v>
      </c>
      <c r="E29" s="114">
        <v>0</v>
      </c>
      <c r="F29" s="114"/>
    </row>
    <row r="30" spans="1:28" s="39" customFormat="1" ht="19.8" x14ac:dyDescent="0.3">
      <c r="A30" s="128" t="s">
        <v>121</v>
      </c>
      <c r="B30" s="128"/>
      <c r="C30" s="54">
        <v>16</v>
      </c>
      <c r="D30" s="54">
        <v>129</v>
      </c>
      <c r="E30" s="120">
        <v>0</v>
      </c>
      <c r="F30" s="120"/>
    </row>
    <row r="31" spans="1:28" s="71" customFormat="1" ht="23.25" customHeight="1" x14ac:dyDescent="0.3">
      <c r="A31" s="55" t="s">
        <v>61</v>
      </c>
      <c r="B31" s="70"/>
      <c r="C31" s="67" t="s">
        <v>122</v>
      </c>
      <c r="D31" s="67" t="s">
        <v>123</v>
      </c>
      <c r="E31" s="55" t="s">
        <v>64</v>
      </c>
      <c r="F31" s="67"/>
      <c r="H31" s="70"/>
      <c r="I31" s="65"/>
      <c r="J31" s="70"/>
      <c r="M31" s="70"/>
      <c r="N31" s="70"/>
      <c r="O31" s="70"/>
      <c r="P31" s="70"/>
      <c r="R31" s="70"/>
      <c r="S31" s="70"/>
      <c r="T31" s="70"/>
      <c r="U31" s="70"/>
      <c r="Z31" s="70"/>
      <c r="AB31" s="72"/>
    </row>
    <row r="32" spans="1:28" s="71" customFormat="1" ht="22.5" customHeight="1" x14ac:dyDescent="0.3">
      <c r="A32" s="70"/>
      <c r="B32" s="70"/>
      <c r="C32" s="67"/>
      <c r="D32" s="67" t="s">
        <v>124</v>
      </c>
      <c r="E32" s="67"/>
      <c r="H32" s="70"/>
      <c r="I32" s="65"/>
      <c r="J32" s="70"/>
      <c r="K32" s="70"/>
      <c r="L32" s="70"/>
      <c r="M32" s="70"/>
      <c r="N32" s="70"/>
      <c r="O32" s="70"/>
      <c r="P32" s="70"/>
      <c r="Q32" s="70"/>
      <c r="R32" s="70"/>
      <c r="S32" s="70"/>
      <c r="T32" s="70"/>
      <c r="U32" s="70"/>
      <c r="V32" s="70"/>
      <c r="W32" s="70"/>
    </row>
    <row r="33" spans="1:1" s="59" customFormat="1" ht="21" customHeight="1" x14ac:dyDescent="0.3">
      <c r="A33" s="59" t="s">
        <v>137</v>
      </c>
    </row>
    <row r="34" spans="1:1" s="59" customFormat="1" ht="21" customHeight="1" x14ac:dyDescent="0.3">
      <c r="A34" s="59" t="s">
        <v>138</v>
      </c>
    </row>
    <row r="35" spans="1:1" s="59" customFormat="1" ht="21" customHeight="1" x14ac:dyDescent="0.3">
      <c r="A35" s="73" t="s">
        <v>139</v>
      </c>
    </row>
    <row r="36" spans="1:1" s="59" customFormat="1" x14ac:dyDescent="0.3"/>
    <row r="37" spans="1:1" s="59" customFormat="1" x14ac:dyDescent="0.3"/>
    <row r="38" spans="1:1" s="59" customFormat="1" x14ac:dyDescent="0.3"/>
    <row r="39" spans="1:1" s="59" customFormat="1" x14ac:dyDescent="0.3"/>
    <row r="40" spans="1:1" s="59" customFormat="1" x14ac:dyDescent="0.3"/>
    <row r="41" spans="1:1" s="59" customFormat="1" x14ac:dyDescent="0.3"/>
    <row r="42" spans="1:1" s="59" customFormat="1" x14ac:dyDescent="0.3"/>
    <row r="43" spans="1:1" s="59" customFormat="1" x14ac:dyDescent="0.3"/>
    <row r="44" spans="1:1" s="59" customFormat="1" x14ac:dyDescent="0.3"/>
    <row r="45" spans="1:1" s="59" customFormat="1" x14ac:dyDescent="0.3"/>
    <row r="46" spans="1:1" s="59" customFormat="1" x14ac:dyDescent="0.3"/>
    <row r="47" spans="1:1" s="59" customFormat="1" x14ac:dyDescent="0.3"/>
    <row r="48" spans="1:1" s="59" customFormat="1" x14ac:dyDescent="0.3"/>
    <row r="49" s="59" customFormat="1" x14ac:dyDescent="0.3"/>
    <row r="50" s="59" customFormat="1" x14ac:dyDescent="0.3"/>
    <row r="51" s="59" customFormat="1" x14ac:dyDescent="0.3"/>
    <row r="52" s="59" customFormat="1" x14ac:dyDescent="0.3"/>
    <row r="53" s="59" customFormat="1" x14ac:dyDescent="0.3"/>
    <row r="54" s="59" customFormat="1" x14ac:dyDescent="0.3"/>
    <row r="55" s="59" customFormat="1" x14ac:dyDescent="0.3"/>
    <row r="56" s="59" customFormat="1" x14ac:dyDescent="0.3"/>
    <row r="57" s="59" customFormat="1" x14ac:dyDescent="0.3"/>
    <row r="58" s="59" customFormat="1" x14ac:dyDescent="0.3"/>
    <row r="59" s="59" customFormat="1" x14ac:dyDescent="0.3"/>
  </sheetData>
  <mergeCells count="38">
    <mergeCell ref="A3:F3"/>
    <mergeCell ref="A4:D4"/>
    <mergeCell ref="A5:B5"/>
    <mergeCell ref="E5:F5"/>
    <mergeCell ref="A6:B6"/>
    <mergeCell ref="E6:F6"/>
    <mergeCell ref="A7:B7"/>
    <mergeCell ref="E7:F7"/>
    <mergeCell ref="A8:A15"/>
    <mergeCell ref="E8:F8"/>
    <mergeCell ref="E9:F9"/>
    <mergeCell ref="E10:F10"/>
    <mergeCell ref="E11:F11"/>
    <mergeCell ref="E12:F12"/>
    <mergeCell ref="E13:F13"/>
    <mergeCell ref="E14:F14"/>
    <mergeCell ref="E15:F15"/>
    <mergeCell ref="A16:A19"/>
    <mergeCell ref="E16:F16"/>
    <mergeCell ref="E17:F17"/>
    <mergeCell ref="E18:F18"/>
    <mergeCell ref="E19:F19"/>
    <mergeCell ref="A20:A26"/>
    <mergeCell ref="E20:F20"/>
    <mergeCell ref="E21:F21"/>
    <mergeCell ref="E22:F22"/>
    <mergeCell ref="E23:F23"/>
    <mergeCell ref="E24:F24"/>
    <mergeCell ref="E25:F25"/>
    <mergeCell ref="E26:F26"/>
    <mergeCell ref="A30:B30"/>
    <mergeCell ref="E30:F30"/>
    <mergeCell ref="A27:B27"/>
    <mergeCell ref="E27:F27"/>
    <mergeCell ref="A28:B28"/>
    <mergeCell ref="E28:F28"/>
    <mergeCell ref="A29:B29"/>
    <mergeCell ref="E29:F29"/>
  </mergeCells>
  <phoneticPr fontId="3" type="noConversion"/>
  <printOptions horizontalCentered="1" verticalCentered="1"/>
  <pageMargins left="0.98425196850393692" right="0.35433070866141703" top="0.55118110236220452" bottom="0.39370078740157505" header="0.511811023622047" footer="0.39370078740157505"/>
  <pageSetup paperSize="0" firstPageNumber="84" fitToWidth="0" fitToHeight="0" orientation="landscape" useFirstPageNumber="1" horizontalDpi="0" verticalDpi="0" copies="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7"/>
  <sheetViews>
    <sheetView workbookViewId="0">
      <selection sqref="A1:C1"/>
    </sheetView>
  </sheetViews>
  <sheetFormatPr defaultColWidth="9" defaultRowHeight="16.2" x14ac:dyDescent="0.3"/>
  <cols>
    <col min="1" max="1" width="14.21875" style="93" customWidth="1"/>
    <col min="2" max="2" width="46.33203125" style="93" customWidth="1"/>
    <col min="3" max="3" width="51.44140625" style="93" customWidth="1"/>
    <col min="4" max="256" width="9" style="93"/>
    <col min="257" max="257" width="14.21875" style="93" customWidth="1"/>
    <col min="258" max="258" width="46.33203125" style="93" customWidth="1"/>
    <col min="259" max="259" width="51.44140625" style="93" customWidth="1"/>
    <col min="260" max="512" width="9" style="93"/>
    <col min="513" max="513" width="14.21875" style="93" customWidth="1"/>
    <col min="514" max="514" width="46.33203125" style="93" customWidth="1"/>
    <col min="515" max="515" width="51.44140625" style="93" customWidth="1"/>
    <col min="516" max="768" width="9" style="93"/>
    <col min="769" max="769" width="14.21875" style="93" customWidth="1"/>
    <col min="770" max="770" width="46.33203125" style="93" customWidth="1"/>
    <col min="771" max="771" width="51.44140625" style="93" customWidth="1"/>
    <col min="772" max="1024" width="9" style="93"/>
    <col min="1025" max="1025" width="14.21875" style="93" customWidth="1"/>
    <col min="1026" max="1026" width="46.33203125" style="93" customWidth="1"/>
    <col min="1027" max="1027" width="51.44140625" style="93" customWidth="1"/>
    <col min="1028" max="1280" width="9" style="93"/>
    <col min="1281" max="1281" width="14.21875" style="93" customWidth="1"/>
    <col min="1282" max="1282" width="46.33203125" style="93" customWidth="1"/>
    <col min="1283" max="1283" width="51.44140625" style="93" customWidth="1"/>
    <col min="1284" max="1536" width="9" style="93"/>
    <col min="1537" max="1537" width="14.21875" style="93" customWidth="1"/>
    <col min="1538" max="1538" width="46.33203125" style="93" customWidth="1"/>
    <col min="1539" max="1539" width="51.44140625" style="93" customWidth="1"/>
    <col min="1540" max="1792" width="9" style="93"/>
    <col min="1793" max="1793" width="14.21875" style="93" customWidth="1"/>
    <col min="1794" max="1794" width="46.33203125" style="93" customWidth="1"/>
    <col min="1795" max="1795" width="51.44140625" style="93" customWidth="1"/>
    <col min="1796" max="2048" width="9" style="93"/>
    <col min="2049" max="2049" width="14.21875" style="93" customWidth="1"/>
    <col min="2050" max="2050" width="46.33203125" style="93" customWidth="1"/>
    <col min="2051" max="2051" width="51.44140625" style="93" customWidth="1"/>
    <col min="2052" max="2304" width="9" style="93"/>
    <col min="2305" max="2305" width="14.21875" style="93" customWidth="1"/>
    <col min="2306" max="2306" width="46.33203125" style="93" customWidth="1"/>
    <col min="2307" max="2307" width="51.44140625" style="93" customWidth="1"/>
    <col min="2308" max="2560" width="9" style="93"/>
    <col min="2561" max="2561" width="14.21875" style="93" customWidth="1"/>
    <col min="2562" max="2562" width="46.33203125" style="93" customWidth="1"/>
    <col min="2563" max="2563" width="51.44140625" style="93" customWidth="1"/>
    <col min="2564" max="2816" width="9" style="93"/>
    <col min="2817" max="2817" width="14.21875" style="93" customWidth="1"/>
    <col min="2818" max="2818" width="46.33203125" style="93" customWidth="1"/>
    <col min="2819" max="2819" width="51.44140625" style="93" customWidth="1"/>
    <col min="2820" max="3072" width="9" style="93"/>
    <col min="3073" max="3073" width="14.21875" style="93" customWidth="1"/>
    <col min="3074" max="3074" width="46.33203125" style="93" customWidth="1"/>
    <col min="3075" max="3075" width="51.44140625" style="93" customWidth="1"/>
    <col min="3076" max="3328" width="9" style="93"/>
    <col min="3329" max="3329" width="14.21875" style="93" customWidth="1"/>
    <col min="3330" max="3330" width="46.33203125" style="93" customWidth="1"/>
    <col min="3331" max="3331" width="51.44140625" style="93" customWidth="1"/>
    <col min="3332" max="3584" width="9" style="93"/>
    <col min="3585" max="3585" width="14.21875" style="93" customWidth="1"/>
    <col min="3586" max="3586" width="46.33203125" style="93" customWidth="1"/>
    <col min="3587" max="3587" width="51.44140625" style="93" customWidth="1"/>
    <col min="3588" max="3840" width="9" style="93"/>
    <col min="3841" max="3841" width="14.21875" style="93" customWidth="1"/>
    <col min="3842" max="3842" width="46.33203125" style="93" customWidth="1"/>
    <col min="3843" max="3843" width="51.44140625" style="93" customWidth="1"/>
    <col min="3844" max="4096" width="9" style="93"/>
    <col min="4097" max="4097" width="14.21875" style="93" customWidth="1"/>
    <col min="4098" max="4098" width="46.33203125" style="93" customWidth="1"/>
    <col min="4099" max="4099" width="51.44140625" style="93" customWidth="1"/>
    <col min="4100" max="4352" width="9" style="93"/>
    <col min="4353" max="4353" width="14.21875" style="93" customWidth="1"/>
    <col min="4354" max="4354" width="46.33203125" style="93" customWidth="1"/>
    <col min="4355" max="4355" width="51.44140625" style="93" customWidth="1"/>
    <col min="4356" max="4608" width="9" style="93"/>
    <col min="4609" max="4609" width="14.21875" style="93" customWidth="1"/>
    <col min="4610" max="4610" width="46.33203125" style="93" customWidth="1"/>
    <col min="4611" max="4611" width="51.44140625" style="93" customWidth="1"/>
    <col min="4612" max="4864" width="9" style="93"/>
    <col min="4865" max="4865" width="14.21875" style="93" customWidth="1"/>
    <col min="4866" max="4866" width="46.33203125" style="93" customWidth="1"/>
    <col min="4867" max="4867" width="51.44140625" style="93" customWidth="1"/>
    <col min="4868" max="5120" width="9" style="93"/>
    <col min="5121" max="5121" width="14.21875" style="93" customWidth="1"/>
    <col min="5122" max="5122" width="46.33203125" style="93" customWidth="1"/>
    <col min="5123" max="5123" width="51.44140625" style="93" customWidth="1"/>
    <col min="5124" max="5376" width="9" style="93"/>
    <col min="5377" max="5377" width="14.21875" style="93" customWidth="1"/>
    <col min="5378" max="5378" width="46.33203125" style="93" customWidth="1"/>
    <col min="5379" max="5379" width="51.44140625" style="93" customWidth="1"/>
    <col min="5380" max="5632" width="9" style="93"/>
    <col min="5633" max="5633" width="14.21875" style="93" customWidth="1"/>
    <col min="5634" max="5634" width="46.33203125" style="93" customWidth="1"/>
    <col min="5635" max="5635" width="51.44140625" style="93" customWidth="1"/>
    <col min="5636" max="5888" width="9" style="93"/>
    <col min="5889" max="5889" width="14.21875" style="93" customWidth="1"/>
    <col min="5890" max="5890" width="46.33203125" style="93" customWidth="1"/>
    <col min="5891" max="5891" width="51.44140625" style="93" customWidth="1"/>
    <col min="5892" max="6144" width="9" style="93"/>
    <col min="6145" max="6145" width="14.21875" style="93" customWidth="1"/>
    <col min="6146" max="6146" width="46.33203125" style="93" customWidth="1"/>
    <col min="6147" max="6147" width="51.44140625" style="93" customWidth="1"/>
    <col min="6148" max="6400" width="9" style="93"/>
    <col min="6401" max="6401" width="14.21875" style="93" customWidth="1"/>
    <col min="6402" max="6402" width="46.33203125" style="93" customWidth="1"/>
    <col min="6403" max="6403" width="51.44140625" style="93" customWidth="1"/>
    <col min="6404" max="6656" width="9" style="93"/>
    <col min="6657" max="6657" width="14.21875" style="93" customWidth="1"/>
    <col min="6658" max="6658" width="46.33203125" style="93" customWidth="1"/>
    <col min="6659" max="6659" width="51.44140625" style="93" customWidth="1"/>
    <col min="6660" max="6912" width="9" style="93"/>
    <col min="6913" max="6913" width="14.21875" style="93" customWidth="1"/>
    <col min="6914" max="6914" width="46.33203125" style="93" customWidth="1"/>
    <col min="6915" max="6915" width="51.44140625" style="93" customWidth="1"/>
    <col min="6916" max="7168" width="9" style="93"/>
    <col min="7169" max="7169" width="14.21875" style="93" customWidth="1"/>
    <col min="7170" max="7170" width="46.33203125" style="93" customWidth="1"/>
    <col min="7171" max="7171" width="51.44140625" style="93" customWidth="1"/>
    <col min="7172" max="7424" width="9" style="93"/>
    <col min="7425" max="7425" width="14.21875" style="93" customWidth="1"/>
    <col min="7426" max="7426" width="46.33203125" style="93" customWidth="1"/>
    <col min="7427" max="7427" width="51.44140625" style="93" customWidth="1"/>
    <col min="7428" max="7680" width="9" style="93"/>
    <col min="7681" max="7681" width="14.21875" style="93" customWidth="1"/>
    <col min="7682" max="7682" width="46.33203125" style="93" customWidth="1"/>
    <col min="7683" max="7683" width="51.44140625" style="93" customWidth="1"/>
    <col min="7684" max="7936" width="9" style="93"/>
    <col min="7937" max="7937" width="14.21875" style="93" customWidth="1"/>
    <col min="7938" max="7938" width="46.33203125" style="93" customWidth="1"/>
    <col min="7939" max="7939" width="51.44140625" style="93" customWidth="1"/>
    <col min="7940" max="8192" width="9" style="93"/>
    <col min="8193" max="8193" width="14.21875" style="93" customWidth="1"/>
    <col min="8194" max="8194" width="46.33203125" style="93" customWidth="1"/>
    <col min="8195" max="8195" width="51.44140625" style="93" customWidth="1"/>
    <col min="8196" max="8448" width="9" style="93"/>
    <col min="8449" max="8449" width="14.21875" style="93" customWidth="1"/>
    <col min="8450" max="8450" width="46.33203125" style="93" customWidth="1"/>
    <col min="8451" max="8451" width="51.44140625" style="93" customWidth="1"/>
    <col min="8452" max="8704" width="9" style="93"/>
    <col min="8705" max="8705" width="14.21875" style="93" customWidth="1"/>
    <col min="8706" max="8706" width="46.33203125" style="93" customWidth="1"/>
    <col min="8707" max="8707" width="51.44140625" style="93" customWidth="1"/>
    <col min="8708" max="8960" width="9" style="93"/>
    <col min="8961" max="8961" width="14.21875" style="93" customWidth="1"/>
    <col min="8962" max="8962" width="46.33203125" style="93" customWidth="1"/>
    <col min="8963" max="8963" width="51.44140625" style="93" customWidth="1"/>
    <col min="8964" max="9216" width="9" style="93"/>
    <col min="9217" max="9217" width="14.21875" style="93" customWidth="1"/>
    <col min="9218" max="9218" width="46.33203125" style="93" customWidth="1"/>
    <col min="9219" max="9219" width="51.44140625" style="93" customWidth="1"/>
    <col min="9220" max="9472" width="9" style="93"/>
    <col min="9473" max="9473" width="14.21875" style="93" customWidth="1"/>
    <col min="9474" max="9474" width="46.33203125" style="93" customWidth="1"/>
    <col min="9475" max="9475" width="51.44140625" style="93" customWidth="1"/>
    <col min="9476" max="9728" width="9" style="93"/>
    <col min="9729" max="9729" width="14.21875" style="93" customWidth="1"/>
    <col min="9730" max="9730" width="46.33203125" style="93" customWidth="1"/>
    <col min="9731" max="9731" width="51.44140625" style="93" customWidth="1"/>
    <col min="9732" max="9984" width="9" style="93"/>
    <col min="9985" max="9985" width="14.21875" style="93" customWidth="1"/>
    <col min="9986" max="9986" width="46.33203125" style="93" customWidth="1"/>
    <col min="9987" max="9987" width="51.44140625" style="93" customWidth="1"/>
    <col min="9988" max="10240" width="9" style="93"/>
    <col min="10241" max="10241" width="14.21875" style="93" customWidth="1"/>
    <col min="10242" max="10242" width="46.33203125" style="93" customWidth="1"/>
    <col min="10243" max="10243" width="51.44140625" style="93" customWidth="1"/>
    <col min="10244" max="10496" width="9" style="93"/>
    <col min="10497" max="10497" width="14.21875" style="93" customWidth="1"/>
    <col min="10498" max="10498" width="46.33203125" style="93" customWidth="1"/>
    <col min="10499" max="10499" width="51.44140625" style="93" customWidth="1"/>
    <col min="10500" max="10752" width="9" style="93"/>
    <col min="10753" max="10753" width="14.21875" style="93" customWidth="1"/>
    <col min="10754" max="10754" width="46.33203125" style="93" customWidth="1"/>
    <col min="10755" max="10755" width="51.44140625" style="93" customWidth="1"/>
    <col min="10756" max="11008" width="9" style="93"/>
    <col min="11009" max="11009" width="14.21875" style="93" customWidth="1"/>
    <col min="11010" max="11010" width="46.33203125" style="93" customWidth="1"/>
    <col min="11011" max="11011" width="51.44140625" style="93" customWidth="1"/>
    <col min="11012" max="11264" width="9" style="93"/>
    <col min="11265" max="11265" width="14.21875" style="93" customWidth="1"/>
    <col min="11266" max="11266" width="46.33203125" style="93" customWidth="1"/>
    <col min="11267" max="11267" width="51.44140625" style="93" customWidth="1"/>
    <col min="11268" max="11520" width="9" style="93"/>
    <col min="11521" max="11521" width="14.21875" style="93" customWidth="1"/>
    <col min="11522" max="11522" width="46.33203125" style="93" customWidth="1"/>
    <col min="11523" max="11523" width="51.44140625" style="93" customWidth="1"/>
    <col min="11524" max="11776" width="9" style="93"/>
    <col min="11777" max="11777" width="14.21875" style="93" customWidth="1"/>
    <col min="11778" max="11778" width="46.33203125" style="93" customWidth="1"/>
    <col min="11779" max="11779" width="51.44140625" style="93" customWidth="1"/>
    <col min="11780" max="12032" width="9" style="93"/>
    <col min="12033" max="12033" width="14.21875" style="93" customWidth="1"/>
    <col min="12034" max="12034" width="46.33203125" style="93" customWidth="1"/>
    <col min="12035" max="12035" width="51.44140625" style="93" customWidth="1"/>
    <col min="12036" max="12288" width="9" style="93"/>
    <col min="12289" max="12289" width="14.21875" style="93" customWidth="1"/>
    <col min="12290" max="12290" width="46.33203125" style="93" customWidth="1"/>
    <col min="12291" max="12291" width="51.44140625" style="93" customWidth="1"/>
    <col min="12292" max="12544" width="9" style="93"/>
    <col min="12545" max="12545" width="14.21875" style="93" customWidth="1"/>
    <col min="12546" max="12546" width="46.33203125" style="93" customWidth="1"/>
    <col min="12547" max="12547" width="51.44140625" style="93" customWidth="1"/>
    <col min="12548" max="12800" width="9" style="93"/>
    <col min="12801" max="12801" width="14.21875" style="93" customWidth="1"/>
    <col min="12802" max="12802" width="46.33203125" style="93" customWidth="1"/>
    <col min="12803" max="12803" width="51.44140625" style="93" customWidth="1"/>
    <col min="12804" max="13056" width="9" style="93"/>
    <col min="13057" max="13057" width="14.21875" style="93" customWidth="1"/>
    <col min="13058" max="13058" width="46.33203125" style="93" customWidth="1"/>
    <col min="13059" max="13059" width="51.44140625" style="93" customWidth="1"/>
    <col min="13060" max="13312" width="9" style="93"/>
    <col min="13313" max="13313" width="14.21875" style="93" customWidth="1"/>
    <col min="13314" max="13314" width="46.33203125" style="93" customWidth="1"/>
    <col min="13315" max="13315" width="51.44140625" style="93" customWidth="1"/>
    <col min="13316" max="13568" width="9" style="93"/>
    <col min="13569" max="13569" width="14.21875" style="93" customWidth="1"/>
    <col min="13570" max="13570" width="46.33203125" style="93" customWidth="1"/>
    <col min="13571" max="13571" width="51.44140625" style="93" customWidth="1"/>
    <col min="13572" max="13824" width="9" style="93"/>
    <col min="13825" max="13825" width="14.21875" style="93" customWidth="1"/>
    <col min="13826" max="13826" width="46.33203125" style="93" customWidth="1"/>
    <col min="13827" max="13827" width="51.44140625" style="93" customWidth="1"/>
    <col min="13828" max="14080" width="9" style="93"/>
    <col min="14081" max="14081" width="14.21875" style="93" customWidth="1"/>
    <col min="14082" max="14082" width="46.33203125" style="93" customWidth="1"/>
    <col min="14083" max="14083" width="51.44140625" style="93" customWidth="1"/>
    <col min="14084" max="14336" width="9" style="93"/>
    <col min="14337" max="14337" width="14.21875" style="93" customWidth="1"/>
    <col min="14338" max="14338" width="46.33203125" style="93" customWidth="1"/>
    <col min="14339" max="14339" width="51.44140625" style="93" customWidth="1"/>
    <col min="14340" max="14592" width="9" style="93"/>
    <col min="14593" max="14593" width="14.21875" style="93" customWidth="1"/>
    <col min="14594" max="14594" width="46.33203125" style="93" customWidth="1"/>
    <col min="14595" max="14595" width="51.44140625" style="93" customWidth="1"/>
    <col min="14596" max="14848" width="9" style="93"/>
    <col min="14849" max="14849" width="14.21875" style="93" customWidth="1"/>
    <col min="14850" max="14850" width="46.33203125" style="93" customWidth="1"/>
    <col min="14851" max="14851" width="51.44140625" style="93" customWidth="1"/>
    <col min="14852" max="15104" width="9" style="93"/>
    <col min="15105" max="15105" width="14.21875" style="93" customWidth="1"/>
    <col min="15106" max="15106" width="46.33203125" style="93" customWidth="1"/>
    <col min="15107" max="15107" width="51.44140625" style="93" customWidth="1"/>
    <col min="15108" max="15360" width="9" style="93"/>
    <col min="15361" max="15361" width="14.21875" style="93" customWidth="1"/>
    <col min="15362" max="15362" width="46.33203125" style="93" customWidth="1"/>
    <col min="15363" max="15363" width="51.44140625" style="93" customWidth="1"/>
    <col min="15364" max="15616" width="9" style="93"/>
    <col min="15617" max="15617" width="14.21875" style="93" customWidth="1"/>
    <col min="15618" max="15618" width="46.33203125" style="93" customWidth="1"/>
    <col min="15619" max="15619" width="51.44140625" style="93" customWidth="1"/>
    <col min="15620" max="15872" width="9" style="93"/>
    <col min="15873" max="15873" width="14.21875" style="93" customWidth="1"/>
    <col min="15874" max="15874" width="46.33203125" style="93" customWidth="1"/>
    <col min="15875" max="15875" width="51.44140625" style="93" customWidth="1"/>
    <col min="15876" max="16128" width="9" style="93"/>
    <col min="16129" max="16129" width="14.21875" style="93" customWidth="1"/>
    <col min="16130" max="16130" width="46.33203125" style="93" customWidth="1"/>
    <col min="16131" max="16131" width="51.44140625" style="93" customWidth="1"/>
    <col min="16132" max="16384" width="9" style="93"/>
  </cols>
  <sheetData>
    <row r="1" spans="1:3" ht="36" customHeight="1" x14ac:dyDescent="0.4">
      <c r="A1" s="139" t="s">
        <v>147</v>
      </c>
      <c r="B1" s="139"/>
      <c r="C1" s="139"/>
    </row>
    <row r="2" spans="1:3" ht="9.9" customHeight="1" x14ac:dyDescent="0.35">
      <c r="A2" s="94"/>
    </row>
    <row r="3" spans="1:3" ht="24.9" customHeight="1" x14ac:dyDescent="0.3">
      <c r="A3" s="95" t="s">
        <v>141</v>
      </c>
    </row>
    <row r="4" spans="1:3" ht="24.9" customHeight="1" x14ac:dyDescent="0.3">
      <c r="A4" s="95" t="s">
        <v>142</v>
      </c>
    </row>
    <row r="5" spans="1:3" ht="24.9" customHeight="1" x14ac:dyDescent="0.3">
      <c r="A5" s="95" t="s">
        <v>278</v>
      </c>
    </row>
    <row r="6" spans="1:3" ht="24.9" customHeight="1" x14ac:dyDescent="0.3">
      <c r="A6" s="95" t="s">
        <v>143</v>
      </c>
    </row>
    <row r="7" spans="1:3" ht="24.9" customHeight="1" x14ac:dyDescent="0.3">
      <c r="A7" s="96" t="s">
        <v>279</v>
      </c>
    </row>
    <row r="8" spans="1:3" ht="24.9" customHeight="1" x14ac:dyDescent="0.3">
      <c r="A8" s="96" t="s">
        <v>148</v>
      </c>
    </row>
    <row r="9" spans="1:3" ht="24.9" customHeight="1" x14ac:dyDescent="0.3">
      <c r="A9" s="96" t="s">
        <v>149</v>
      </c>
    </row>
    <row r="10" spans="1:3" ht="24.9" customHeight="1" x14ac:dyDescent="0.3">
      <c r="A10" s="96" t="s">
        <v>150</v>
      </c>
    </row>
    <row r="11" spans="1:3" ht="24.9" customHeight="1" x14ac:dyDescent="0.3">
      <c r="A11" s="96" t="s">
        <v>151</v>
      </c>
    </row>
    <row r="12" spans="1:3" ht="24.9" customHeight="1" x14ac:dyDescent="0.3">
      <c r="A12" s="96" t="s">
        <v>152</v>
      </c>
    </row>
    <row r="13" spans="1:3" x14ac:dyDescent="0.3">
      <c r="A13" s="96" t="s">
        <v>153</v>
      </c>
    </row>
    <row r="14" spans="1:3" x14ac:dyDescent="0.3">
      <c r="A14" s="96" t="s">
        <v>280</v>
      </c>
    </row>
    <row r="15" spans="1:3" x14ac:dyDescent="0.3">
      <c r="A15" s="95" t="s">
        <v>154</v>
      </c>
    </row>
    <row r="16" spans="1:3" x14ac:dyDescent="0.3">
      <c r="A16" s="95" t="s">
        <v>155</v>
      </c>
    </row>
    <row r="17" spans="1:1" x14ac:dyDescent="0.3">
      <c r="A17" s="95" t="s">
        <v>146</v>
      </c>
    </row>
  </sheetData>
  <mergeCells count="1">
    <mergeCell ref="A1:C1"/>
  </mergeCells>
  <phoneticPr fontId="3" type="noConversion"/>
  <printOptions horizontalCentered="1"/>
  <pageMargins left="1.1417322834645698" right="0.74803149606299213" top="0.98425196850393704" bottom="0.98425196850393704" header="0.511811023622047" footer="0.511811023622047"/>
  <pageSetup paperSize="0" fitToWidth="0" fitToHeight="0" orientation="landscape" horizontalDpi="0" verticalDpi="0" copies="0"/>
  <headerFooter alignWithMargins="0">
    <oddFooter>&amp;C&amp;"Times New Roman,Regular"96</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20</vt:i4>
      </vt:variant>
    </vt:vector>
  </HeadingPairs>
  <TitlesOfParts>
    <vt:vector size="20" baseType="lpstr">
      <vt:lpstr>歷年資料</vt:lpstr>
      <vt:lpstr>113年 </vt:lpstr>
      <vt:lpstr>112年</vt:lpstr>
      <vt:lpstr>111年</vt:lpstr>
      <vt:lpstr>110年</vt:lpstr>
      <vt:lpstr>109年</vt:lpstr>
      <vt:lpstr>108年</vt:lpstr>
      <vt:lpstr>107年</vt:lpstr>
      <vt:lpstr>106年</vt:lpstr>
      <vt:lpstr>105年</vt:lpstr>
      <vt:lpstr>104年</vt:lpstr>
      <vt:lpstr>103年</vt:lpstr>
      <vt:lpstr>102年</vt:lpstr>
      <vt:lpstr>101年_</vt:lpstr>
      <vt:lpstr>100年</vt:lpstr>
      <vt:lpstr>99年</vt:lpstr>
      <vt:lpstr>98年</vt:lpstr>
      <vt:lpstr>97年</vt:lpstr>
      <vt:lpstr>96年</vt:lpstr>
      <vt:lpstr>編製說明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dc:creator>
  <cp:lastModifiedBy>統計處羅蕙芳</cp:lastModifiedBy>
  <cp:lastPrinted>2024-04-21T23:47:26Z</cp:lastPrinted>
  <dcterms:created xsi:type="dcterms:W3CDTF">2000-01-13T01:33:49Z</dcterms:created>
  <dcterms:modified xsi:type="dcterms:W3CDTF">2025-04-30T02:01:26Z</dcterms:modified>
</cp:coreProperties>
</file>
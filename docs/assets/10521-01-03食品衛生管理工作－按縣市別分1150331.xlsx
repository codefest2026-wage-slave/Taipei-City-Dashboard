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公務報表\114年年報(半年報)\3.31報送\"/>
    </mc:Choice>
  </mc:AlternateContent>
  <xr:revisionPtr revIDLastSave="0" documentId="13_ncr:1_{97C00B3F-05B5-4B44-8654-B7207B85EED2}" xr6:coauthVersionLast="47" xr6:coauthVersionMax="47" xr10:uidLastSave="{00000000-0000-0000-0000-000000000000}"/>
  <bookViews>
    <workbookView xWindow="-108" yWindow="-108" windowWidth="23256" windowHeight="12456" tabRatio="599" activeTab="1" xr2:uid="{00000000-000D-0000-FFFF-FFFF00000000}"/>
  </bookViews>
  <sheets>
    <sheet name="歷年" sheetId="20" r:id="rId1"/>
    <sheet name="114年" sheetId="26" r:id="rId2"/>
    <sheet name="113年" sheetId="25" r:id="rId3"/>
    <sheet name="112年" sheetId="24" r:id="rId4"/>
    <sheet name="111年" sheetId="23" r:id="rId5"/>
    <sheet name="110年" sheetId="22" r:id="rId6"/>
    <sheet name="109年" sheetId="21" r:id="rId7"/>
    <sheet name="108年" sheetId="18" r:id="rId8"/>
    <sheet name="107年" sheetId="17" r:id="rId9"/>
    <sheet name="106年" sheetId="16" r:id="rId10"/>
    <sheet name="105年" sheetId="14" r:id="rId11"/>
    <sheet name="104年" sheetId="13" r:id="rId12"/>
    <sheet name="103年" sheetId="12" r:id="rId13"/>
    <sheet name="102年" sheetId="3" r:id="rId14"/>
    <sheet name="101年" sheetId="4" r:id="rId15"/>
    <sheet name="100年" sheetId="6" r:id="rId16"/>
    <sheet name="99年" sheetId="7" r:id="rId17"/>
    <sheet name="98年" sheetId="8" r:id="rId18"/>
    <sheet name="97年" sheetId="9" r:id="rId19"/>
    <sheet name="96年" sheetId="10" r:id="rId20"/>
    <sheet name="編製說明" sheetId="5" r:id="rId21"/>
  </sheets>
  <definedNames>
    <definedName name="_xlnm.Print_Titles" localSheetId="15">'100年'!$A:$D</definedName>
    <definedName name="_xlnm.Print_Titles" localSheetId="14">'101年'!$A:$D</definedName>
    <definedName name="_xlnm.Print_Titles" localSheetId="13">'102年'!$A:$D</definedName>
    <definedName name="_xlnm.Print_Titles" localSheetId="12">'103年'!$A:$D</definedName>
    <definedName name="_xlnm.Print_Titles" localSheetId="8">'107年'!$A:$D</definedName>
    <definedName name="_xlnm.Print_Titles" localSheetId="19">'96年'!$A:$D</definedName>
    <definedName name="_xlnm.Print_Titles" localSheetId="18">'97年'!$A:$D</definedName>
    <definedName name="_xlnm.Print_Titles" localSheetId="17">'98年'!$A:$D</definedName>
    <definedName name="_xlnm.Print_Titles" localSheetId="16">'99年'!$A:$D</definedName>
    <definedName name="tot" localSheetId="3">#REF!</definedName>
    <definedName name="tot" localSheetId="2">#REF!</definedName>
    <definedName name="tot" localSheetId="1">#REF!</definedName>
    <definedName name="tot" localSheetId="0">#REF!</definedName>
    <definedName name="to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52" i="22" l="1"/>
  <c r="E52" i="22" s="1"/>
  <c r="BD52" i="22"/>
  <c r="BD42" i="22"/>
  <c r="BS41" i="22"/>
  <c r="BS40" i="22"/>
  <c r="BM40" i="22"/>
  <c r="BM37" i="22"/>
  <c r="BM36" i="22"/>
  <c r="BD36" i="22"/>
  <c r="AU36" i="22"/>
  <c r="BS33" i="22"/>
  <c r="BS32" i="22"/>
  <c r="BM32" i="22"/>
  <c r="BD32" i="22"/>
  <c r="AU32" i="22"/>
  <c r="AU12" i="22" s="1"/>
  <c r="AT32" i="22"/>
  <c r="AT12" i="22" s="1"/>
  <c r="AS32" i="22"/>
  <c r="BM26" i="22"/>
  <c r="BD26" i="22"/>
  <c r="BM23" i="22"/>
  <c r="BS22" i="22"/>
  <c r="BS12" i="22" s="1"/>
  <c r="BM22" i="22"/>
  <c r="E22" i="22" s="1"/>
  <c r="BS21" i="22"/>
  <c r="BS20" i="22"/>
  <c r="BM20" i="22"/>
  <c r="BM12" i="22" s="1"/>
  <c r="BS19" i="22"/>
  <c r="BS18" i="22"/>
  <c r="AU16" i="22"/>
  <c r="AT16" i="22"/>
  <c r="AS16" i="22"/>
  <c r="AS12" i="22" s="1"/>
  <c r="BS13" i="22"/>
  <c r="BR13" i="22"/>
  <c r="BQ13" i="22"/>
  <c r="BP13" i="22"/>
  <c r="BO13" i="22"/>
  <c r="BN13" i="22"/>
  <c r="BM13" i="22"/>
  <c r="BL13" i="22"/>
  <c r="BK13" i="22"/>
  <c r="BJ13" i="22"/>
  <c r="BI13" i="22"/>
  <c r="BH13" i="22"/>
  <c r="BG13" i="22"/>
  <c r="BF13" i="22"/>
  <c r="BE13" i="22"/>
  <c r="BD13" i="22"/>
  <c r="BC13" i="22"/>
  <c r="BB13" i="22"/>
  <c r="BA13" i="22"/>
  <c r="AZ13" i="22"/>
  <c r="AY13" i="22"/>
  <c r="AX13" i="22"/>
  <c r="AW13" i="22"/>
  <c r="AV13" i="22"/>
  <c r="AU13" i="22"/>
  <c r="AT13" i="22"/>
  <c r="AS13" i="22"/>
  <c r="AR13" i="22"/>
  <c r="AQ13" i="22"/>
  <c r="AP13" i="22"/>
  <c r="AO13" i="22"/>
  <c r="BR12" i="22"/>
  <c r="BQ12" i="22"/>
  <c r="BP12" i="22"/>
  <c r="BO12" i="22"/>
  <c r="BN12" i="22"/>
  <c r="BL12" i="22"/>
  <c r="BK12" i="22"/>
  <c r="BJ12" i="22"/>
  <c r="BI12" i="22"/>
  <c r="BH12" i="22"/>
  <c r="BG12" i="22"/>
  <c r="BF12" i="22"/>
  <c r="BE12" i="22"/>
  <c r="BC12" i="22"/>
  <c r="BB12" i="22"/>
  <c r="BA12" i="22"/>
  <c r="AZ12" i="22"/>
  <c r="AY12" i="22"/>
  <c r="AX12" i="22"/>
  <c r="AW12" i="22"/>
  <c r="AV12" i="22"/>
  <c r="AR12" i="22"/>
  <c r="AQ12" i="22"/>
  <c r="AP12" i="22"/>
  <c r="AO12" i="22"/>
  <c r="E57" i="22"/>
  <c r="E56" i="22"/>
  <c r="E55" i="22"/>
  <c r="E54" i="22"/>
  <c r="E53" i="22"/>
  <c r="E51" i="22"/>
  <c r="E50" i="22"/>
  <c r="E49" i="22"/>
  <c r="E48" i="22"/>
  <c r="E47" i="22"/>
  <c r="E46" i="22"/>
  <c r="E45" i="22"/>
  <c r="E44" i="22"/>
  <c r="E43" i="22"/>
  <c r="E42" i="22"/>
  <c r="E41" i="22"/>
  <c r="E39" i="22"/>
  <c r="E38" i="22"/>
  <c r="E37" i="22"/>
  <c r="E35" i="22"/>
  <c r="E34" i="22"/>
  <c r="E33" i="22"/>
  <c r="E31" i="22"/>
  <c r="E30" i="22"/>
  <c r="E29" i="22"/>
  <c r="E28" i="22"/>
  <c r="E27" i="22"/>
  <c r="E26" i="22"/>
  <c r="E25" i="22"/>
  <c r="E24" i="22"/>
  <c r="E23" i="22"/>
  <c r="E21" i="22"/>
  <c r="E20" i="22"/>
  <c r="E19" i="22"/>
  <c r="E18" i="22"/>
  <c r="E17" i="22"/>
  <c r="E16" i="22"/>
  <c r="E15" i="22"/>
  <c r="E14"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32" i="22" l="1"/>
  <c r="BD12" i="22"/>
  <c r="E36" i="22"/>
  <c r="E40" i="22"/>
  <c r="E12" i="22"/>
  <c r="E13" i="22"/>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4" i="20"/>
  <c r="C35" i="20"/>
  <c r="C36" i="20"/>
  <c r="C39" i="20"/>
  <c r="C38" i="20"/>
  <c r="E31" i="25" l="1"/>
  <c r="E57" i="25"/>
  <c r="E56" i="25"/>
  <c r="E55" i="25"/>
  <c r="E54" i="25"/>
  <c r="E53" i="25"/>
  <c r="E52" i="25"/>
  <c r="E51" i="25"/>
  <c r="E50" i="25"/>
  <c r="E49" i="25"/>
  <c r="E48" i="25"/>
  <c r="E47" i="25"/>
  <c r="AA12" i="25"/>
  <c r="E46" i="25"/>
  <c r="E45" i="25"/>
  <c r="BB12" i="25"/>
  <c r="V12" i="25"/>
  <c r="E44" i="25"/>
  <c r="E43" i="25"/>
  <c r="R12" i="25"/>
  <c r="E42" i="25"/>
  <c r="E41" i="25"/>
  <c r="BS12" i="25"/>
  <c r="E40" i="25"/>
  <c r="E39" i="25"/>
  <c r="BL12" i="25"/>
  <c r="BK12" i="25"/>
  <c r="E38" i="25"/>
  <c r="E37" i="25"/>
  <c r="E36" i="25"/>
  <c r="E35" i="25"/>
  <c r="BH12" i="25"/>
  <c r="AX12" i="25"/>
  <c r="E34" i="25"/>
  <c r="E33" i="25"/>
  <c r="AT12" i="25"/>
  <c r="AS12" i="25"/>
  <c r="W12" i="25"/>
  <c r="E32" i="25"/>
  <c r="E30" i="25"/>
  <c r="E29" i="25"/>
  <c r="AW12" i="25"/>
  <c r="E28" i="25"/>
  <c r="E27" i="25"/>
  <c r="BJ12" i="25"/>
  <c r="AY12" i="25"/>
  <c r="AG12" i="25"/>
  <c r="S12" i="25"/>
  <c r="E26" i="25"/>
  <c r="AJ13" i="25"/>
  <c r="E25" i="25"/>
  <c r="E24" i="25"/>
  <c r="R13" i="25"/>
  <c r="E23" i="25"/>
  <c r="BA12" i="25"/>
  <c r="E22" i="25"/>
  <c r="AZ13" i="25"/>
  <c r="AW13" i="25"/>
  <c r="E21" i="25"/>
  <c r="BP12" i="25"/>
  <c r="AV12" i="25"/>
  <c r="AC12" i="25"/>
  <c r="E20" i="25"/>
  <c r="AY13" i="25"/>
  <c r="AX13" i="25"/>
  <c r="E19" i="25"/>
  <c r="BN12" i="25"/>
  <c r="BI12" i="25"/>
  <c r="AE12" i="25"/>
  <c r="AB12" i="25"/>
  <c r="X12" i="25"/>
  <c r="M12" i="25"/>
  <c r="E18" i="25"/>
  <c r="BM13" i="25"/>
  <c r="AU13" i="25"/>
  <c r="AE13" i="25"/>
  <c r="AC13" i="25"/>
  <c r="AB13" i="25"/>
  <c r="U13" i="25"/>
  <c r="BQ12" i="25"/>
  <c r="BO12" i="25"/>
  <c r="BG12" i="25"/>
  <c r="BF12" i="25"/>
  <c r="AQ12" i="25"/>
  <c r="AD12" i="25"/>
  <c r="Z12" i="25"/>
  <c r="Y12" i="25"/>
  <c r="O12" i="25"/>
  <c r="E16" i="25"/>
  <c r="BP13" i="25"/>
  <c r="BN13" i="25"/>
  <c r="AG13" i="25"/>
  <c r="P13" i="25"/>
  <c r="M13" i="25"/>
  <c r="E15" i="25"/>
  <c r="BM12" i="25"/>
  <c r="BD12" i="25"/>
  <c r="BC12" i="25"/>
  <c r="AZ12" i="25"/>
  <c r="AU12" i="25"/>
  <c r="AR12" i="25"/>
  <c r="AJ12" i="25"/>
  <c r="AI12" i="25"/>
  <c r="T12" i="25"/>
  <c r="P12" i="25"/>
  <c r="N12" i="25"/>
  <c r="J12" i="25"/>
  <c r="E14" i="25"/>
  <c r="BS13" i="25"/>
  <c r="BR13" i="25"/>
  <c r="BQ13" i="25"/>
  <c r="BO13" i="25"/>
  <c r="BL13" i="25"/>
  <c r="BK13" i="25"/>
  <c r="BJ13" i="25"/>
  <c r="BI13" i="25"/>
  <c r="BH13" i="25"/>
  <c r="BG13" i="25"/>
  <c r="BF13" i="25"/>
  <c r="BE13" i="25"/>
  <c r="BD13" i="25"/>
  <c r="BC13" i="25"/>
  <c r="BB13" i="25"/>
  <c r="BA13" i="25"/>
  <c r="AV13" i="25"/>
  <c r="AT13" i="25"/>
  <c r="AS13" i="25"/>
  <c r="AR13" i="25"/>
  <c r="AQ13" i="25"/>
  <c r="AP13" i="25"/>
  <c r="AO13" i="25"/>
  <c r="AI13" i="25"/>
  <c r="AH13" i="25"/>
  <c r="AF13" i="25"/>
  <c r="AA13" i="25"/>
  <c r="Z13" i="25"/>
  <c r="Y13" i="25"/>
  <c r="X13" i="25"/>
  <c r="W13" i="25"/>
  <c r="V13" i="25"/>
  <c r="T13" i="25"/>
  <c r="S13" i="25"/>
  <c r="Q13" i="25"/>
  <c r="O13" i="25"/>
  <c r="N13" i="25"/>
  <c r="K13" i="25"/>
  <c r="J13" i="25"/>
  <c r="I13" i="25"/>
  <c r="H13" i="25"/>
  <c r="G13" i="25"/>
  <c r="F13" i="25"/>
  <c r="BR12" i="25"/>
  <c r="BE12" i="25"/>
  <c r="AP12" i="25"/>
  <c r="AO12" i="25"/>
  <c r="AH12" i="25"/>
  <c r="AF12" i="25"/>
  <c r="U12" i="25"/>
  <c r="Q12" i="25"/>
  <c r="L12" i="25"/>
  <c r="K12" i="25"/>
  <c r="G12" i="25"/>
  <c r="F12" i="25"/>
  <c r="C37" i="20"/>
  <c r="H12" i="25" l="1"/>
  <c r="L13" i="25"/>
  <c r="AD13" i="25"/>
  <c r="I12" i="25"/>
  <c r="E17" i="25"/>
  <c r="E13" i="25" l="1"/>
  <c r="E12" i="25"/>
  <c r="BN56" i="24"/>
  <c r="BF56" i="24"/>
  <c r="AY56" i="24"/>
  <c r="AW56" i="24"/>
  <c r="BP54" i="24"/>
  <c r="BO54" i="24"/>
  <c r="BK54" i="24"/>
  <c r="BJ54" i="24"/>
  <c r="BI54" i="24"/>
  <c r="BB54" i="24"/>
  <c r="BA54" i="24"/>
  <c r="AZ54" i="24"/>
  <c r="AY54" i="24"/>
  <c r="AW54" i="24"/>
  <c r="AV54" i="24"/>
  <c r="AQ54" i="24"/>
  <c r="AY53" i="24"/>
  <c r="AW53" i="24"/>
  <c r="BO52" i="24"/>
  <c r="BN52" i="24"/>
  <c r="BK52" i="24"/>
  <c r="BJ52" i="24"/>
  <c r="BI52" i="24"/>
  <c r="BB52" i="24"/>
  <c r="BA52" i="24"/>
  <c r="AZ52" i="24"/>
  <c r="AX52" i="24"/>
  <c r="AW52" i="24"/>
  <c r="AV52" i="24"/>
  <c r="AS52" i="24"/>
  <c r="AR52" i="24"/>
  <c r="AQ52" i="24"/>
  <c r="AO52" i="24"/>
  <c r="BP50" i="24"/>
  <c r="BO50" i="24"/>
  <c r="BK50" i="24"/>
  <c r="BJ50" i="24"/>
  <c r="BI50" i="24"/>
  <c r="BE50" i="24"/>
  <c r="BD50" i="24"/>
  <c r="BC50" i="24"/>
  <c r="BB50" i="24"/>
  <c r="BA50" i="24"/>
  <c r="AZ50" i="24"/>
  <c r="AY50" i="24"/>
  <c r="AX50" i="24"/>
  <c r="AV50" i="24"/>
  <c r="AS50" i="24"/>
  <c r="AR50" i="24"/>
  <c r="AY49" i="24"/>
  <c r="AW49" i="24"/>
  <c r="AV49" i="24"/>
  <c r="BS48" i="24"/>
  <c r="BP48" i="24"/>
  <c r="BO48" i="24"/>
  <c r="BN48" i="24"/>
  <c r="BK48" i="24"/>
  <c r="BJ48" i="24"/>
  <c r="BI48" i="24"/>
  <c r="BC48" i="24"/>
  <c r="BB48" i="24"/>
  <c r="AZ48" i="24"/>
  <c r="AY48" i="24"/>
  <c r="AW48" i="24"/>
  <c r="AV48" i="24"/>
  <c r="AR48" i="24"/>
  <c r="AQ48" i="24"/>
  <c r="AY47" i="24"/>
  <c r="BP46" i="24"/>
  <c r="BO46" i="24"/>
  <c r="BN46" i="24"/>
  <c r="BL46" i="24"/>
  <c r="BK46" i="24"/>
  <c r="BJ46" i="24"/>
  <c r="BH46" i="24"/>
  <c r="BC46" i="24"/>
  <c r="AZ46" i="24"/>
  <c r="AY46" i="24"/>
  <c r="AX46" i="24"/>
  <c r="AW46" i="24"/>
  <c r="AQ46" i="24"/>
  <c r="BS44" i="24"/>
  <c r="BP44" i="24"/>
  <c r="BO44" i="24"/>
  <c r="BN44" i="24"/>
  <c r="BK44" i="24"/>
  <c r="BJ44" i="24"/>
  <c r="BI44" i="24"/>
  <c r="BC44" i="24"/>
  <c r="BB44" i="24"/>
  <c r="AY44" i="24"/>
  <c r="AX44" i="24"/>
  <c r="AW44" i="24"/>
  <c r="AV44" i="24"/>
  <c r="AR44" i="24"/>
  <c r="AQ44" i="24"/>
  <c r="AO44" i="24"/>
  <c r="BS42" i="24"/>
  <c r="BP42" i="24"/>
  <c r="BO42" i="24"/>
  <c r="BN42" i="24"/>
  <c r="BL42" i="24"/>
  <c r="BK42" i="24"/>
  <c r="BJ42" i="24"/>
  <c r="BI42" i="24"/>
  <c r="BE42" i="24"/>
  <c r="BD42" i="24"/>
  <c r="BC42" i="24"/>
  <c r="BB42" i="24"/>
  <c r="AZ42" i="24"/>
  <c r="AY42" i="24"/>
  <c r="AX42" i="24"/>
  <c r="AW42" i="24"/>
  <c r="AV42" i="24"/>
  <c r="AS42" i="24"/>
  <c r="AR42" i="24"/>
  <c r="AO42" i="24"/>
  <c r="AY41" i="24"/>
  <c r="AW41" i="24"/>
  <c r="AQ41" i="24"/>
  <c r="BS40" i="24"/>
  <c r="BP40" i="24"/>
  <c r="BO40" i="24"/>
  <c r="BN40" i="24"/>
  <c r="BM40" i="24"/>
  <c r="BK40" i="24"/>
  <c r="BJ40" i="24"/>
  <c r="BE40" i="24"/>
  <c r="BD40" i="24"/>
  <c r="BB40" i="24"/>
  <c r="BA40" i="24"/>
  <c r="AX40" i="24"/>
  <c r="AW40" i="24"/>
  <c r="AV40" i="24"/>
  <c r="AR40" i="24"/>
  <c r="AQ40" i="24"/>
  <c r="AO40" i="24"/>
  <c r="AY39" i="24"/>
  <c r="BS38" i="24"/>
  <c r="BP38" i="24"/>
  <c r="BO38" i="24"/>
  <c r="BN38" i="24"/>
  <c r="BL38" i="24"/>
  <c r="BK38" i="24"/>
  <c r="BJ38" i="24"/>
  <c r="BI38" i="24"/>
  <c r="BA38" i="24"/>
  <c r="AZ38" i="24"/>
  <c r="AY38" i="24"/>
  <c r="AX38" i="24"/>
  <c r="AW38" i="24"/>
  <c r="AV38" i="24"/>
  <c r="AR38" i="24"/>
  <c r="AQ38" i="24"/>
  <c r="BS36" i="24"/>
  <c r="BP36" i="24"/>
  <c r="BO36" i="24"/>
  <c r="BN36" i="24"/>
  <c r="BN12" i="24" s="1"/>
  <c r="BM36" i="24"/>
  <c r="BK36" i="24"/>
  <c r="BJ36" i="24"/>
  <c r="BI36" i="24"/>
  <c r="BH36" i="24"/>
  <c r="BE36" i="24"/>
  <c r="BD36" i="24"/>
  <c r="BC36" i="24"/>
  <c r="BB36" i="24"/>
  <c r="AZ36" i="24"/>
  <c r="AY36" i="24"/>
  <c r="AX36" i="24"/>
  <c r="AW36" i="24"/>
  <c r="AV36" i="24"/>
  <c r="AR36" i="24"/>
  <c r="AR12" i="24" s="1"/>
  <c r="AQ36" i="24"/>
  <c r="AO36" i="24"/>
  <c r="AY35" i="24"/>
  <c r="BS34" i="24"/>
  <c r="BP34" i="24"/>
  <c r="BO34" i="24"/>
  <c r="BL34" i="24"/>
  <c r="BK34" i="24"/>
  <c r="BJ34" i="24"/>
  <c r="BI34" i="24"/>
  <c r="BH34" i="24"/>
  <c r="BG34" i="24"/>
  <c r="BE34" i="24"/>
  <c r="BD34" i="24"/>
  <c r="BC34" i="24"/>
  <c r="BB34" i="24"/>
  <c r="AZ34" i="24"/>
  <c r="AX34" i="24"/>
  <c r="AW34" i="24"/>
  <c r="AV34" i="24"/>
  <c r="AR34" i="24"/>
  <c r="AQ34" i="24"/>
  <c r="AO34" i="24"/>
  <c r="BN33" i="24"/>
  <c r="BL33" i="24"/>
  <c r="BE33" i="24"/>
  <c r="AY33" i="24"/>
  <c r="AQ33" i="24"/>
  <c r="BS32" i="24"/>
  <c r="BO32" i="24"/>
  <c r="BM32" i="24"/>
  <c r="BK32" i="24"/>
  <c r="BJ32" i="24"/>
  <c r="BG32" i="24"/>
  <c r="BF32" i="24"/>
  <c r="BD32" i="24"/>
  <c r="BB32" i="24"/>
  <c r="BA32" i="24"/>
  <c r="AY32" i="24"/>
  <c r="AX32" i="24"/>
  <c r="AW32" i="24"/>
  <c r="AV32" i="24"/>
  <c r="AT32" i="24"/>
  <c r="AS32" i="24"/>
  <c r="AR32" i="24"/>
  <c r="AQ32" i="24"/>
  <c r="AO32" i="24"/>
  <c r="AZ31" i="24"/>
  <c r="BS30" i="24"/>
  <c r="BP30" i="24"/>
  <c r="BO30" i="24"/>
  <c r="BL30" i="24"/>
  <c r="BJ30" i="24"/>
  <c r="BI30" i="24"/>
  <c r="BB30" i="24"/>
  <c r="AZ30" i="24"/>
  <c r="AW30" i="24"/>
  <c r="AR30" i="24"/>
  <c r="AQ30" i="24"/>
  <c r="BS28" i="24"/>
  <c r="BP28" i="24"/>
  <c r="BN28" i="24"/>
  <c r="BK28" i="24"/>
  <c r="BJ28" i="24"/>
  <c r="BI28" i="24"/>
  <c r="BH28" i="24"/>
  <c r="BC28" i="24"/>
  <c r="BB28" i="24"/>
  <c r="BA28" i="24"/>
  <c r="AZ28" i="24"/>
  <c r="AY28" i="24"/>
  <c r="AW28" i="24"/>
  <c r="AV28" i="24"/>
  <c r="AR28" i="24"/>
  <c r="BP27" i="24"/>
  <c r="BJ27" i="24"/>
  <c r="AZ27" i="24"/>
  <c r="AW27" i="24"/>
  <c r="BS26" i="24"/>
  <c r="BP26" i="24"/>
  <c r="BO26" i="24"/>
  <c r="BN26" i="24"/>
  <c r="BM26" i="24"/>
  <c r="BL26" i="24"/>
  <c r="BK26" i="24"/>
  <c r="BJ26" i="24"/>
  <c r="BI26" i="24"/>
  <c r="BG26" i="24"/>
  <c r="BF26" i="24"/>
  <c r="BE26" i="24"/>
  <c r="BD26" i="24"/>
  <c r="BC26" i="24"/>
  <c r="BB26" i="24"/>
  <c r="BA26" i="24"/>
  <c r="AZ26" i="24"/>
  <c r="AY26" i="24"/>
  <c r="AX26" i="24"/>
  <c r="AW26" i="24"/>
  <c r="AV26" i="24"/>
  <c r="AU26" i="24"/>
  <c r="AS26" i="24"/>
  <c r="AR26" i="24"/>
  <c r="AQ26" i="24"/>
  <c r="BS25" i="24"/>
  <c r="BO25" i="24"/>
  <c r="BN25" i="24"/>
  <c r="AY25" i="24"/>
  <c r="BS24" i="24"/>
  <c r="BP24" i="24"/>
  <c r="BL24" i="24"/>
  <c r="BJ24" i="24"/>
  <c r="BI24" i="24"/>
  <c r="BG24" i="24"/>
  <c r="BF24" i="24"/>
  <c r="BE24" i="24"/>
  <c r="BD24" i="24"/>
  <c r="BC24" i="24"/>
  <c r="BB24" i="24"/>
  <c r="BA24" i="24"/>
  <c r="AZ24" i="24"/>
  <c r="AX24" i="24"/>
  <c r="AV24" i="24"/>
  <c r="AR24" i="24"/>
  <c r="AZ23" i="24"/>
  <c r="AY23" i="24"/>
  <c r="AW23" i="24"/>
  <c r="AQ23" i="24"/>
  <c r="BP22" i="24"/>
  <c r="BM22" i="24"/>
  <c r="BL22" i="24"/>
  <c r="BK22" i="24"/>
  <c r="BJ22" i="24"/>
  <c r="BH22" i="24"/>
  <c r="BG22" i="24"/>
  <c r="BF22" i="24"/>
  <c r="BD22" i="24"/>
  <c r="BC22" i="24"/>
  <c r="BB22" i="24"/>
  <c r="BA22" i="24"/>
  <c r="AZ22" i="24"/>
  <c r="AX22" i="24"/>
  <c r="AV22" i="24"/>
  <c r="BS21" i="24"/>
  <c r="BN21" i="24"/>
  <c r="AZ21" i="24"/>
  <c r="AY21" i="24"/>
  <c r="AW21" i="24"/>
  <c r="AQ21" i="24"/>
  <c r="BS20" i="24"/>
  <c r="BP20" i="24"/>
  <c r="BL20" i="24"/>
  <c r="BK20" i="24"/>
  <c r="BJ20" i="24"/>
  <c r="BI20" i="24"/>
  <c r="BH20" i="24"/>
  <c r="BG20" i="24"/>
  <c r="BE20" i="24"/>
  <c r="BA20" i="24"/>
  <c r="AW20" i="24"/>
  <c r="AV20" i="24"/>
  <c r="AU20" i="24"/>
  <c r="AT20" i="24"/>
  <c r="AS20" i="24"/>
  <c r="AR20" i="24"/>
  <c r="AQ20" i="24"/>
  <c r="AO20" i="24"/>
  <c r="BK19" i="24"/>
  <c r="AY19" i="24"/>
  <c r="AX19" i="24"/>
  <c r="AX13" i="24" s="1"/>
  <c r="AW19" i="24"/>
  <c r="AV19" i="24"/>
  <c r="AQ19" i="24"/>
  <c r="BN18" i="24"/>
  <c r="BK18" i="24"/>
  <c r="BI18" i="24"/>
  <c r="BG18" i="24"/>
  <c r="BF18" i="24"/>
  <c r="BE18" i="24"/>
  <c r="BD18" i="24"/>
  <c r="BD12" i="24" s="1"/>
  <c r="BC18" i="24"/>
  <c r="BB18" i="24"/>
  <c r="BA18" i="24"/>
  <c r="AX18" i="24"/>
  <c r="AW18" i="24"/>
  <c r="AU18" i="24"/>
  <c r="AS18" i="24"/>
  <c r="AO18" i="24"/>
  <c r="BP17" i="24"/>
  <c r="BN17" i="24"/>
  <c r="BM17" i="24"/>
  <c r="BL17" i="24"/>
  <c r="BL13" i="24" s="1"/>
  <c r="BK17" i="24"/>
  <c r="BK13" i="24" s="1"/>
  <c r="BJ17" i="24"/>
  <c r="BJ13" i="24" s="1"/>
  <c r="AY17" i="24"/>
  <c r="AV17" i="24"/>
  <c r="AV13" i="24" s="1"/>
  <c r="AU17" i="24"/>
  <c r="AQ17" i="24"/>
  <c r="BS16" i="24"/>
  <c r="BQ16" i="24"/>
  <c r="BP16" i="24"/>
  <c r="BO16" i="24"/>
  <c r="BN16" i="24"/>
  <c r="BG16" i="24"/>
  <c r="BF16" i="24"/>
  <c r="BC16" i="24"/>
  <c r="BB16" i="24"/>
  <c r="AZ16" i="24"/>
  <c r="AX16" i="24"/>
  <c r="AW16" i="24"/>
  <c r="AV16" i="24"/>
  <c r="AU16" i="24"/>
  <c r="AS16" i="24"/>
  <c r="AQ16" i="24"/>
  <c r="AO16" i="24"/>
  <c r="BS15" i="24"/>
  <c r="BP15" i="24"/>
  <c r="BP13" i="24" s="1"/>
  <c r="BN15" i="24"/>
  <c r="AY15" i="24"/>
  <c r="AW15" i="24"/>
  <c r="AV15" i="24"/>
  <c r="AR15" i="24"/>
  <c r="AQ15" i="24"/>
  <c r="BS14" i="24"/>
  <c r="BM14" i="24"/>
  <c r="BJ14" i="24"/>
  <c r="BG14" i="24"/>
  <c r="BF14" i="24"/>
  <c r="BE14" i="24"/>
  <c r="BE12" i="24" s="1"/>
  <c r="BD14" i="24"/>
  <c r="BC14" i="24"/>
  <c r="BA14" i="24"/>
  <c r="AZ14" i="24"/>
  <c r="AX14" i="24"/>
  <c r="AX12" i="24" s="1"/>
  <c r="AW14" i="24"/>
  <c r="AV14" i="24"/>
  <c r="AU14" i="24"/>
  <c r="AR14" i="24"/>
  <c r="AO14" i="24"/>
  <c r="BR13" i="24"/>
  <c r="BQ13" i="24"/>
  <c r="BO13" i="24"/>
  <c r="BM13" i="24"/>
  <c r="BI13" i="24"/>
  <c r="BH13" i="24"/>
  <c r="BG13" i="24"/>
  <c r="BF13" i="24"/>
  <c r="BE13" i="24"/>
  <c r="BD13" i="24"/>
  <c r="BC13" i="24"/>
  <c r="BB13" i="24"/>
  <c r="BA13" i="24"/>
  <c r="AY13" i="24"/>
  <c r="AU13" i="24"/>
  <c r="AT13" i="24"/>
  <c r="AS13" i="24"/>
  <c r="AR13" i="24"/>
  <c r="AP13" i="24"/>
  <c r="AO13" i="24"/>
  <c r="BR12" i="24"/>
  <c r="BQ12" i="24"/>
  <c r="BL12" i="24"/>
  <c r="BH12" i="24"/>
  <c r="BA12" i="24"/>
  <c r="AT12" i="24"/>
  <c r="AP12" i="24"/>
  <c r="AG57" i="24"/>
  <c r="E57" i="24"/>
  <c r="AG56" i="24"/>
  <c r="AC56" i="24"/>
  <c r="AB56" i="24"/>
  <c r="AA56" i="24"/>
  <c r="Z56" i="24"/>
  <c r="V56" i="24"/>
  <c r="U56" i="24"/>
  <c r="S56" i="24"/>
  <c r="R56" i="24"/>
  <c r="M56" i="24"/>
  <c r="AG55" i="24"/>
  <c r="E55" i="24" s="1"/>
  <c r="AG54" i="24"/>
  <c r="AE54" i="24"/>
  <c r="AD54" i="24"/>
  <c r="AC54" i="24"/>
  <c r="AB54" i="24"/>
  <c r="AA54" i="24"/>
  <c r="Z54" i="24"/>
  <c r="Y54" i="24"/>
  <c r="V54" i="24"/>
  <c r="U54" i="24"/>
  <c r="S54" i="24"/>
  <c r="R54" i="24"/>
  <c r="N54" i="24"/>
  <c r="M54" i="24"/>
  <c r="L54" i="24"/>
  <c r="AD53" i="24"/>
  <c r="AB53" i="24"/>
  <c r="AJ52" i="24"/>
  <c r="AE52" i="24"/>
  <c r="AD52" i="24"/>
  <c r="AC52" i="24"/>
  <c r="AB52" i="24"/>
  <c r="AA52" i="24"/>
  <c r="Z52" i="24"/>
  <c r="Y52" i="24"/>
  <c r="W52" i="24"/>
  <c r="V52" i="24"/>
  <c r="U52" i="24"/>
  <c r="R52" i="24"/>
  <c r="P52" i="24"/>
  <c r="O52" i="24"/>
  <c r="N52" i="24"/>
  <c r="K52" i="24"/>
  <c r="J52" i="24"/>
  <c r="AG51" i="24"/>
  <c r="S51" i="24"/>
  <c r="AH50" i="24"/>
  <c r="AE50" i="24"/>
  <c r="AC50" i="24"/>
  <c r="AA50" i="24"/>
  <c r="Y50" i="24"/>
  <c r="X50" i="24"/>
  <c r="V50" i="24"/>
  <c r="U50" i="24"/>
  <c r="T50" i="24"/>
  <c r="R50" i="24"/>
  <c r="P50" i="24"/>
  <c r="F50" i="24"/>
  <c r="AG49" i="24"/>
  <c r="AD49" i="24"/>
  <c r="AJ48" i="24"/>
  <c r="AH48" i="24"/>
  <c r="AG48" i="24"/>
  <c r="AE48" i="24"/>
  <c r="AD48" i="24"/>
  <c r="AC48" i="24"/>
  <c r="AB48" i="24"/>
  <c r="AA48" i="24"/>
  <c r="Z48" i="24"/>
  <c r="Y48" i="24"/>
  <c r="W48" i="24"/>
  <c r="V48" i="24"/>
  <c r="U48" i="24"/>
  <c r="S48" i="24"/>
  <c r="R48" i="24"/>
  <c r="P48" i="24"/>
  <c r="O48" i="24"/>
  <c r="M48" i="24"/>
  <c r="L48" i="24"/>
  <c r="K48" i="24"/>
  <c r="AG47" i="24"/>
  <c r="AE46" i="24"/>
  <c r="AA46" i="24"/>
  <c r="S46" i="24"/>
  <c r="P46" i="24"/>
  <c r="N46" i="24"/>
  <c r="M46" i="24"/>
  <c r="K46" i="24"/>
  <c r="AG45" i="24"/>
  <c r="E45" i="24" s="1"/>
  <c r="AJ44" i="24"/>
  <c r="AE44" i="24"/>
  <c r="AD44" i="24"/>
  <c r="AC44" i="24"/>
  <c r="AB44" i="24"/>
  <c r="AA44" i="24"/>
  <c r="Z44" i="24"/>
  <c r="Y44" i="24"/>
  <c r="V44" i="24"/>
  <c r="U44" i="24"/>
  <c r="S44" i="24"/>
  <c r="R44" i="24"/>
  <c r="P44" i="24"/>
  <c r="N44" i="24"/>
  <c r="M44" i="24"/>
  <c r="K44" i="24"/>
  <c r="J44" i="24"/>
  <c r="AG43" i="24"/>
  <c r="O43" i="24"/>
  <c r="E43" i="24"/>
  <c r="AJ42" i="24"/>
  <c r="AH42" i="24"/>
  <c r="AG42" i="24"/>
  <c r="AE42" i="24"/>
  <c r="AC42" i="24"/>
  <c r="AB42" i="24"/>
  <c r="AA42" i="24"/>
  <c r="Z42" i="24"/>
  <c r="Y42" i="24"/>
  <c r="X42" i="24"/>
  <c r="W42" i="24"/>
  <c r="V42" i="24"/>
  <c r="U42" i="24"/>
  <c r="T42" i="24"/>
  <c r="S42" i="24"/>
  <c r="R42" i="24"/>
  <c r="P42" i="24"/>
  <c r="O42" i="24"/>
  <c r="N42" i="24"/>
  <c r="M42" i="24"/>
  <c r="K42" i="24"/>
  <c r="K12" i="24" s="1"/>
  <c r="G42" i="24"/>
  <c r="F42" i="24"/>
  <c r="AG41" i="24"/>
  <c r="AB41" i="24"/>
  <c r="AJ40" i="24"/>
  <c r="AE40" i="24"/>
  <c r="AD40" i="24"/>
  <c r="AC40" i="24"/>
  <c r="AB40" i="24"/>
  <c r="AA40" i="24"/>
  <c r="Z40" i="24"/>
  <c r="Y40" i="24"/>
  <c r="X40" i="24"/>
  <c r="W40" i="24"/>
  <c r="V40" i="24"/>
  <c r="U40" i="24"/>
  <c r="T40" i="24"/>
  <c r="S40" i="24"/>
  <c r="R40" i="24"/>
  <c r="P40" i="24"/>
  <c r="O40" i="24"/>
  <c r="N40" i="24"/>
  <c r="M40" i="24"/>
  <c r="K40" i="24"/>
  <c r="J40" i="24"/>
  <c r="H40" i="24"/>
  <c r="F40" i="24"/>
  <c r="AG39" i="24"/>
  <c r="AJ38" i="24"/>
  <c r="AH38" i="24"/>
  <c r="AG38" i="24"/>
  <c r="AE38" i="24"/>
  <c r="AD38" i="24"/>
  <c r="AC38" i="24"/>
  <c r="AA38" i="24"/>
  <c r="Z38" i="24"/>
  <c r="Y38" i="24"/>
  <c r="V38" i="24"/>
  <c r="U38" i="24"/>
  <c r="S38" i="24"/>
  <c r="R38" i="24"/>
  <c r="P38" i="24"/>
  <c r="O38" i="24"/>
  <c r="N38" i="24"/>
  <c r="L38" i="24"/>
  <c r="H38" i="24"/>
  <c r="F38" i="24"/>
  <c r="AG37" i="24"/>
  <c r="E37" i="24" s="1"/>
  <c r="AJ36" i="24"/>
  <c r="AI36" i="24"/>
  <c r="AG36" i="24"/>
  <c r="AE36" i="24"/>
  <c r="AD36" i="24"/>
  <c r="AC36" i="24"/>
  <c r="AB36" i="24"/>
  <c r="AA36" i="24"/>
  <c r="Z36" i="24"/>
  <c r="Y36" i="24"/>
  <c r="X36" i="24"/>
  <c r="V36" i="24"/>
  <c r="U36" i="24"/>
  <c r="T36" i="24"/>
  <c r="S36" i="24"/>
  <c r="P36" i="24"/>
  <c r="O36" i="24"/>
  <c r="N36" i="24"/>
  <c r="M36" i="24"/>
  <c r="L36" i="24"/>
  <c r="K36" i="24"/>
  <c r="J36" i="24"/>
  <c r="H36" i="24"/>
  <c r="F36" i="24"/>
  <c r="V35" i="24"/>
  <c r="AJ34" i="24"/>
  <c r="AI34" i="24"/>
  <c r="AH34" i="24"/>
  <c r="AD34" i="24"/>
  <c r="AB34" i="24"/>
  <c r="AA34" i="24"/>
  <c r="Z34" i="24"/>
  <c r="Z12" i="24" s="1"/>
  <c r="Y34" i="24"/>
  <c r="X34" i="24"/>
  <c r="V34" i="24"/>
  <c r="S34" i="24"/>
  <c r="P34" i="24"/>
  <c r="K34" i="24"/>
  <c r="F34" i="24"/>
  <c r="AJ33" i="24"/>
  <c r="AG33" i="24"/>
  <c r="AD33" i="24"/>
  <c r="AC33" i="24"/>
  <c r="P33" i="24"/>
  <c r="L33" i="24"/>
  <c r="AI32" i="24"/>
  <c r="AB32" i="24"/>
  <c r="AA32" i="24"/>
  <c r="Y32" i="24"/>
  <c r="X32" i="24"/>
  <c r="W32" i="24"/>
  <c r="U32" i="24"/>
  <c r="T32" i="24"/>
  <c r="P32" i="24"/>
  <c r="O32" i="24"/>
  <c r="N32" i="24"/>
  <c r="J32" i="24"/>
  <c r="H32" i="24"/>
  <c r="G32" i="24"/>
  <c r="F32" i="24"/>
  <c r="AJ30" i="24"/>
  <c r="AE30" i="24"/>
  <c r="AD30" i="24"/>
  <c r="AC30" i="24"/>
  <c r="AB30" i="24"/>
  <c r="AA30" i="24"/>
  <c r="Z30" i="24"/>
  <c r="Y30" i="24"/>
  <c r="V30" i="24"/>
  <c r="U30" i="24"/>
  <c r="S30" i="24"/>
  <c r="O30" i="24"/>
  <c r="N30" i="24"/>
  <c r="M30" i="24"/>
  <c r="K30" i="24"/>
  <c r="F30" i="24"/>
  <c r="AG29" i="24"/>
  <c r="AD29" i="24"/>
  <c r="E29" i="24"/>
  <c r="AJ28" i="24"/>
  <c r="AE28" i="24"/>
  <c r="AD28" i="24"/>
  <c r="AC28" i="24"/>
  <c r="AB28" i="24"/>
  <c r="AA28" i="24"/>
  <c r="Z28" i="24"/>
  <c r="Y28" i="24"/>
  <c r="W28" i="24"/>
  <c r="V28" i="24"/>
  <c r="T28" i="24"/>
  <c r="S28" i="24"/>
  <c r="N28" i="24"/>
  <c r="M28" i="24"/>
  <c r="AG27" i="24"/>
  <c r="E27" i="24"/>
  <c r="AJ26" i="24"/>
  <c r="AH26" i="24"/>
  <c r="AG26" i="24"/>
  <c r="AE26" i="24"/>
  <c r="AD26" i="24"/>
  <c r="AC26" i="24"/>
  <c r="AB26" i="24"/>
  <c r="AA26" i="24"/>
  <c r="Z26" i="24"/>
  <c r="Y26" i="24"/>
  <c r="X26" i="24"/>
  <c r="W26" i="24"/>
  <c r="V26" i="24"/>
  <c r="U26" i="24"/>
  <c r="T26" i="24"/>
  <c r="S26" i="24"/>
  <c r="R26" i="24"/>
  <c r="P26" i="24"/>
  <c r="O26" i="24"/>
  <c r="N26" i="24"/>
  <c r="L26" i="24"/>
  <c r="L12" i="24" s="1"/>
  <c r="K26" i="24"/>
  <c r="J26" i="24"/>
  <c r="H26" i="24"/>
  <c r="F26" i="24"/>
  <c r="AJ25" i="24"/>
  <c r="AD25" i="24"/>
  <c r="AB25" i="24"/>
  <c r="Z25" i="24"/>
  <c r="S25" i="24"/>
  <c r="P25" i="24"/>
  <c r="L25" i="24"/>
  <c r="E25" i="24" s="1"/>
  <c r="AJ24" i="24"/>
  <c r="AI24" i="24"/>
  <c r="AH24" i="24"/>
  <c r="AE24" i="24"/>
  <c r="AC24" i="24"/>
  <c r="AB24" i="24"/>
  <c r="AA24" i="24"/>
  <c r="Z24" i="24"/>
  <c r="Y24" i="24"/>
  <c r="X24" i="24"/>
  <c r="W24" i="24"/>
  <c r="V24" i="24"/>
  <c r="U24" i="24"/>
  <c r="T24" i="24"/>
  <c r="N24" i="24"/>
  <c r="J24" i="24"/>
  <c r="H24" i="24"/>
  <c r="G24" i="24"/>
  <c r="F24" i="24"/>
  <c r="AG23" i="24"/>
  <c r="AD23" i="24"/>
  <c r="AA23" i="24"/>
  <c r="V23" i="24"/>
  <c r="R23" i="24"/>
  <c r="M23" i="24"/>
  <c r="L23" i="24"/>
  <c r="AH22" i="24"/>
  <c r="AB22" i="24"/>
  <c r="Y22" i="24"/>
  <c r="T22" i="24"/>
  <c r="O22" i="24"/>
  <c r="AG21" i="24"/>
  <c r="AD21" i="24"/>
  <c r="AC21" i="24"/>
  <c r="V21" i="24"/>
  <c r="L21" i="24"/>
  <c r="AJ20" i="24"/>
  <c r="AI20" i="24"/>
  <c r="AH20" i="24"/>
  <c r="AE20" i="24"/>
  <c r="AD20" i="24"/>
  <c r="AC20" i="24"/>
  <c r="AB20" i="24"/>
  <c r="AA20" i="24"/>
  <c r="Z20" i="24"/>
  <c r="Y20" i="24"/>
  <c r="X20" i="24"/>
  <c r="W20" i="24"/>
  <c r="V20" i="24"/>
  <c r="T20" i="24"/>
  <c r="K20" i="24"/>
  <c r="J20" i="24"/>
  <c r="I20" i="24"/>
  <c r="G20" i="24"/>
  <c r="F20" i="24"/>
  <c r="AJ19" i="24"/>
  <c r="AJ13" i="24" s="1"/>
  <c r="AG19" i="24"/>
  <c r="AD19" i="24"/>
  <c r="AB19" i="24"/>
  <c r="V19" i="24"/>
  <c r="P19" i="24"/>
  <c r="M19" i="24"/>
  <c r="L19" i="24"/>
  <c r="AJ18" i="24"/>
  <c r="AI18" i="24"/>
  <c r="AI12" i="24" s="1"/>
  <c r="AH18" i="24"/>
  <c r="AE18" i="24"/>
  <c r="AB18" i="24"/>
  <c r="AA18" i="24"/>
  <c r="AA12" i="24" s="1"/>
  <c r="Z18" i="24"/>
  <c r="X18" i="24"/>
  <c r="V18" i="24"/>
  <c r="R18" i="24"/>
  <c r="P18" i="24"/>
  <c r="O18" i="24"/>
  <c r="N18" i="24"/>
  <c r="M18" i="24"/>
  <c r="L18" i="24"/>
  <c r="K18" i="24"/>
  <c r="J18" i="24"/>
  <c r="H18" i="24"/>
  <c r="G18" i="24"/>
  <c r="F18" i="24"/>
  <c r="AJ17" i="24"/>
  <c r="AG17" i="24"/>
  <c r="AE17" i="24"/>
  <c r="AD17" i="24"/>
  <c r="AC17" i="24"/>
  <c r="AC13" i="24" s="1"/>
  <c r="AB17" i="24"/>
  <c r="AB13" i="24" s="1"/>
  <c r="X17" i="24"/>
  <c r="V17" i="24"/>
  <c r="U17" i="24"/>
  <c r="U13" i="24" s="1"/>
  <c r="S17" i="24"/>
  <c r="R17" i="24"/>
  <c r="P17" i="24"/>
  <c r="M17" i="24"/>
  <c r="L17" i="24"/>
  <c r="L13" i="24" s="1"/>
  <c r="AH16" i="24"/>
  <c r="AE16" i="24"/>
  <c r="AE12" i="24" s="1"/>
  <c r="AD16" i="24"/>
  <c r="AC16" i="24"/>
  <c r="Z16" i="24"/>
  <c r="Y16" i="24"/>
  <c r="X16" i="24"/>
  <c r="W16" i="24"/>
  <c r="V16" i="24"/>
  <c r="U16" i="24"/>
  <c r="T16" i="24"/>
  <c r="S16" i="24"/>
  <c r="R16" i="24"/>
  <c r="P16" i="24"/>
  <c r="O16" i="24"/>
  <c r="M16" i="24"/>
  <c r="K16" i="24"/>
  <c r="J16" i="24"/>
  <c r="H16" i="24"/>
  <c r="G16" i="24"/>
  <c r="G12" i="24" s="1"/>
  <c r="F16" i="24"/>
  <c r="AG15" i="24"/>
  <c r="AD15" i="24"/>
  <c r="Y15" i="24"/>
  <c r="Y13" i="24" s="1"/>
  <c r="V15" i="24"/>
  <c r="S15" i="24"/>
  <c r="S13" i="24" s="1"/>
  <c r="P15" i="24"/>
  <c r="M15" i="24"/>
  <c r="L15" i="24"/>
  <c r="AJ14" i="24"/>
  <c r="AI14" i="24"/>
  <c r="AH14" i="24"/>
  <c r="AC14" i="24"/>
  <c r="AB14" i="24"/>
  <c r="Y14" i="24"/>
  <c r="W14" i="24"/>
  <c r="T14" i="24"/>
  <c r="S14" i="24"/>
  <c r="P14" i="24"/>
  <c r="P12" i="24" s="1"/>
  <c r="O14" i="24"/>
  <c r="N14" i="24"/>
  <c r="K14" i="24"/>
  <c r="J14" i="24"/>
  <c r="I14" i="24"/>
  <c r="G14" i="24"/>
  <c r="AI13" i="24"/>
  <c r="AH13" i="24"/>
  <c r="AF13" i="24"/>
  <c r="AE13" i="24"/>
  <c r="AA13" i="24"/>
  <c r="Z13" i="24"/>
  <c r="X13" i="24"/>
  <c r="W13" i="24"/>
  <c r="T13" i="24"/>
  <c r="R13" i="24"/>
  <c r="Q13" i="24"/>
  <c r="P13" i="24"/>
  <c r="O13" i="24"/>
  <c r="N13" i="24"/>
  <c r="K13" i="24"/>
  <c r="J13" i="24"/>
  <c r="I13" i="24"/>
  <c r="H13" i="24"/>
  <c r="G13" i="24"/>
  <c r="F13" i="24"/>
  <c r="AF12" i="24"/>
  <c r="Q12" i="24"/>
  <c r="AJ12" i="24" l="1"/>
  <c r="BS12" i="24"/>
  <c r="AG13" i="24"/>
  <c r="BG12" i="24"/>
  <c r="BI12" i="24"/>
  <c r="R12" i="24"/>
  <c r="I12" i="24"/>
  <c r="M13" i="24"/>
  <c r="M12" i="24"/>
  <c r="E30" i="24"/>
  <c r="E33" i="24"/>
  <c r="E51" i="24"/>
  <c r="BC12" i="24"/>
  <c r="AZ13" i="24"/>
  <c r="E39" i="24"/>
  <c r="AV12" i="24"/>
  <c r="U12" i="24"/>
  <c r="AH12" i="24"/>
  <c r="AO12" i="24"/>
  <c r="N12" i="24"/>
  <c r="V13" i="24"/>
  <c r="V12" i="24"/>
  <c r="AW12" i="24"/>
  <c r="BN13" i="24"/>
  <c r="BO12" i="24"/>
  <c r="BJ12" i="24"/>
  <c r="AY12" i="24"/>
  <c r="O12" i="24"/>
  <c r="AD13" i="24"/>
  <c r="H12" i="24"/>
  <c r="AZ12" i="24"/>
  <c r="BP12" i="24"/>
  <c r="BK12" i="24"/>
  <c r="BS13" i="24"/>
  <c r="S12" i="24"/>
  <c r="X12" i="24"/>
  <c r="E17" i="24"/>
  <c r="BM12" i="24"/>
  <c r="T12" i="24"/>
  <c r="F12" i="24"/>
  <c r="W12" i="24"/>
  <c r="AC12" i="24"/>
  <c r="E23" i="24"/>
  <c r="AQ13" i="24"/>
  <c r="BB12" i="24"/>
  <c r="E53" i="24"/>
  <c r="Y12" i="24"/>
  <c r="AD12" i="24"/>
  <c r="BF12" i="24"/>
  <c r="AU12" i="24"/>
  <c r="AS12" i="24"/>
  <c r="AW13" i="24"/>
  <c r="E35" i="24"/>
  <c r="AQ12" i="24"/>
  <c r="AB12" i="24"/>
  <c r="E19" i="24"/>
  <c r="E15" i="24"/>
  <c r="E38" i="24"/>
  <c r="E47" i="24"/>
  <c r="E22" i="24"/>
  <c r="E32" i="24"/>
  <c r="E56" i="24"/>
  <c r="E40" i="24"/>
  <c r="E26" i="24"/>
  <c r="E28" i="24"/>
  <c r="E49" i="24"/>
  <c r="E52" i="24"/>
  <c r="E44" i="24"/>
  <c r="E50" i="24"/>
  <c r="E34" i="24"/>
  <c r="E48" i="24"/>
  <c r="E54" i="24"/>
  <c r="E21" i="24"/>
  <c r="E46" i="24"/>
  <c r="E18" i="24"/>
  <c r="E24" i="24"/>
  <c r="E41" i="24"/>
  <c r="E20" i="24"/>
  <c r="E42" i="24"/>
  <c r="E13" i="24"/>
  <c r="E36" i="24"/>
  <c r="E16" i="24"/>
  <c r="AG12" i="24"/>
  <c r="E14" i="24"/>
  <c r="J12" i="24"/>
  <c r="E57" i="23"/>
  <c r="E56" i="23"/>
  <c r="E55" i="23"/>
  <c r="E54" i="23"/>
  <c r="E53" i="23"/>
  <c r="BD52" i="23"/>
  <c r="E52" i="23"/>
  <c r="E51" i="23"/>
  <c r="E50" i="23"/>
  <c r="E49" i="23"/>
  <c r="E48" i="23"/>
  <c r="E47" i="23"/>
  <c r="E46" i="23"/>
  <c r="E45" i="23"/>
  <c r="E44" i="23"/>
  <c r="E43" i="23"/>
  <c r="E42" i="23"/>
  <c r="E41" i="23"/>
  <c r="BS40" i="23"/>
  <c r="E40" i="23" s="1"/>
  <c r="E39" i="23"/>
  <c r="BD38" i="23"/>
  <c r="E38" i="23"/>
  <c r="E37" i="23"/>
  <c r="BM36" i="23"/>
  <c r="BD36" i="23"/>
  <c r="AU36" i="23"/>
  <c r="E36" i="23" s="1"/>
  <c r="AS36" i="23"/>
  <c r="E35" i="23"/>
  <c r="BM34" i="23"/>
  <c r="E34" i="23" s="1"/>
  <c r="E33" i="23"/>
  <c r="BS32" i="23"/>
  <c r="BM32" i="23"/>
  <c r="AU32" i="23"/>
  <c r="AT32" i="23"/>
  <c r="AS32" i="23"/>
  <c r="E31" i="23"/>
  <c r="E30" i="23"/>
  <c r="E29" i="23"/>
  <c r="AU28" i="23"/>
  <c r="E28" i="23" s="1"/>
  <c r="E27" i="23"/>
  <c r="BM26" i="23"/>
  <c r="BD26" i="23"/>
  <c r="E25" i="23"/>
  <c r="E24" i="23"/>
  <c r="BS23" i="23"/>
  <c r="E23" i="23" s="1"/>
  <c r="BS22" i="23"/>
  <c r="BM22" i="23"/>
  <c r="E22" i="23"/>
  <c r="E21" i="23"/>
  <c r="BS20" i="23"/>
  <c r="E20" i="23" s="1"/>
  <c r="BM20" i="23"/>
  <c r="E19" i="23"/>
  <c r="BS18" i="23"/>
  <c r="BM18" i="23"/>
  <c r="E18" i="23" s="1"/>
  <c r="E17" i="23"/>
  <c r="AT16" i="23"/>
  <c r="AT12" i="23" s="1"/>
  <c r="AS16" i="23"/>
  <c r="E16" i="23" s="1"/>
  <c r="E15" i="23"/>
  <c r="BS14" i="23"/>
  <c r="BM14" i="23"/>
  <c r="AU14" i="23"/>
  <c r="BR13" i="23"/>
  <c r="BQ13" i="23"/>
  <c r="BP13" i="23"/>
  <c r="BO13" i="23"/>
  <c r="BN13" i="23"/>
  <c r="BM13" i="23"/>
  <c r="BL13" i="23"/>
  <c r="BK13" i="23"/>
  <c r="BJ13" i="23"/>
  <c r="BI13" i="23"/>
  <c r="BH13" i="23"/>
  <c r="BG13" i="23"/>
  <c r="BF13" i="23"/>
  <c r="BE13" i="23"/>
  <c r="BD13" i="23"/>
  <c r="BC13" i="23"/>
  <c r="BB13" i="23"/>
  <c r="BA13" i="23"/>
  <c r="AZ13" i="23"/>
  <c r="AY13" i="23"/>
  <c r="AX13" i="23"/>
  <c r="AW13" i="23"/>
  <c r="AV13" i="23"/>
  <c r="AU13" i="23"/>
  <c r="AT13" i="23"/>
  <c r="AS13" i="23"/>
  <c r="AR13" i="23"/>
  <c r="AQ13" i="23"/>
  <c r="AP13" i="23"/>
  <c r="AO13" i="23"/>
  <c r="AJ13" i="23"/>
  <c r="AI13" i="23"/>
  <c r="AH13" i="23"/>
  <c r="AG13" i="23"/>
  <c r="AF13" i="23"/>
  <c r="AE13" i="23"/>
  <c r="AD13" i="23"/>
  <c r="AC13" i="23"/>
  <c r="AB13" i="23"/>
  <c r="AA13" i="23"/>
  <c r="Z13" i="23"/>
  <c r="Y13" i="23"/>
  <c r="X13" i="23"/>
  <c r="W13" i="23"/>
  <c r="V13" i="23"/>
  <c r="U13" i="23"/>
  <c r="T13" i="23"/>
  <c r="S13" i="23"/>
  <c r="R13" i="23"/>
  <c r="Q13" i="23"/>
  <c r="P13" i="23"/>
  <c r="O13" i="23"/>
  <c r="N13" i="23"/>
  <c r="M13" i="23"/>
  <c r="L13" i="23"/>
  <c r="K13" i="23"/>
  <c r="J13" i="23"/>
  <c r="I13" i="23"/>
  <c r="H13" i="23"/>
  <c r="G13" i="23"/>
  <c r="F13" i="23"/>
  <c r="BR12" i="23"/>
  <c r="BQ12" i="23"/>
  <c r="BP12" i="23"/>
  <c r="BO12" i="23"/>
  <c r="BN12" i="23"/>
  <c r="BL12" i="23"/>
  <c r="BK12" i="23"/>
  <c r="BJ12" i="23"/>
  <c r="BI12" i="23"/>
  <c r="BH12" i="23"/>
  <c r="BG12" i="23"/>
  <c r="BF12" i="23"/>
  <c r="BE12" i="23"/>
  <c r="BC12" i="23"/>
  <c r="BB12" i="23"/>
  <c r="BA12" i="23"/>
  <c r="AZ12" i="23"/>
  <c r="AY12" i="23"/>
  <c r="AX12" i="23"/>
  <c r="AW12" i="23"/>
  <c r="AV12" i="23"/>
  <c r="AR12" i="23"/>
  <c r="AQ12" i="23"/>
  <c r="AP12" i="23"/>
  <c r="AO12" i="23"/>
  <c r="AJ12" i="23"/>
  <c r="AI12" i="23"/>
  <c r="AH12" i="23"/>
  <c r="AG12" i="23"/>
  <c r="AF12" i="23"/>
  <c r="AE12" i="23"/>
  <c r="AD12" i="23"/>
  <c r="AC12" i="23"/>
  <c r="AB12" i="23"/>
  <c r="AA12" i="23"/>
  <c r="Z12" i="23"/>
  <c r="Y12" i="23"/>
  <c r="X12" i="23"/>
  <c r="W12" i="23"/>
  <c r="V12" i="23"/>
  <c r="U12" i="23"/>
  <c r="T12" i="23"/>
  <c r="S12" i="23"/>
  <c r="R12" i="23"/>
  <c r="Q12" i="23"/>
  <c r="P12" i="23"/>
  <c r="O12" i="23"/>
  <c r="N12" i="23"/>
  <c r="M12" i="23"/>
  <c r="L12" i="23"/>
  <c r="K12" i="23"/>
  <c r="J12" i="23"/>
  <c r="I12" i="23"/>
  <c r="H12" i="23"/>
  <c r="G12" i="23"/>
  <c r="F12" i="23"/>
  <c r="E57" i="21"/>
  <c r="E56" i="21"/>
  <c r="E55" i="21"/>
  <c r="E54" i="21"/>
  <c r="E53" i="21"/>
  <c r="BI52" i="21"/>
  <c r="BI12" i="21" s="1"/>
  <c r="E52" i="21"/>
  <c r="E51" i="21"/>
  <c r="E50" i="21"/>
  <c r="E49" i="21"/>
  <c r="E48" i="21"/>
  <c r="E47" i="21"/>
  <c r="BI46" i="21"/>
  <c r="E46" i="21"/>
  <c r="E45" i="21"/>
  <c r="E44" i="21"/>
  <c r="E43" i="21"/>
  <c r="E42" i="21"/>
  <c r="E41" i="21"/>
  <c r="BI40" i="21"/>
  <c r="AZ40" i="21"/>
  <c r="E40" i="21" s="1"/>
  <c r="E39" i="21"/>
  <c r="AZ38" i="21"/>
  <c r="E38" i="21" s="1"/>
  <c r="E37" i="21"/>
  <c r="BO36" i="21"/>
  <c r="BI36" i="21"/>
  <c r="E36" i="21" s="1"/>
  <c r="AZ36" i="21"/>
  <c r="E35" i="21"/>
  <c r="E34" i="21"/>
  <c r="E33" i="21"/>
  <c r="BO32" i="21"/>
  <c r="BI32" i="21"/>
  <c r="AZ32" i="21"/>
  <c r="AQ32" i="21"/>
  <c r="AP32" i="21"/>
  <c r="AP12" i="21" s="1"/>
  <c r="AO32" i="21"/>
  <c r="AO12" i="21" s="1"/>
  <c r="E31" i="21"/>
  <c r="E30" i="21"/>
  <c r="E29" i="21"/>
  <c r="BO28" i="21"/>
  <c r="BI28" i="21"/>
  <c r="E27" i="21"/>
  <c r="BO26" i="21"/>
  <c r="BI26" i="21"/>
  <c r="AZ26" i="21"/>
  <c r="AQ26" i="21"/>
  <c r="AO26" i="21"/>
  <c r="E25" i="21"/>
  <c r="E24" i="21"/>
  <c r="BO23" i="21"/>
  <c r="E23" i="21" s="1"/>
  <c r="BO22" i="21"/>
  <c r="BI22" i="21"/>
  <c r="E21" i="21"/>
  <c r="BO20" i="21"/>
  <c r="E20" i="21" s="1"/>
  <c r="BI20" i="21"/>
  <c r="BO19" i="21"/>
  <c r="E19" i="21"/>
  <c r="BO18" i="21"/>
  <c r="AZ18" i="21"/>
  <c r="E17" i="21"/>
  <c r="E16" i="21"/>
  <c r="E15" i="21"/>
  <c r="E14" i="21"/>
  <c r="BN13" i="21"/>
  <c r="BM13" i="21"/>
  <c r="BL13" i="21"/>
  <c r="BK13" i="21"/>
  <c r="BJ13" i="21"/>
  <c r="BI13" i="21"/>
  <c r="BH13" i="21"/>
  <c r="BG13" i="21"/>
  <c r="BF13" i="21"/>
  <c r="BE13" i="21"/>
  <c r="BD13" i="21"/>
  <c r="BC13" i="21"/>
  <c r="BB13" i="21"/>
  <c r="BA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BN12" i="21"/>
  <c r="BM12" i="21"/>
  <c r="BL12" i="21"/>
  <c r="BK12" i="21"/>
  <c r="BJ12" i="21"/>
  <c r="BH12" i="21"/>
  <c r="BG12" i="21"/>
  <c r="BF12" i="21"/>
  <c r="BE12" i="21"/>
  <c r="BD12" i="21"/>
  <c r="BC12" i="21"/>
  <c r="BB12" i="21"/>
  <c r="BA12" i="21"/>
  <c r="AY12" i="21"/>
  <c r="AX12" i="21"/>
  <c r="AW12" i="21"/>
  <c r="AV12" i="21"/>
  <c r="AU12" i="21"/>
  <c r="AT12" i="21"/>
  <c r="AS12" i="21"/>
  <c r="AR12" i="21"/>
  <c r="AQ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57" i="18"/>
  <c r="E56" i="18"/>
  <c r="E55" i="18"/>
  <c r="E54" i="18"/>
  <c r="E53" i="18"/>
  <c r="BI52" i="18"/>
  <c r="AZ52" i="18"/>
  <c r="E51" i="18"/>
  <c r="AZ50" i="18"/>
  <c r="AQ50" i="18"/>
  <c r="E49" i="18"/>
  <c r="AZ48" i="18"/>
  <c r="E48" i="18" s="1"/>
  <c r="E47" i="18"/>
  <c r="E46" i="18"/>
  <c r="E45" i="18"/>
  <c r="E44" i="18"/>
  <c r="E43" i="18"/>
  <c r="E42" i="18"/>
  <c r="BI41" i="18"/>
  <c r="E41" i="18"/>
  <c r="BO40" i="18"/>
  <c r="BI40" i="18"/>
  <c r="AZ40" i="18"/>
  <c r="E39" i="18"/>
  <c r="BO38" i="18"/>
  <c r="BI38" i="18"/>
  <c r="AZ38" i="18"/>
  <c r="AQ38" i="18"/>
  <c r="BI37" i="18"/>
  <c r="BO36" i="18"/>
  <c r="BI36" i="18"/>
  <c r="E36" i="18" s="1"/>
  <c r="AZ36" i="18"/>
  <c r="AP36" i="18"/>
  <c r="AO36" i="18"/>
  <c r="E35" i="18"/>
  <c r="BI34" i="18"/>
  <c r="E34" i="18"/>
  <c r="E33" i="18"/>
  <c r="BO32" i="18"/>
  <c r="BI32" i="18"/>
  <c r="AZ32" i="18"/>
  <c r="AQ32" i="18"/>
  <c r="AP32" i="18"/>
  <c r="AO32" i="18"/>
  <c r="E31" i="18"/>
  <c r="AZ30" i="18"/>
  <c r="E30" i="18"/>
  <c r="E29" i="18"/>
  <c r="BO28" i="18"/>
  <c r="BI28" i="18"/>
  <c r="AQ28" i="18"/>
  <c r="E28" i="18" s="1"/>
  <c r="E27" i="18"/>
  <c r="BO26" i="18"/>
  <c r="BI26" i="18"/>
  <c r="AZ26" i="18"/>
  <c r="AQ26" i="18"/>
  <c r="BI25" i="18"/>
  <c r="AP25" i="18"/>
  <c r="E25" i="18" s="1"/>
  <c r="BO24" i="18"/>
  <c r="BI24" i="18"/>
  <c r="AP24" i="18"/>
  <c r="AP12" i="18"/>
  <c r="BO23" i="18"/>
  <c r="E23" i="18" s="1"/>
  <c r="BI23" i="18"/>
  <c r="BO22" i="18"/>
  <c r="BI22" i="18"/>
  <c r="AQ22" i="18"/>
  <c r="E22" i="18" s="1"/>
  <c r="BO21" i="18"/>
  <c r="E21" i="18"/>
  <c r="BO20" i="18"/>
  <c r="E20" i="18"/>
  <c r="BO19" i="18"/>
  <c r="BI19" i="18"/>
  <c r="BO18" i="18"/>
  <c r="BI18" i="18"/>
  <c r="E18" i="18" s="1"/>
  <c r="BI17" i="18"/>
  <c r="E17" i="18"/>
  <c r="BI16" i="18"/>
  <c r="BO15" i="18"/>
  <c r="E15" i="18" s="1"/>
  <c r="BO14" i="18"/>
  <c r="E14" i="18" s="1"/>
  <c r="BN13" i="18"/>
  <c r="BM13" i="18"/>
  <c r="BL13" i="18"/>
  <c r="BK13" i="18"/>
  <c r="BJ13" i="18"/>
  <c r="BH13" i="18"/>
  <c r="BG13" i="18"/>
  <c r="BF13" i="18"/>
  <c r="BE13" i="18"/>
  <c r="BD13" i="18"/>
  <c r="BC13" i="18"/>
  <c r="BB13" i="18"/>
  <c r="BA13" i="18"/>
  <c r="AZ13" i="18"/>
  <c r="AY13" i="18"/>
  <c r="AX13" i="18"/>
  <c r="AW13" i="18"/>
  <c r="AV13" i="18"/>
  <c r="AU13" i="18"/>
  <c r="AT13" i="18"/>
  <c r="AS13" i="18"/>
  <c r="AR13" i="18"/>
  <c r="AQ13" i="18"/>
  <c r="AO13" i="18"/>
  <c r="AN13" i="18"/>
  <c r="AM13" i="18"/>
  <c r="AL13" i="18"/>
  <c r="AK13" i="18"/>
  <c r="AJ13" i="18"/>
  <c r="AI13" i="18"/>
  <c r="AH13" i="18"/>
  <c r="AG13" i="18"/>
  <c r="AF13" i="18"/>
  <c r="AE13" i="18"/>
  <c r="AD13" i="18"/>
  <c r="AC13" i="18"/>
  <c r="AB13" i="18"/>
  <c r="AA13" i="18"/>
  <c r="Z13" i="18"/>
  <c r="Y13" i="18"/>
  <c r="X13" i="18"/>
  <c r="W13" i="18"/>
  <c r="V13" i="18"/>
  <c r="U13" i="18"/>
  <c r="T13" i="18"/>
  <c r="S13" i="18"/>
  <c r="R13" i="18"/>
  <c r="Q13" i="18"/>
  <c r="P13" i="18"/>
  <c r="O13" i="18"/>
  <c r="N13" i="18"/>
  <c r="M13" i="18"/>
  <c r="L13" i="18"/>
  <c r="K13" i="18"/>
  <c r="J13" i="18"/>
  <c r="I13" i="18"/>
  <c r="H13" i="18"/>
  <c r="G13" i="18"/>
  <c r="F13" i="18"/>
  <c r="BN12" i="18"/>
  <c r="BM12" i="18"/>
  <c r="BL12" i="18"/>
  <c r="BK12" i="18"/>
  <c r="BJ12" i="18"/>
  <c r="BH12" i="18"/>
  <c r="BG12" i="18"/>
  <c r="BF12" i="18"/>
  <c r="BE12" i="18"/>
  <c r="BD12" i="18"/>
  <c r="BC12" i="18"/>
  <c r="BB12" i="18"/>
  <c r="BA12" i="18"/>
  <c r="AY12" i="18"/>
  <c r="AX12" i="18"/>
  <c r="AW12" i="18"/>
  <c r="AV12" i="18"/>
  <c r="AU12" i="18"/>
  <c r="AT12" i="18"/>
  <c r="AS12" i="18"/>
  <c r="AR12" i="18"/>
  <c r="AN12" i="18"/>
  <c r="AM12" i="18"/>
  <c r="AL12" i="18"/>
  <c r="AK12" i="18"/>
  <c r="AJ12" i="18"/>
  <c r="AI12" i="18"/>
  <c r="AH12" i="18"/>
  <c r="AG12" i="18"/>
  <c r="AF12" i="18"/>
  <c r="AE12" i="18"/>
  <c r="AD12" i="18"/>
  <c r="AC12" i="18"/>
  <c r="AB12" i="18"/>
  <c r="AA12" i="18"/>
  <c r="Z12" i="18"/>
  <c r="Y12" i="18"/>
  <c r="X12" i="18"/>
  <c r="W12" i="18"/>
  <c r="V12" i="18"/>
  <c r="U12" i="18"/>
  <c r="T12" i="18"/>
  <c r="S12" i="18"/>
  <c r="R12" i="18"/>
  <c r="Q12" i="18"/>
  <c r="P12" i="18"/>
  <c r="O12" i="18"/>
  <c r="N12" i="18"/>
  <c r="M12" i="18"/>
  <c r="L12" i="18"/>
  <c r="K12" i="18"/>
  <c r="J12" i="18"/>
  <c r="I12" i="18"/>
  <c r="H12" i="18"/>
  <c r="G12" i="18"/>
  <c r="F12" i="18"/>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AG12" i="17"/>
  <c r="AH12" i="17"/>
  <c r="AI12" i="17"/>
  <c r="AJ12" i="17"/>
  <c r="AK12" i="17"/>
  <c r="AL12" i="17"/>
  <c r="AM12" i="17"/>
  <c r="AN12" i="17"/>
  <c r="AO12" i="17"/>
  <c r="AP12" i="17"/>
  <c r="AQ12" i="17"/>
  <c r="AR12" i="17"/>
  <c r="AS12" i="17"/>
  <c r="AT12" i="17"/>
  <c r="AU12" i="17"/>
  <c r="AV12" i="17"/>
  <c r="AW12" i="17"/>
  <c r="AX12" i="17"/>
  <c r="AY12" i="17"/>
  <c r="AZ12" i="17"/>
  <c r="BA12" i="17"/>
  <c r="BB12" i="17"/>
  <c r="BC12" i="17"/>
  <c r="BD12" i="17"/>
  <c r="BE12" i="17"/>
  <c r="BF12" i="17"/>
  <c r="BG12" i="17"/>
  <c r="BH12" i="17"/>
  <c r="BI12" i="17"/>
  <c r="BJ12" i="17"/>
  <c r="BK12" i="17"/>
  <c r="BL12" i="17"/>
  <c r="BM12" i="17"/>
  <c r="BN12" i="17"/>
  <c r="BO12" i="17"/>
  <c r="BP12"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AM13" i="17"/>
  <c r="AN13" i="17"/>
  <c r="AO13" i="17"/>
  <c r="AP13" i="17"/>
  <c r="AQ13" i="17"/>
  <c r="AR13" i="17"/>
  <c r="AS13" i="17"/>
  <c r="AT13" i="17"/>
  <c r="AU13" i="17"/>
  <c r="AV13" i="17"/>
  <c r="AW13" i="17"/>
  <c r="AX13" i="17"/>
  <c r="AY13" i="17"/>
  <c r="AZ13" i="17"/>
  <c r="BA13" i="17"/>
  <c r="BB13" i="17"/>
  <c r="BC13" i="17"/>
  <c r="BD13" i="17"/>
  <c r="BE13" i="17"/>
  <c r="BF13" i="17"/>
  <c r="BG13" i="17"/>
  <c r="BH13" i="17"/>
  <c r="BI13" i="17"/>
  <c r="BJ13" i="17"/>
  <c r="BK13" i="17"/>
  <c r="BL13" i="17"/>
  <c r="BM13" i="17"/>
  <c r="BN13" i="17"/>
  <c r="BO13" i="17"/>
  <c r="BP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BQ13" i="12"/>
  <c r="BP13" i="12"/>
  <c r="BO13" i="12"/>
  <c r="BN13" i="12"/>
  <c r="BM13" i="12"/>
  <c r="BL13" i="12"/>
  <c r="BK13" i="12"/>
  <c r="BJ13" i="12"/>
  <c r="BI13" i="12"/>
  <c r="BH13" i="12"/>
  <c r="BG13" i="12"/>
  <c r="BF13" i="12"/>
  <c r="BE13" i="12"/>
  <c r="BD13" i="12"/>
  <c r="BC13" i="12"/>
  <c r="BB13" i="12"/>
  <c r="BA13" i="12"/>
  <c r="AZ13" i="12"/>
  <c r="AY13" i="12"/>
  <c r="AX13" i="12"/>
  <c r="AW13" i="12"/>
  <c r="AV13" i="12"/>
  <c r="AU13" i="12"/>
  <c r="AT13" i="12"/>
  <c r="AS13" i="12"/>
  <c r="AR13" i="12"/>
  <c r="AQ13" i="12"/>
  <c r="AP13" i="12"/>
  <c r="AO13" i="12"/>
  <c r="AN13" i="12"/>
  <c r="AM13" i="12"/>
  <c r="AL13" i="12"/>
  <c r="AK13" i="12"/>
  <c r="AJ13" i="12"/>
  <c r="AI13" i="12"/>
  <c r="AH13" i="12"/>
  <c r="AG13" i="12"/>
  <c r="AF13" i="12"/>
  <c r="AE13" i="12"/>
  <c r="AD13" i="12"/>
  <c r="AC13" i="12"/>
  <c r="AB13" i="12"/>
  <c r="AA13" i="12"/>
  <c r="Z13" i="12"/>
  <c r="Y13" i="12"/>
  <c r="X13" i="12"/>
  <c r="W13" i="12"/>
  <c r="V13" i="12"/>
  <c r="U13" i="12"/>
  <c r="T13" i="12"/>
  <c r="S13" i="12"/>
  <c r="R13" i="12"/>
  <c r="Q13" i="12"/>
  <c r="P13" i="12"/>
  <c r="O13" i="12"/>
  <c r="N13" i="12"/>
  <c r="M13" i="12"/>
  <c r="L13" i="12"/>
  <c r="K13" i="12"/>
  <c r="J13" i="12"/>
  <c r="I13" i="12"/>
  <c r="H13" i="12"/>
  <c r="G13" i="12"/>
  <c r="F13" i="12"/>
  <c r="BQ12" i="12"/>
  <c r="BP12" i="12"/>
  <c r="BO12" i="12"/>
  <c r="BN12" i="12"/>
  <c r="BM12" i="12"/>
  <c r="BL12" i="12"/>
  <c r="BK12" i="12"/>
  <c r="BJ12" i="12"/>
  <c r="BI12" i="12"/>
  <c r="BH12" i="12"/>
  <c r="BG12" i="12"/>
  <c r="BF12" i="12"/>
  <c r="BE12" i="12"/>
  <c r="BD12" i="12"/>
  <c r="BC12" i="12"/>
  <c r="BB12" i="12"/>
  <c r="BA12" i="12"/>
  <c r="AZ12" i="12"/>
  <c r="AY12" i="12"/>
  <c r="AX12" i="12"/>
  <c r="AW12" i="12"/>
  <c r="AV12" i="12"/>
  <c r="AU12" i="12"/>
  <c r="AT12" i="12"/>
  <c r="AS12" i="12"/>
  <c r="AR12" i="12"/>
  <c r="AQ12" i="12"/>
  <c r="AP12" i="12"/>
  <c r="AO12" i="12"/>
  <c r="AN12" i="12"/>
  <c r="AM12" i="12"/>
  <c r="AL12" i="12"/>
  <c r="AK12" i="12"/>
  <c r="AJ12" i="12"/>
  <c r="AI12" i="12"/>
  <c r="AH12" i="12"/>
  <c r="AG12" i="12"/>
  <c r="AF12" i="12"/>
  <c r="AE12" i="12"/>
  <c r="AD12" i="12"/>
  <c r="AC12" i="12"/>
  <c r="AB12" i="12"/>
  <c r="AA12" i="12"/>
  <c r="Z12" i="12"/>
  <c r="Y12" i="12"/>
  <c r="X12" i="12"/>
  <c r="W12" i="12"/>
  <c r="V12" i="12"/>
  <c r="U12" i="12"/>
  <c r="T12" i="12"/>
  <c r="S12" i="12"/>
  <c r="R12" i="12"/>
  <c r="Q12" i="12"/>
  <c r="P12" i="12"/>
  <c r="O12" i="12"/>
  <c r="N12" i="12"/>
  <c r="M12" i="12"/>
  <c r="L12" i="12"/>
  <c r="K12" i="12"/>
  <c r="J12" i="12"/>
  <c r="I12" i="12"/>
  <c r="H12" i="12"/>
  <c r="G12" i="12"/>
  <c r="F12" i="12"/>
  <c r="E51" i="3"/>
  <c r="E50" i="3"/>
  <c r="E57" i="3"/>
  <c r="E56" i="3"/>
  <c r="E55" i="3"/>
  <c r="E54" i="3"/>
  <c r="E53" i="3"/>
  <c r="E52"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BO12" i="3"/>
  <c r="BN12" i="3"/>
  <c r="BM12" i="3"/>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F12" i="4"/>
  <c r="G12" i="4"/>
  <c r="H12" i="4"/>
  <c r="I12" i="4"/>
  <c r="J12" i="4"/>
  <c r="K12" i="4"/>
  <c r="L12" i="4"/>
  <c r="M12" i="4"/>
  <c r="N12" i="4"/>
  <c r="O12" i="4"/>
  <c r="P12" i="4"/>
  <c r="Q12" i="4"/>
  <c r="R12" i="4"/>
  <c r="S12" i="4"/>
  <c r="T12" i="4"/>
  <c r="U12" i="4"/>
  <c r="V12"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BF12" i="4"/>
  <c r="BG12" i="4"/>
  <c r="BH12" i="4"/>
  <c r="BI12" i="4"/>
  <c r="BJ12" i="4"/>
  <c r="BK12" i="4"/>
  <c r="BL12" i="4"/>
  <c r="BM12" i="4"/>
  <c r="BN12" i="4"/>
  <c r="BO12" i="4"/>
  <c r="F13" i="4"/>
  <c r="G13" i="4"/>
  <c r="H13" i="4"/>
  <c r="I13" i="4"/>
  <c r="J13" i="4"/>
  <c r="K13" i="4"/>
  <c r="L13" i="4"/>
  <c r="M13" i="4"/>
  <c r="N13" i="4"/>
  <c r="O13" i="4"/>
  <c r="P13" i="4"/>
  <c r="Q13" i="4"/>
  <c r="R13" i="4"/>
  <c r="S13" i="4"/>
  <c r="T13" i="4"/>
  <c r="U13" i="4"/>
  <c r="V13"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BF13" i="4"/>
  <c r="BG13" i="4"/>
  <c r="BH13" i="4"/>
  <c r="BI13" i="4"/>
  <c r="BJ13" i="4"/>
  <c r="BK13" i="4"/>
  <c r="BL13" i="4"/>
  <c r="BM13" i="4"/>
  <c r="BN13" i="4"/>
  <c r="BO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0" i="18"/>
  <c r="E37" i="18"/>
  <c r="E24" i="18"/>
  <c r="E19" i="18"/>
  <c r="AO12" i="18"/>
  <c r="BI13" i="18"/>
  <c r="E38" i="18"/>
  <c r="E26" i="21"/>
  <c r="E26" i="23"/>
  <c r="BS13" i="23"/>
  <c r="E32" i="18" l="1"/>
  <c r="BO12" i="21"/>
  <c r="E12" i="12"/>
  <c r="E13" i="12"/>
  <c r="E26" i="18"/>
  <c r="AS12" i="23"/>
  <c r="E13" i="17"/>
  <c r="BD12" i="23"/>
  <c r="E40" i="18"/>
  <c r="E52" i="18"/>
  <c r="AZ12" i="21"/>
  <c r="E12" i="21" s="1"/>
  <c r="E12" i="17"/>
  <c r="E12" i="24"/>
  <c r="BI12" i="18"/>
  <c r="E13" i="3"/>
  <c r="AU12" i="23"/>
  <c r="E12" i="23" s="1"/>
  <c r="E13" i="4"/>
  <c r="E12" i="4"/>
  <c r="E28" i="21"/>
  <c r="BM12" i="23"/>
  <c r="E12" i="3"/>
  <c r="BO12" i="18"/>
  <c r="BS12" i="23"/>
  <c r="E13" i="23"/>
  <c r="AQ12" i="18"/>
  <c r="E12" i="18" s="1"/>
  <c r="BO13" i="21"/>
  <c r="E13" i="21" s="1"/>
  <c r="E22" i="21"/>
  <c r="AZ12" i="18"/>
  <c r="BO13" i="18"/>
  <c r="E14" i="23"/>
  <c r="E16" i="18"/>
  <c r="E32" i="21"/>
  <c r="E32" i="23"/>
  <c r="E18" i="21"/>
  <c r="AP13" i="18"/>
  <c r="E13" i="18" l="1"/>
</calcChain>
</file>

<file path=xl/sharedStrings.xml><?xml version="1.0" encoding="utf-8"?>
<sst xmlns="http://schemas.openxmlformats.org/spreadsheetml/2006/main" count="3861" uniqueCount="421">
  <si>
    <t>總計</t>
  </si>
  <si>
    <t>單位：件數</t>
    <phoneticPr fontId="5" type="noConversion"/>
  </si>
  <si>
    <t>食品用洗潔劑</t>
    <phoneticPr fontId="5" type="noConversion"/>
  </si>
  <si>
    <t>其他</t>
    <phoneticPr fontId="5" type="noConversion"/>
  </si>
  <si>
    <t>不符規定件數</t>
    <phoneticPr fontId="5" type="noConversion"/>
  </si>
  <si>
    <t xml:space="preserve"> 1622-01-02</t>
    <phoneticPr fontId="10" type="noConversion"/>
  </si>
  <si>
    <t>飲料及水</t>
    <phoneticPr fontId="5" type="noConversion"/>
  </si>
  <si>
    <t>食用油脂</t>
    <phoneticPr fontId="5" type="noConversion"/>
  </si>
  <si>
    <t>健康食品</t>
    <phoneticPr fontId="5" type="noConversion"/>
  </si>
  <si>
    <t>及其加工品</t>
    <phoneticPr fontId="5" type="noConversion"/>
  </si>
  <si>
    <t>10521-01-03</t>
    <phoneticPr fontId="10" type="noConversion"/>
  </si>
  <si>
    <t>食品衛生管理工作－按縣市別編製說明</t>
    <phoneticPr fontId="10" type="noConversion"/>
  </si>
  <si>
    <t xml:space="preserve">  （五）檢驗不符規定件數：係指經食品添加物、食品器具、容器、包裝檢驗、…、澱粉、脂肪、ABS、其他等項檢驗不符規定之件數。</t>
    <phoneticPr fontId="10" type="noConversion"/>
  </si>
  <si>
    <t xml:space="preserve">  （二）檢查件數：以感官等簡易方法檢查食品之性狀、標示…等之件數。</t>
    <phoneticPr fontId="10" type="noConversion"/>
  </si>
  <si>
    <r>
      <t xml:space="preserve">  （三）檢查不符規定件數</t>
    </r>
    <r>
      <rPr>
        <sz val="12"/>
        <rFont val="新細明體"/>
        <family val="1"/>
        <charset val="136"/>
      </rPr>
      <t>：</t>
    </r>
    <r>
      <rPr>
        <sz val="12"/>
        <rFont val="標楷體"/>
        <family val="4"/>
        <charset val="136"/>
      </rPr>
      <t>係指違規標示件數。</t>
    </r>
    <phoneticPr fontId="10" type="noConversion"/>
  </si>
  <si>
    <t xml:space="preserve">  （七）特殊營養食品：指嬰兒與較大嬰兒配方食品、特定疾病配方食品及其他經中央主管機關許可得供特殊營養需求者使用之配方食品。</t>
    <phoneticPr fontId="5" type="noConversion"/>
  </si>
  <si>
    <t xml:space="preserve">  （八）食品添加物：指為食品著色、調味、防腐、漂白、乳化、增加香味、安定品質、促進發酵、增加稠度、強化營養、防止氧化或其他必要目的，</t>
    <phoneticPr fontId="5" type="noConversion"/>
  </si>
  <si>
    <t xml:space="preserve">     應有中央主管機關之准用許可字號。</t>
    <phoneticPr fontId="10" type="noConversion"/>
  </si>
  <si>
    <t xml:space="preserve">  （九）十七類食品添加物：指依據食品添加物使用範圍及限量暨規格標準中17個類別，分別為「防腐劑」、「殺菌劑」、「抗氧化劑」、「漂白劑」、</t>
    <phoneticPr fontId="5" type="noConversion"/>
  </si>
  <si>
    <t xml:space="preserve">     「保色劑」、「膨脹劑」、「品質改良用、釀造用及食品製造用劑」、「營養添加劑」、「著色劑」、「香料」、「甜味劑及調味劑」、</t>
    <phoneticPr fontId="10" type="noConversion"/>
  </si>
  <si>
    <t xml:space="preserve">     「粘稠劑（糊料）」、「結著劑」、「食品工業用化學藥品」、「載體」、「乳化劑」、「其他」，非屬以上17類均為其他食品添加物。</t>
    <phoneticPr fontId="10" type="noConversion"/>
  </si>
  <si>
    <t xml:space="preserve">  （十）食品器具：指與食品或食品添加物直接接觸之器械、工具或器皿。</t>
    <phoneticPr fontId="5" type="noConversion"/>
  </si>
  <si>
    <t xml:space="preserve">  （十一）食品容器或包裝：指與食品或食品添加物直接接觸之容器或包裹物。</t>
    <phoneticPr fontId="5" type="noConversion"/>
  </si>
  <si>
    <t xml:space="preserve">  （十二）食品用洗潔劑：指用於消毒或洗滌食品、食品器具、食品容器或包裝之物質。</t>
    <phoneticPr fontId="5" type="noConversion"/>
  </si>
  <si>
    <t xml:space="preserve">  （十三）標示：指於食品、食品添加物、食品用洗潔劑、食品器具、食品容器或包裝上，記載品名或為說明之文字、圖畫、記號或附加之說明書。</t>
    <phoneticPr fontId="5" type="noConversion"/>
  </si>
  <si>
    <t>三、分類標準：分為查驗件數及查驗不符規定件數。</t>
    <phoneticPr fontId="10" type="noConversion"/>
  </si>
  <si>
    <t>一、統計範圍及對象：凡衛生單位辦理食品衛生查驗(含食品衛生之檢查及檢驗)件數為統計對象。</t>
    <phoneticPr fontId="10" type="noConversion"/>
  </si>
  <si>
    <t>四、統計項目定義：</t>
    <phoneticPr fontId="5" type="noConversion"/>
  </si>
  <si>
    <t xml:space="preserve">     加入、接觸於食品之單方或複方物質。複方食品添加物使用之添加物僅限由中央主管機關准用之食品添加物組成，前述准用之單方食品添加物皆</t>
    <phoneticPr fontId="10" type="noConversion"/>
  </si>
  <si>
    <r>
      <t>二、統計標準時間：以每年</t>
    </r>
    <r>
      <rPr>
        <sz val="12"/>
        <rFont val="Times New Roman"/>
        <family val="1"/>
      </rPr>
      <t>1</t>
    </r>
    <r>
      <rPr>
        <sz val="12"/>
        <rFont val="標楷體"/>
        <family val="4"/>
        <charset val="136"/>
      </rPr>
      <t>月</t>
    </r>
    <r>
      <rPr>
        <sz val="12"/>
        <rFont val="Times New Roman"/>
        <family val="1"/>
      </rPr>
      <t>1</t>
    </r>
    <r>
      <rPr>
        <sz val="12"/>
        <rFont val="標楷體"/>
        <family val="4"/>
        <charset val="136"/>
      </rPr>
      <t>日至</t>
    </r>
    <r>
      <rPr>
        <sz val="12"/>
        <rFont val="Times New Roman"/>
        <family val="1"/>
      </rPr>
      <t>12</t>
    </r>
    <r>
      <rPr>
        <sz val="12"/>
        <rFont val="標楷體"/>
        <family val="4"/>
        <charset val="136"/>
      </rPr>
      <t>月</t>
    </r>
    <r>
      <rPr>
        <sz val="12"/>
        <rFont val="Times New Roman"/>
        <family val="1"/>
      </rPr>
      <t>31</t>
    </r>
    <r>
      <rPr>
        <sz val="12"/>
        <rFont val="標楷體"/>
        <family val="4"/>
        <charset val="136"/>
      </rPr>
      <t>日為止。</t>
    </r>
    <phoneticPr fontId="10" type="noConversion"/>
  </si>
  <si>
    <r>
      <t xml:space="preserve">  （一）查驗件數：係指食品抽樣檢查件數</t>
    </r>
    <r>
      <rPr>
        <sz val="12"/>
        <rFont val="新細明體"/>
        <family val="1"/>
        <charset val="136"/>
      </rPr>
      <t>、</t>
    </r>
    <r>
      <rPr>
        <sz val="12"/>
        <rFont val="標楷體"/>
        <family val="4"/>
        <charset val="136"/>
      </rPr>
      <t>檢驗件數及辦理中(移外縣市未結案)之合計。即若1件食品同時有檢驗及檢查，則以2件計算。</t>
    </r>
    <phoneticPr fontId="10" type="noConversion"/>
  </si>
  <si>
    <t xml:space="preserve">  （六）不符規定件數：係指檢查不符規定件數及檢驗不符規定件數之合計。</t>
    <phoneticPr fontId="10" type="noConversion"/>
  </si>
  <si>
    <t>　（四）檢驗件數：係指送檢驗件數，包括自行檢驗及送檢驗單位檢驗之件數。</t>
    <phoneticPr fontId="10" type="noConversion"/>
  </si>
  <si>
    <t>10521-01-03</t>
    <phoneticPr fontId="10" type="noConversion"/>
  </si>
  <si>
    <t>食　品　衛　生　管　理　工　作</t>
    <phoneticPr fontId="5" type="noConversion"/>
  </si>
  <si>
    <t>查驗結果及查驗項目</t>
  </si>
  <si>
    <t>誇大療效食品</t>
    <phoneticPr fontId="5" type="noConversion"/>
  </si>
  <si>
    <t>查驗件數</t>
  </si>
  <si>
    <t>資料來源：直轄市政府及各縣市衛生局。</t>
    <phoneticPr fontId="5" type="noConversion"/>
  </si>
  <si>
    <t>食品
添加物</t>
    <phoneticPr fontId="5" type="noConversion"/>
  </si>
  <si>
    <t>食品用
洗潔劑</t>
    <phoneticPr fontId="5" type="noConversion"/>
  </si>
  <si>
    <t>醬油及
調味品</t>
    <phoneticPr fontId="5" type="noConversion"/>
  </si>
  <si>
    <t>膳食
補充品</t>
    <phoneticPr fontId="5" type="noConversion"/>
  </si>
  <si>
    <t>食用冰
及冰品</t>
    <phoneticPr fontId="5" type="noConversion"/>
  </si>
  <si>
    <r>
      <rPr>
        <sz val="12"/>
        <rFont val="標楷體"/>
        <family val="4"/>
        <charset val="136"/>
      </rPr>
      <t>公</t>
    </r>
    <r>
      <rPr>
        <sz val="12"/>
        <rFont val="Times New Roman"/>
        <family val="1"/>
      </rPr>
      <t xml:space="preserve">   </t>
    </r>
    <r>
      <rPr>
        <sz val="12"/>
        <rFont val="標楷體"/>
        <family val="4"/>
        <charset val="136"/>
      </rPr>
      <t>開</t>
    </r>
    <r>
      <rPr>
        <sz val="12"/>
        <rFont val="Times New Roman"/>
        <family val="1"/>
      </rPr>
      <t xml:space="preserve">   </t>
    </r>
    <r>
      <rPr>
        <sz val="12"/>
        <rFont val="標楷體"/>
        <family val="4"/>
        <charset val="136"/>
      </rPr>
      <t>類</t>
    </r>
    <phoneticPr fontId="10" type="noConversion"/>
  </si>
  <si>
    <r>
      <rPr>
        <sz val="12"/>
        <rFont val="標楷體"/>
        <family val="4"/>
        <charset val="136"/>
      </rPr>
      <t>編</t>
    </r>
    <r>
      <rPr>
        <sz val="12"/>
        <rFont val="Times New Roman"/>
        <family val="1"/>
      </rPr>
      <t xml:space="preserve"> </t>
    </r>
    <r>
      <rPr>
        <sz val="12"/>
        <rFont val="標楷體"/>
        <family val="4"/>
        <charset val="136"/>
      </rPr>
      <t>製</t>
    </r>
    <r>
      <rPr>
        <sz val="12"/>
        <rFont val="Times New Roman"/>
        <family val="1"/>
      </rPr>
      <t xml:space="preserve"> </t>
    </r>
    <r>
      <rPr>
        <sz val="12"/>
        <rFont val="標楷體"/>
        <family val="4"/>
        <charset val="136"/>
      </rPr>
      <t>機</t>
    </r>
    <r>
      <rPr>
        <sz val="12"/>
        <rFont val="Times New Roman"/>
        <family val="1"/>
      </rPr>
      <t xml:space="preserve"> </t>
    </r>
    <r>
      <rPr>
        <sz val="12"/>
        <rFont val="標楷體"/>
        <family val="4"/>
        <charset val="136"/>
      </rPr>
      <t>關</t>
    </r>
    <phoneticPr fontId="10" type="noConversion"/>
  </si>
  <si>
    <r>
      <rPr>
        <sz val="12"/>
        <rFont val="標楷體"/>
        <family val="4"/>
        <charset val="136"/>
      </rPr>
      <t>衛生福利部食品藥物管理署</t>
    </r>
  </si>
  <si>
    <r>
      <rPr>
        <sz val="12"/>
        <rFont val="標楷體"/>
        <family val="4"/>
        <charset val="136"/>
      </rPr>
      <t>每年終了</t>
    </r>
    <r>
      <rPr>
        <sz val="12"/>
        <rFont val="Times New Roman"/>
        <family val="1"/>
      </rPr>
      <t>2</t>
    </r>
    <r>
      <rPr>
        <sz val="12"/>
        <rFont val="標楷體"/>
        <family val="4"/>
        <charset val="136"/>
      </rPr>
      <t>個月內編報</t>
    </r>
    <r>
      <rPr>
        <sz val="12"/>
        <rFont val="Times New Roman"/>
        <family val="1"/>
      </rPr>
      <t xml:space="preserve"> </t>
    </r>
    <phoneticPr fontId="10" type="noConversion"/>
  </si>
  <si>
    <r>
      <rPr>
        <sz val="12"/>
        <rFont val="標楷體"/>
        <family val="4"/>
        <charset val="136"/>
      </rPr>
      <t>單位：件數</t>
    </r>
    <phoneticPr fontId="5" type="noConversion"/>
  </si>
  <si>
    <r>
      <rPr>
        <sz val="12"/>
        <rFont val="標楷體"/>
        <family val="4"/>
        <charset val="136"/>
      </rPr>
      <t>單位：件</t>
    </r>
  </si>
  <si>
    <r>
      <rPr>
        <sz val="12"/>
        <rFont val="標楷體"/>
        <family val="4"/>
        <charset val="136"/>
      </rPr>
      <t>總計</t>
    </r>
  </si>
  <si>
    <r>
      <rPr>
        <sz val="12"/>
        <rFont val="標楷體"/>
        <family val="4"/>
        <charset val="136"/>
      </rPr>
      <t>乳品及其加工品</t>
    </r>
    <r>
      <rPr>
        <sz val="12"/>
        <rFont val="Times New Roman"/>
        <family val="1"/>
      </rPr>
      <t xml:space="preserve"> </t>
    </r>
    <phoneticPr fontId="5" type="noConversion"/>
  </si>
  <si>
    <r>
      <rPr>
        <sz val="12"/>
        <rFont val="標楷體"/>
        <family val="4"/>
        <charset val="136"/>
      </rPr>
      <t>肉品及其加工品</t>
    </r>
    <phoneticPr fontId="5" type="noConversion"/>
  </si>
  <si>
    <r>
      <rPr>
        <sz val="12"/>
        <rFont val="標楷體"/>
        <family val="4"/>
        <charset val="136"/>
      </rPr>
      <t>蛋品及其加工品類</t>
    </r>
    <r>
      <rPr>
        <sz val="12"/>
        <rFont val="Times New Roman"/>
        <family val="1"/>
      </rPr>
      <t xml:space="preserve"> </t>
    </r>
    <phoneticPr fontId="5" type="noConversion"/>
  </si>
  <si>
    <r>
      <rPr>
        <sz val="12"/>
        <rFont val="標楷體"/>
        <family val="4"/>
        <charset val="136"/>
      </rPr>
      <t>水產及其加工品類</t>
    </r>
    <r>
      <rPr>
        <sz val="8"/>
        <rFont val="Times New Roman"/>
        <family val="1"/>
      </rPr>
      <t/>
    </r>
    <phoneticPr fontId="5" type="noConversion"/>
  </si>
  <si>
    <r>
      <rPr>
        <sz val="12"/>
        <rFont val="標楷體"/>
        <family val="4"/>
        <charset val="136"/>
      </rPr>
      <t>穀豆類及其加工品</t>
    </r>
    <r>
      <rPr>
        <sz val="12"/>
        <rFont val="Times New Roman"/>
        <family val="1"/>
      </rPr>
      <t xml:space="preserve">                    </t>
    </r>
    <phoneticPr fontId="5" type="noConversion"/>
  </si>
  <si>
    <r>
      <rPr>
        <sz val="12"/>
        <rFont val="標楷體"/>
        <family val="4"/>
        <charset val="136"/>
      </rPr>
      <t>特殊營養食品</t>
    </r>
    <phoneticPr fontId="5" type="noConversion"/>
  </si>
  <si>
    <r>
      <rPr>
        <sz val="12"/>
        <rFont val="標楷體"/>
        <family val="4"/>
        <charset val="136"/>
      </rPr>
      <t>食用冰及冰品</t>
    </r>
  </si>
  <si>
    <r>
      <rPr>
        <sz val="12"/>
        <rFont val="標楷體"/>
        <family val="4"/>
        <charset val="136"/>
      </rPr>
      <t>飲料及水</t>
    </r>
    <phoneticPr fontId="5" type="noConversion"/>
  </si>
  <si>
    <r>
      <rPr>
        <sz val="12"/>
        <rFont val="標楷體"/>
        <family val="4"/>
        <charset val="136"/>
      </rPr>
      <t>食用油脂</t>
    </r>
    <phoneticPr fontId="5" type="noConversion"/>
  </si>
  <si>
    <r>
      <rPr>
        <sz val="12"/>
        <rFont val="標楷體"/>
        <family val="4"/>
        <charset val="136"/>
      </rPr>
      <t>食品添加物</t>
    </r>
    <phoneticPr fontId="5" type="noConversion"/>
  </si>
  <si>
    <r>
      <rPr>
        <sz val="12"/>
        <rFont val="標楷體"/>
        <family val="4"/>
        <charset val="136"/>
      </rPr>
      <t>食品用器具</t>
    </r>
    <phoneticPr fontId="5" type="noConversion"/>
  </si>
  <si>
    <r>
      <rPr>
        <sz val="12"/>
        <rFont val="標楷體"/>
        <family val="4"/>
        <charset val="136"/>
      </rPr>
      <t>食品用洗潔劑</t>
    </r>
    <phoneticPr fontId="5" type="noConversion"/>
  </si>
  <si>
    <r>
      <rPr>
        <sz val="12"/>
        <rFont val="標楷體"/>
        <family val="4"/>
        <charset val="136"/>
      </rPr>
      <t>醬油及調味品</t>
    </r>
    <phoneticPr fontId="5" type="noConversion"/>
  </si>
  <si>
    <r>
      <rPr>
        <sz val="12"/>
        <rFont val="標楷體"/>
        <family val="4"/>
        <charset val="136"/>
      </rPr>
      <t>健康食品</t>
    </r>
    <phoneticPr fontId="5" type="noConversion"/>
  </si>
  <si>
    <r>
      <rPr>
        <sz val="12"/>
        <rFont val="標楷體"/>
        <family val="4"/>
        <charset val="136"/>
      </rPr>
      <t>其他</t>
    </r>
    <phoneticPr fontId="5" type="noConversion"/>
  </si>
  <si>
    <r>
      <rPr>
        <sz val="12"/>
        <rFont val="標楷體"/>
        <family val="4"/>
        <charset val="136"/>
      </rPr>
      <t>乳粉類</t>
    </r>
    <phoneticPr fontId="5" type="noConversion"/>
  </si>
  <si>
    <r>
      <rPr>
        <sz val="12"/>
        <rFont val="標楷體"/>
        <family val="4"/>
        <charset val="136"/>
      </rPr>
      <t>肉類</t>
    </r>
    <phoneticPr fontId="5" type="noConversion"/>
  </si>
  <si>
    <r>
      <rPr>
        <sz val="12"/>
        <rFont val="標楷體"/>
        <family val="4"/>
        <charset val="136"/>
      </rPr>
      <t>肉品罐頭</t>
    </r>
    <phoneticPr fontId="5" type="noConversion"/>
  </si>
  <si>
    <r>
      <rPr>
        <sz val="12"/>
        <rFont val="標楷體"/>
        <family val="4"/>
        <charset val="136"/>
      </rPr>
      <t>蛋品</t>
    </r>
  </si>
  <si>
    <r>
      <rPr>
        <sz val="12"/>
        <rFont val="標楷體"/>
        <family val="4"/>
        <charset val="136"/>
      </rPr>
      <t>蛋加工品</t>
    </r>
    <phoneticPr fontId="5" type="noConversion"/>
  </si>
  <si>
    <r>
      <rPr>
        <sz val="12"/>
        <rFont val="標楷體"/>
        <family val="4"/>
        <charset val="136"/>
      </rPr>
      <t>蛋品罐頭</t>
    </r>
    <phoneticPr fontId="5" type="noConversion"/>
  </si>
  <si>
    <r>
      <rPr>
        <sz val="12"/>
        <rFont val="標楷體"/>
        <family val="4"/>
        <charset val="136"/>
      </rPr>
      <t>水產品
罐頭</t>
    </r>
    <phoneticPr fontId="5" type="noConversion"/>
  </si>
  <si>
    <r>
      <rPr>
        <sz val="12"/>
        <rFont val="標楷體"/>
        <family val="4"/>
        <charset val="136"/>
      </rPr>
      <t>調味醬</t>
    </r>
    <phoneticPr fontId="5" type="noConversion"/>
  </si>
  <si>
    <r>
      <rPr>
        <sz val="12"/>
        <rFont val="標楷體"/>
        <family val="4"/>
        <charset val="136"/>
      </rPr>
      <t>餐盒食品</t>
    </r>
    <phoneticPr fontId="5" type="noConversion"/>
  </si>
  <si>
    <r>
      <rPr>
        <sz val="12"/>
        <rFont val="標楷體"/>
        <family val="4"/>
        <charset val="136"/>
      </rPr>
      <t>查驗件數</t>
    </r>
    <phoneticPr fontId="5" type="noConversion"/>
  </si>
  <si>
    <r>
      <rPr>
        <sz val="12"/>
        <rFont val="標楷體"/>
        <family val="4"/>
        <charset val="136"/>
      </rPr>
      <t>不符規定件數</t>
    </r>
    <phoneticPr fontId="5" type="noConversion"/>
  </si>
  <si>
    <r>
      <rPr>
        <sz val="12"/>
        <rFont val="標楷體"/>
        <family val="4"/>
        <charset val="136"/>
      </rPr>
      <t>臺</t>
    </r>
    <r>
      <rPr>
        <sz val="12"/>
        <rFont val="Times New Roman"/>
        <family val="1"/>
      </rPr>
      <t xml:space="preserve"> </t>
    </r>
    <r>
      <rPr>
        <sz val="12"/>
        <rFont val="標楷體"/>
        <family val="4"/>
        <charset val="136"/>
      </rPr>
      <t>中</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</si>
  <si>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中</t>
    </r>
    <r>
      <rPr>
        <sz val="12"/>
        <rFont val="Times New Roman"/>
        <family val="1"/>
      </rPr>
      <t xml:space="preserve"> </t>
    </r>
    <r>
      <rPr>
        <sz val="12"/>
        <rFont val="標楷體"/>
        <family val="4"/>
        <charset val="136"/>
      </rPr>
      <t>縣</t>
    </r>
    <phoneticPr fontId="5" type="noConversion"/>
  </si>
  <si>
    <r>
      <rPr>
        <sz val="12"/>
        <rFont val="標楷體"/>
        <family val="4"/>
        <charset val="136"/>
      </rPr>
      <t>臺</t>
    </r>
    <r>
      <rPr>
        <sz val="12"/>
        <rFont val="Times New Roman"/>
        <family val="1"/>
      </rPr>
      <t xml:space="preserve"> </t>
    </r>
    <r>
      <rPr>
        <sz val="12"/>
        <rFont val="標楷體"/>
        <family val="4"/>
        <charset val="136"/>
      </rPr>
      <t>南</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</si>
  <si>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南</t>
    </r>
    <r>
      <rPr>
        <sz val="12"/>
        <rFont val="Times New Roman"/>
        <family val="1"/>
      </rPr>
      <t xml:space="preserve"> </t>
    </r>
    <r>
      <rPr>
        <sz val="12"/>
        <rFont val="標楷體"/>
        <family val="4"/>
        <charset val="136"/>
      </rPr>
      <t>縣</t>
    </r>
    <phoneticPr fontId="5" type="noConversion"/>
  </si>
  <si>
    <r>
      <rPr>
        <sz val="12"/>
        <rFont val="標楷體"/>
        <family val="4"/>
        <charset val="136"/>
      </rPr>
      <t>桃</t>
    </r>
    <r>
      <rPr>
        <sz val="12"/>
        <rFont val="Times New Roman"/>
        <family val="1"/>
      </rPr>
      <t xml:space="preserve"> </t>
    </r>
    <r>
      <rPr>
        <sz val="12"/>
        <rFont val="標楷體"/>
        <family val="4"/>
        <charset val="136"/>
      </rPr>
      <t>園</t>
    </r>
    <r>
      <rPr>
        <sz val="12"/>
        <rFont val="Times New Roman"/>
        <family val="1"/>
      </rPr>
      <t xml:space="preserve"> </t>
    </r>
    <r>
      <rPr>
        <sz val="12"/>
        <rFont val="標楷體"/>
        <family val="4"/>
        <charset val="136"/>
      </rPr>
      <t>縣</t>
    </r>
    <phoneticPr fontId="5" type="noConversion"/>
  </si>
  <si>
    <r>
      <rPr>
        <sz val="12"/>
        <rFont val="標楷體"/>
        <family val="4"/>
        <charset val="136"/>
      </rPr>
      <t>新</t>
    </r>
    <r>
      <rPr>
        <sz val="12"/>
        <rFont val="Times New Roman"/>
        <family val="1"/>
      </rPr>
      <t xml:space="preserve"> </t>
    </r>
    <r>
      <rPr>
        <sz val="12"/>
        <rFont val="標楷體"/>
        <family val="4"/>
        <charset val="136"/>
      </rPr>
      <t>竹</t>
    </r>
    <r>
      <rPr>
        <sz val="12"/>
        <rFont val="Times New Roman"/>
        <family val="1"/>
      </rPr>
      <t xml:space="preserve"> </t>
    </r>
    <r>
      <rPr>
        <sz val="12"/>
        <rFont val="標楷體"/>
        <family val="4"/>
        <charset val="136"/>
      </rPr>
      <t>縣</t>
    </r>
    <phoneticPr fontId="5" type="noConversion"/>
  </si>
  <si>
    <r>
      <rPr>
        <sz val="12"/>
        <rFont val="標楷體"/>
        <family val="4"/>
        <charset val="136"/>
      </rPr>
      <t>苗</t>
    </r>
    <r>
      <rPr>
        <sz val="12"/>
        <rFont val="Times New Roman"/>
        <family val="1"/>
      </rPr>
      <t xml:space="preserve"> </t>
    </r>
    <r>
      <rPr>
        <sz val="12"/>
        <rFont val="標楷體"/>
        <family val="4"/>
        <charset val="136"/>
      </rPr>
      <t>栗</t>
    </r>
    <r>
      <rPr>
        <sz val="12"/>
        <rFont val="Times New Roman"/>
        <family val="1"/>
      </rPr>
      <t xml:space="preserve"> </t>
    </r>
    <r>
      <rPr>
        <sz val="12"/>
        <rFont val="標楷體"/>
        <family val="4"/>
        <charset val="136"/>
      </rPr>
      <t>縣</t>
    </r>
    <phoneticPr fontId="5" type="noConversion"/>
  </si>
  <si>
    <r>
      <rPr>
        <sz val="12"/>
        <rFont val="標楷體"/>
        <family val="4"/>
        <charset val="136"/>
      </rPr>
      <t>彰</t>
    </r>
    <r>
      <rPr>
        <sz val="12"/>
        <rFont val="Times New Roman"/>
        <family val="1"/>
      </rPr>
      <t xml:space="preserve"> </t>
    </r>
    <r>
      <rPr>
        <sz val="12"/>
        <rFont val="標楷體"/>
        <family val="4"/>
        <charset val="136"/>
      </rPr>
      <t>化</t>
    </r>
    <r>
      <rPr>
        <sz val="12"/>
        <rFont val="Times New Roman"/>
        <family val="1"/>
      </rPr>
      <t xml:space="preserve"> </t>
    </r>
    <r>
      <rPr>
        <sz val="12"/>
        <rFont val="標楷體"/>
        <family val="4"/>
        <charset val="136"/>
      </rPr>
      <t>縣</t>
    </r>
    <phoneticPr fontId="5" type="noConversion"/>
  </si>
  <si>
    <r>
      <rPr>
        <sz val="12"/>
        <rFont val="標楷體"/>
        <family val="4"/>
        <charset val="136"/>
      </rPr>
      <t>南</t>
    </r>
    <r>
      <rPr>
        <sz val="12"/>
        <rFont val="Times New Roman"/>
        <family val="1"/>
      </rPr>
      <t xml:space="preserve"> </t>
    </r>
    <r>
      <rPr>
        <sz val="12"/>
        <rFont val="標楷體"/>
        <family val="4"/>
        <charset val="136"/>
      </rPr>
      <t>投</t>
    </r>
    <r>
      <rPr>
        <sz val="12"/>
        <rFont val="Times New Roman"/>
        <family val="1"/>
      </rPr>
      <t xml:space="preserve"> </t>
    </r>
    <r>
      <rPr>
        <sz val="12"/>
        <rFont val="標楷體"/>
        <family val="4"/>
        <charset val="136"/>
      </rPr>
      <t>縣</t>
    </r>
    <phoneticPr fontId="5" type="noConversion"/>
  </si>
  <si>
    <r>
      <rPr>
        <sz val="12"/>
        <rFont val="標楷體"/>
        <family val="4"/>
        <charset val="136"/>
      </rPr>
      <t>雲</t>
    </r>
    <r>
      <rPr>
        <sz val="12"/>
        <rFont val="Times New Roman"/>
        <family val="1"/>
      </rPr>
      <t xml:space="preserve"> </t>
    </r>
    <r>
      <rPr>
        <sz val="12"/>
        <rFont val="標楷體"/>
        <family val="4"/>
        <charset val="136"/>
      </rPr>
      <t>林</t>
    </r>
    <r>
      <rPr>
        <sz val="12"/>
        <rFont val="Times New Roman"/>
        <family val="1"/>
      </rPr>
      <t xml:space="preserve"> </t>
    </r>
    <r>
      <rPr>
        <sz val="12"/>
        <rFont val="標楷體"/>
        <family val="4"/>
        <charset val="136"/>
      </rPr>
      <t>縣</t>
    </r>
    <phoneticPr fontId="5" type="noConversion"/>
  </si>
  <si>
    <r>
      <rPr>
        <sz val="12"/>
        <rFont val="標楷體"/>
        <family val="4"/>
        <charset val="136"/>
      </rPr>
      <t>嘉</t>
    </r>
    <r>
      <rPr>
        <sz val="12"/>
        <rFont val="Times New Roman"/>
        <family val="1"/>
      </rPr>
      <t xml:space="preserve"> </t>
    </r>
    <r>
      <rPr>
        <sz val="12"/>
        <rFont val="標楷體"/>
        <family val="4"/>
        <charset val="136"/>
      </rPr>
      <t>義</t>
    </r>
    <r>
      <rPr>
        <sz val="12"/>
        <rFont val="Times New Roman"/>
        <family val="1"/>
      </rPr>
      <t xml:space="preserve"> </t>
    </r>
    <r>
      <rPr>
        <sz val="12"/>
        <rFont val="標楷體"/>
        <family val="4"/>
        <charset val="136"/>
      </rPr>
      <t>縣</t>
    </r>
    <phoneticPr fontId="5" type="noConversion"/>
  </si>
  <si>
    <r>
      <rPr>
        <sz val="12"/>
        <rFont val="標楷體"/>
        <family val="4"/>
        <charset val="136"/>
      </rPr>
      <t>屏</t>
    </r>
    <r>
      <rPr>
        <sz val="12"/>
        <rFont val="Times New Roman"/>
        <family val="1"/>
      </rPr>
      <t xml:space="preserve"> </t>
    </r>
    <r>
      <rPr>
        <sz val="12"/>
        <rFont val="標楷體"/>
        <family val="4"/>
        <charset val="136"/>
      </rPr>
      <t>東</t>
    </r>
    <r>
      <rPr>
        <sz val="12"/>
        <rFont val="Times New Roman"/>
        <family val="1"/>
      </rPr>
      <t xml:space="preserve"> </t>
    </r>
    <r>
      <rPr>
        <sz val="12"/>
        <rFont val="標楷體"/>
        <family val="4"/>
        <charset val="136"/>
      </rPr>
      <t>縣</t>
    </r>
    <phoneticPr fontId="5" type="noConversion"/>
  </si>
  <si>
    <r>
      <rPr>
        <sz val="12"/>
        <rFont val="標楷體"/>
        <family val="4"/>
        <charset val="136"/>
      </rPr>
      <t>臺</t>
    </r>
    <r>
      <rPr>
        <sz val="12"/>
        <rFont val="Times New Roman"/>
        <family val="1"/>
      </rPr>
      <t xml:space="preserve"> </t>
    </r>
    <r>
      <rPr>
        <sz val="12"/>
        <rFont val="標楷體"/>
        <family val="4"/>
        <charset val="136"/>
      </rPr>
      <t>東</t>
    </r>
    <r>
      <rPr>
        <sz val="12"/>
        <rFont val="Times New Roman"/>
        <family val="1"/>
      </rPr>
      <t xml:space="preserve"> </t>
    </r>
    <r>
      <rPr>
        <sz val="12"/>
        <rFont val="標楷體"/>
        <family val="4"/>
        <charset val="136"/>
      </rPr>
      <t>縣</t>
    </r>
    <phoneticPr fontId="5" type="noConversion"/>
  </si>
  <si>
    <r>
      <rPr>
        <sz val="12"/>
        <rFont val="標楷體"/>
        <family val="4"/>
        <charset val="136"/>
      </rPr>
      <t>花</t>
    </r>
    <r>
      <rPr>
        <sz val="12"/>
        <rFont val="Times New Roman"/>
        <family val="1"/>
      </rPr>
      <t xml:space="preserve"> </t>
    </r>
    <r>
      <rPr>
        <sz val="12"/>
        <rFont val="標楷體"/>
        <family val="4"/>
        <charset val="136"/>
      </rPr>
      <t>蓮</t>
    </r>
    <r>
      <rPr>
        <sz val="12"/>
        <rFont val="Times New Roman"/>
        <family val="1"/>
      </rPr>
      <t xml:space="preserve"> </t>
    </r>
    <r>
      <rPr>
        <sz val="12"/>
        <rFont val="標楷體"/>
        <family val="4"/>
        <charset val="136"/>
      </rPr>
      <t>縣</t>
    </r>
    <phoneticPr fontId="5" type="noConversion"/>
  </si>
  <si>
    <r>
      <rPr>
        <sz val="12"/>
        <rFont val="標楷體"/>
        <family val="4"/>
        <charset val="136"/>
      </rPr>
      <t>澎</t>
    </r>
    <r>
      <rPr>
        <sz val="12"/>
        <rFont val="Times New Roman"/>
        <family val="1"/>
      </rPr>
      <t xml:space="preserve"> </t>
    </r>
    <r>
      <rPr>
        <sz val="12"/>
        <rFont val="標楷體"/>
        <family val="4"/>
        <charset val="136"/>
      </rPr>
      <t>湖</t>
    </r>
    <r>
      <rPr>
        <sz val="12"/>
        <rFont val="Times New Roman"/>
        <family val="1"/>
      </rPr>
      <t xml:space="preserve"> </t>
    </r>
    <r>
      <rPr>
        <sz val="12"/>
        <rFont val="標楷體"/>
        <family val="4"/>
        <charset val="136"/>
      </rPr>
      <t>縣</t>
    </r>
    <phoneticPr fontId="5" type="noConversion"/>
  </si>
  <si>
    <r>
      <rPr>
        <sz val="12"/>
        <rFont val="標楷體"/>
        <family val="4"/>
        <charset val="136"/>
      </rPr>
      <t>基</t>
    </r>
    <r>
      <rPr>
        <sz val="12"/>
        <rFont val="Times New Roman"/>
        <family val="1"/>
      </rPr>
      <t xml:space="preserve"> </t>
    </r>
    <r>
      <rPr>
        <sz val="12"/>
        <rFont val="標楷體"/>
        <family val="4"/>
        <charset val="136"/>
      </rPr>
      <t>隆</t>
    </r>
    <r>
      <rPr>
        <sz val="12"/>
        <rFont val="Times New Roman"/>
        <family val="1"/>
      </rPr>
      <t xml:space="preserve"> </t>
    </r>
    <r>
      <rPr>
        <sz val="12"/>
        <rFont val="標楷體"/>
        <family val="4"/>
        <charset val="136"/>
      </rPr>
      <t>市</t>
    </r>
    <phoneticPr fontId="5" type="noConversion"/>
  </si>
  <si>
    <r>
      <rPr>
        <sz val="12"/>
        <rFont val="標楷體"/>
        <family val="4"/>
        <charset val="136"/>
      </rPr>
      <t>新</t>
    </r>
    <r>
      <rPr>
        <sz val="12"/>
        <rFont val="Times New Roman"/>
        <family val="1"/>
      </rPr>
      <t xml:space="preserve"> </t>
    </r>
    <r>
      <rPr>
        <sz val="12"/>
        <rFont val="標楷體"/>
        <family val="4"/>
        <charset val="136"/>
      </rPr>
      <t>竹</t>
    </r>
    <r>
      <rPr>
        <sz val="12"/>
        <rFont val="Times New Roman"/>
        <family val="1"/>
      </rPr>
      <t xml:space="preserve"> </t>
    </r>
    <r>
      <rPr>
        <sz val="12"/>
        <rFont val="標楷體"/>
        <family val="4"/>
        <charset val="136"/>
      </rPr>
      <t>市</t>
    </r>
    <phoneticPr fontId="5" type="noConversion"/>
  </si>
  <si>
    <r>
      <rPr>
        <sz val="12"/>
        <rFont val="標楷體"/>
        <family val="4"/>
        <charset val="136"/>
      </rPr>
      <t>嘉</t>
    </r>
    <r>
      <rPr>
        <sz val="12"/>
        <rFont val="Times New Roman"/>
        <family val="1"/>
      </rPr>
      <t xml:space="preserve"> </t>
    </r>
    <r>
      <rPr>
        <sz val="12"/>
        <rFont val="標楷體"/>
        <family val="4"/>
        <charset val="136"/>
      </rPr>
      <t>義</t>
    </r>
    <r>
      <rPr>
        <sz val="12"/>
        <rFont val="Times New Roman"/>
        <family val="1"/>
      </rPr>
      <t xml:space="preserve"> </t>
    </r>
    <r>
      <rPr>
        <sz val="12"/>
        <rFont val="標楷體"/>
        <family val="4"/>
        <charset val="136"/>
      </rPr>
      <t>市</t>
    </r>
    <phoneticPr fontId="5" type="noConversion"/>
  </si>
  <si>
    <r>
      <rPr>
        <sz val="12"/>
        <rFont val="標楷體"/>
        <family val="4"/>
        <charset val="136"/>
      </rPr>
      <t>金</t>
    </r>
    <r>
      <rPr>
        <sz val="12"/>
        <rFont val="Times New Roman"/>
        <family val="1"/>
      </rPr>
      <t xml:space="preserve"> </t>
    </r>
    <r>
      <rPr>
        <sz val="12"/>
        <rFont val="標楷體"/>
        <family val="4"/>
        <charset val="136"/>
      </rPr>
      <t>門</t>
    </r>
    <r>
      <rPr>
        <sz val="12"/>
        <rFont val="Times New Roman"/>
        <family val="1"/>
      </rPr>
      <t xml:space="preserve"> </t>
    </r>
    <r>
      <rPr>
        <sz val="12"/>
        <rFont val="標楷體"/>
        <family val="4"/>
        <charset val="136"/>
      </rPr>
      <t>縣</t>
    </r>
    <phoneticPr fontId="5" type="noConversion"/>
  </si>
  <si>
    <r>
      <rPr>
        <sz val="12"/>
        <rFont val="標楷體"/>
        <family val="4"/>
        <charset val="136"/>
      </rPr>
      <t>連</t>
    </r>
    <r>
      <rPr>
        <sz val="12"/>
        <rFont val="Times New Roman"/>
        <family val="1"/>
      </rPr>
      <t xml:space="preserve"> </t>
    </r>
    <r>
      <rPr>
        <sz val="12"/>
        <rFont val="標楷體"/>
        <family val="4"/>
        <charset val="136"/>
      </rPr>
      <t>江</t>
    </r>
    <r>
      <rPr>
        <sz val="12"/>
        <rFont val="Times New Roman"/>
        <family val="1"/>
      </rPr>
      <t xml:space="preserve"> </t>
    </r>
    <r>
      <rPr>
        <sz val="12"/>
        <rFont val="標楷體"/>
        <family val="4"/>
        <charset val="136"/>
      </rPr>
      <t>縣</t>
    </r>
    <phoneticPr fontId="5" type="noConversion"/>
  </si>
  <si>
    <r>
      <rPr>
        <sz val="12"/>
        <rFont val="標楷體"/>
        <family val="4"/>
        <charset val="136"/>
      </rPr>
      <t>複合調理食品</t>
    </r>
    <phoneticPr fontId="5" type="noConversion"/>
  </si>
  <si>
    <r>
      <rPr>
        <sz val="12"/>
        <rFont val="標楷體"/>
        <family val="4"/>
        <charset val="136"/>
      </rPr>
      <t>麵乾製品</t>
    </r>
    <phoneticPr fontId="5" type="noConversion"/>
  </si>
  <si>
    <r>
      <rPr>
        <sz val="12"/>
        <rFont val="標楷體"/>
        <family val="4"/>
        <charset val="136"/>
      </rPr>
      <t>花生製品</t>
    </r>
    <phoneticPr fontId="5" type="noConversion"/>
  </si>
  <si>
    <r>
      <rPr>
        <sz val="12"/>
        <rFont val="標楷體"/>
        <family val="4"/>
        <charset val="136"/>
      </rPr>
      <t>堅果加工</t>
    </r>
    <phoneticPr fontId="5" type="noConversion"/>
  </si>
  <si>
    <r>
      <rPr>
        <sz val="12"/>
        <rFont val="標楷體"/>
        <family val="4"/>
        <charset val="136"/>
      </rPr>
      <t>醬菜</t>
    </r>
    <phoneticPr fontId="5" type="noConversion"/>
  </si>
  <si>
    <r>
      <rPr>
        <sz val="12"/>
        <rFont val="標楷體"/>
        <family val="4"/>
        <charset val="136"/>
      </rPr>
      <t>果醬</t>
    </r>
    <phoneticPr fontId="5" type="noConversion"/>
  </si>
  <si>
    <r>
      <rPr>
        <sz val="12"/>
        <rFont val="標楷體"/>
        <family val="4"/>
        <charset val="136"/>
      </rPr>
      <t>含碳酸
飲料</t>
    </r>
    <phoneticPr fontId="5" type="noConversion"/>
  </si>
  <si>
    <r>
      <rPr>
        <sz val="12"/>
        <rFont val="標楷體"/>
        <family val="4"/>
        <charset val="136"/>
      </rPr>
      <t>包</t>
    </r>
    <r>
      <rPr>
        <sz val="12"/>
        <rFont val="Times New Roman"/>
        <family val="1"/>
      </rPr>
      <t>(</t>
    </r>
    <r>
      <rPr>
        <sz val="12"/>
        <rFont val="標楷體"/>
        <family val="4"/>
        <charset val="136"/>
      </rPr>
      <t>盛</t>
    </r>
    <r>
      <rPr>
        <sz val="12"/>
        <rFont val="Times New Roman"/>
        <family val="1"/>
      </rPr>
      <t>)</t>
    </r>
    <r>
      <rPr>
        <sz val="12"/>
        <rFont val="標楷體"/>
        <family val="4"/>
        <charset val="136"/>
      </rPr>
      <t>裝飲用水</t>
    </r>
    <phoneticPr fontId="5" type="noConversion"/>
  </si>
  <si>
    <r>
      <rPr>
        <sz val="12"/>
        <rFont val="標楷體"/>
        <family val="4"/>
        <charset val="136"/>
      </rPr>
      <t>動物油脂</t>
    </r>
    <phoneticPr fontId="5" type="noConversion"/>
  </si>
  <si>
    <r>
      <rPr>
        <sz val="12"/>
        <rFont val="標楷體"/>
        <family val="4"/>
        <charset val="136"/>
      </rPr>
      <t>乳粉類</t>
    </r>
    <phoneticPr fontId="5" type="noConversion"/>
  </si>
  <si>
    <r>
      <rPr>
        <sz val="12"/>
        <rFont val="標楷體"/>
        <family val="4"/>
        <charset val="136"/>
      </rPr>
      <t>雜糧製品</t>
    </r>
    <phoneticPr fontId="5" type="noConversion"/>
  </si>
  <si>
    <r>
      <rPr>
        <sz val="12"/>
        <rFont val="標楷體"/>
        <family val="4"/>
        <charset val="136"/>
      </rPr>
      <t>麵濕製品</t>
    </r>
    <phoneticPr fontId="5" type="noConversion"/>
  </si>
  <si>
    <r>
      <rPr>
        <sz val="12"/>
        <rFont val="標楷體"/>
        <family val="4"/>
        <charset val="136"/>
      </rPr>
      <t>堅果</t>
    </r>
    <phoneticPr fontId="5" type="noConversion"/>
  </si>
  <si>
    <r>
      <rPr>
        <sz val="12"/>
        <rFont val="標楷體"/>
        <family val="4"/>
        <charset val="136"/>
      </rPr>
      <t>塑膠品</t>
    </r>
    <phoneticPr fontId="5" type="noConversion"/>
  </si>
  <si>
    <r>
      <rPr>
        <sz val="12"/>
        <rFont val="標楷體"/>
        <family val="4"/>
        <charset val="136"/>
      </rPr>
      <t>非塑膠類</t>
    </r>
    <phoneticPr fontId="5" type="noConversion"/>
  </si>
  <si>
    <r>
      <rPr>
        <sz val="12"/>
        <rFont val="標楷體"/>
        <family val="4"/>
        <charset val="136"/>
      </rPr>
      <t>酒類</t>
    </r>
    <phoneticPr fontId="5" type="noConversion"/>
  </si>
  <si>
    <r>
      <rPr>
        <sz val="12"/>
        <rFont val="標楷體"/>
        <family val="4"/>
        <charset val="136"/>
      </rPr>
      <t>查驗件數</t>
    </r>
    <phoneticPr fontId="5" type="noConversion"/>
  </si>
  <si>
    <r>
      <rPr>
        <sz val="12"/>
        <rFont val="標楷體"/>
        <family val="4"/>
        <charset val="136"/>
      </rPr>
      <t>中間製品</t>
    </r>
    <phoneticPr fontId="5" type="noConversion"/>
  </si>
  <si>
    <r>
      <rPr>
        <sz val="12"/>
        <rFont val="標楷體"/>
        <family val="4"/>
        <charset val="136"/>
      </rPr>
      <t>脫水食品</t>
    </r>
    <phoneticPr fontId="5" type="noConversion"/>
  </si>
  <si>
    <r>
      <rPr>
        <sz val="12"/>
        <rFont val="標楷體"/>
        <family val="4"/>
        <charset val="136"/>
      </rPr>
      <t>醬油</t>
    </r>
    <phoneticPr fontId="5" type="noConversion"/>
  </si>
  <si>
    <r>
      <rPr>
        <sz val="12"/>
        <rFont val="標楷體"/>
        <family val="4"/>
        <charset val="136"/>
      </rPr>
      <t>基因改造食品</t>
    </r>
    <phoneticPr fontId="5" type="noConversion"/>
  </si>
  <si>
    <r>
      <rPr>
        <sz val="12"/>
        <rFont val="標楷體"/>
        <family val="4"/>
        <charset val="136"/>
      </rPr>
      <t>米濕製品</t>
    </r>
    <phoneticPr fontId="5" type="noConversion"/>
  </si>
  <si>
    <r>
      <rPr>
        <sz val="12"/>
        <rFont val="標楷體"/>
        <family val="4"/>
        <charset val="136"/>
      </rPr>
      <t>餐飲類</t>
    </r>
    <phoneticPr fontId="5" type="noConversion"/>
  </si>
  <si>
    <r>
      <rPr>
        <sz val="12"/>
        <rFont val="標楷體"/>
        <family val="4"/>
        <charset val="136"/>
      </rPr>
      <t>查驗件數</t>
    </r>
    <phoneticPr fontId="5" type="noConversion"/>
  </si>
  <si>
    <r>
      <rPr>
        <sz val="12"/>
        <rFont val="標楷體"/>
        <family val="4"/>
        <charset val="136"/>
      </rPr>
      <t>鮮果蔬菜類</t>
    </r>
    <phoneticPr fontId="5" type="noConversion"/>
  </si>
  <si>
    <r>
      <rPr>
        <sz val="12"/>
        <rFont val="標楷體"/>
        <family val="4"/>
        <charset val="136"/>
      </rPr>
      <t>蔬果</t>
    </r>
    <phoneticPr fontId="5" type="noConversion"/>
  </si>
  <si>
    <r>
      <rPr>
        <sz val="12"/>
        <rFont val="標楷體"/>
        <family val="4"/>
        <charset val="136"/>
      </rPr>
      <t>糖漬鹽漬果實</t>
    </r>
    <phoneticPr fontId="5" type="noConversion"/>
  </si>
  <si>
    <r>
      <rPr>
        <sz val="12"/>
        <rFont val="標楷體"/>
        <family val="4"/>
        <charset val="136"/>
      </rPr>
      <t>食用冰塊</t>
    </r>
    <phoneticPr fontId="5" type="noConversion"/>
  </si>
  <si>
    <r>
      <rPr>
        <sz val="12"/>
        <rFont val="標楷體"/>
        <family val="4"/>
        <charset val="136"/>
      </rPr>
      <t>植物油脂</t>
    </r>
    <phoneticPr fontId="5" type="noConversion"/>
  </si>
  <si>
    <r>
      <rPr>
        <sz val="12"/>
        <rFont val="標楷體"/>
        <family val="4"/>
        <charset val="136"/>
      </rPr>
      <t>速食類</t>
    </r>
    <phoneticPr fontId="5" type="noConversion"/>
  </si>
  <si>
    <r>
      <rPr>
        <sz val="12"/>
        <rFont val="標楷體"/>
        <family val="4"/>
        <charset val="136"/>
      </rPr>
      <t>食用油脂</t>
    </r>
    <phoneticPr fontId="5" type="noConversion"/>
  </si>
  <si>
    <r>
      <rPr>
        <sz val="12"/>
        <rFont val="標楷體"/>
        <family val="4"/>
        <charset val="136"/>
      </rPr>
      <t>堅果加工</t>
    </r>
    <phoneticPr fontId="5" type="noConversion"/>
  </si>
  <si>
    <r>
      <rPr>
        <sz val="12"/>
        <rFont val="標楷體"/>
        <family val="4"/>
        <charset val="136"/>
      </rPr>
      <t>脫水食品</t>
    </r>
    <phoneticPr fontId="5" type="noConversion"/>
  </si>
  <si>
    <r>
      <rPr>
        <sz val="12"/>
        <rFont val="標楷體"/>
        <family val="4"/>
        <charset val="136"/>
      </rPr>
      <t>堅果</t>
    </r>
    <phoneticPr fontId="5" type="noConversion"/>
  </si>
  <si>
    <r>
      <rPr>
        <sz val="12"/>
        <rFont val="標楷體"/>
        <family val="4"/>
        <charset val="136"/>
      </rPr>
      <t>不符規定件數</t>
    </r>
    <phoneticPr fontId="5" type="noConversion"/>
  </si>
  <si>
    <r>
      <rPr>
        <sz val="12"/>
        <rFont val="標楷體"/>
        <family val="4"/>
        <charset val="136"/>
      </rPr>
      <t>查驗件數</t>
    </r>
    <phoneticPr fontId="5" type="noConversion"/>
  </si>
  <si>
    <r>
      <rPr>
        <sz val="12"/>
        <rFont val="標楷體"/>
        <family val="4"/>
        <charset val="136"/>
      </rPr>
      <t>不符規定件數</t>
    </r>
    <phoneticPr fontId="5" type="noConversion"/>
  </si>
  <si>
    <r>
      <rPr>
        <sz val="12"/>
        <rFont val="標楷體"/>
        <family val="4"/>
        <charset val="136"/>
      </rPr>
      <t>苗</t>
    </r>
    <r>
      <rPr>
        <sz val="12"/>
        <rFont val="Times New Roman"/>
        <family val="1"/>
      </rPr>
      <t xml:space="preserve"> </t>
    </r>
    <r>
      <rPr>
        <sz val="12"/>
        <rFont val="標楷體"/>
        <family val="4"/>
        <charset val="136"/>
      </rPr>
      <t>栗</t>
    </r>
    <r>
      <rPr>
        <sz val="12"/>
        <rFont val="Times New Roman"/>
        <family val="1"/>
      </rPr>
      <t xml:space="preserve"> </t>
    </r>
    <r>
      <rPr>
        <sz val="12"/>
        <rFont val="標楷體"/>
        <family val="4"/>
        <charset val="136"/>
      </rPr>
      <t>縣</t>
    </r>
    <phoneticPr fontId="5" type="noConversion"/>
  </si>
  <si>
    <r>
      <rPr>
        <sz val="12"/>
        <rFont val="標楷體"/>
        <family val="4"/>
        <charset val="136"/>
      </rPr>
      <t>雲</t>
    </r>
    <r>
      <rPr>
        <sz val="12"/>
        <rFont val="Times New Roman"/>
        <family val="1"/>
      </rPr>
      <t xml:space="preserve"> </t>
    </r>
    <r>
      <rPr>
        <sz val="12"/>
        <rFont val="標楷體"/>
        <family val="4"/>
        <charset val="136"/>
      </rPr>
      <t>林</t>
    </r>
    <r>
      <rPr>
        <sz val="12"/>
        <rFont val="Times New Roman"/>
        <family val="1"/>
      </rPr>
      <t xml:space="preserve"> </t>
    </r>
    <r>
      <rPr>
        <sz val="12"/>
        <rFont val="標楷體"/>
        <family val="4"/>
        <charset val="136"/>
      </rPr>
      <t>縣</t>
    </r>
    <phoneticPr fontId="5" type="noConversion"/>
  </si>
  <si>
    <r>
      <rPr>
        <sz val="12"/>
        <rFont val="標楷體"/>
        <family val="4"/>
        <charset val="136"/>
      </rPr>
      <t>烘焙食品</t>
    </r>
    <phoneticPr fontId="5" type="noConversion"/>
  </si>
  <si>
    <r>
      <rPr>
        <sz val="12"/>
        <rFont val="標楷體"/>
        <family val="4"/>
        <charset val="136"/>
      </rPr>
      <t>糖果類</t>
    </r>
    <phoneticPr fontId="5" type="noConversion"/>
  </si>
  <si>
    <r>
      <rPr>
        <sz val="12"/>
        <rFont val="標楷體"/>
        <family val="4"/>
        <charset val="136"/>
      </rPr>
      <t>其他調味品</t>
    </r>
    <phoneticPr fontId="5" type="noConversion"/>
  </si>
  <si>
    <r>
      <rPr>
        <sz val="12"/>
        <rFont val="標楷體"/>
        <family val="4"/>
        <charset val="136"/>
      </rPr>
      <t>罐頭</t>
    </r>
    <phoneticPr fontId="5" type="noConversion"/>
  </si>
  <si>
    <r>
      <rPr>
        <sz val="12"/>
        <rFont val="標楷體"/>
        <family val="4"/>
        <charset val="136"/>
      </rPr>
      <t>查驗件數</t>
    </r>
    <phoneticPr fontId="5" type="noConversion"/>
  </si>
  <si>
    <r>
      <rPr>
        <sz val="12"/>
        <rFont val="標楷體"/>
        <family val="4"/>
        <charset val="136"/>
      </rPr>
      <t>不符規定件數</t>
    </r>
    <phoneticPr fontId="5" type="noConversion"/>
  </si>
  <si>
    <r>
      <rPr>
        <sz val="12"/>
        <rFont val="標楷體"/>
        <family val="4"/>
        <charset val="136"/>
      </rPr>
      <t>查驗件數</t>
    </r>
    <phoneticPr fontId="5" type="noConversion"/>
  </si>
  <si>
    <r>
      <rPr>
        <sz val="12"/>
        <rFont val="標楷體"/>
        <family val="4"/>
        <charset val="136"/>
      </rPr>
      <t>查驗件數</t>
    </r>
    <phoneticPr fontId="5" type="noConversion"/>
  </si>
  <si>
    <r>
      <rPr>
        <sz val="12"/>
        <rFont val="標楷體"/>
        <family val="4"/>
        <charset val="136"/>
      </rPr>
      <t>縣</t>
    </r>
    <r>
      <rPr>
        <sz val="12"/>
        <rFont val="Times New Roman"/>
        <family val="1"/>
      </rPr>
      <t xml:space="preserve">     </t>
    </r>
    <r>
      <rPr>
        <sz val="12"/>
        <rFont val="標楷體"/>
        <family val="4"/>
        <charset val="136"/>
      </rPr>
      <t>市</t>
    </r>
    <r>
      <rPr>
        <sz val="12"/>
        <rFont val="Times New Roman"/>
        <family val="1"/>
      </rPr>
      <t xml:space="preserve">     </t>
    </r>
    <r>
      <rPr>
        <sz val="12"/>
        <rFont val="標楷體"/>
        <family val="4"/>
        <charset val="136"/>
      </rPr>
      <t>別</t>
    </r>
    <phoneticPr fontId="5" type="noConversion"/>
  </si>
  <si>
    <r>
      <rPr>
        <sz val="12"/>
        <rFont val="標楷體"/>
        <family val="4"/>
        <charset val="136"/>
      </rPr>
      <t>乳品及其加工品</t>
    </r>
    <phoneticPr fontId="5" type="noConversion"/>
  </si>
  <si>
    <r>
      <rPr>
        <sz val="12"/>
        <rFont val="標楷體"/>
        <family val="4"/>
        <charset val="136"/>
      </rPr>
      <t>水產及其加工品類</t>
    </r>
    <phoneticPr fontId="5" type="noConversion"/>
  </si>
  <si>
    <r>
      <rPr>
        <sz val="12"/>
        <rFont val="標楷體"/>
        <family val="4"/>
        <charset val="136"/>
      </rPr>
      <t>穀豆類及其加工品</t>
    </r>
    <phoneticPr fontId="5" type="noConversion"/>
  </si>
  <si>
    <r>
      <rPr>
        <sz val="12"/>
        <rFont val="標楷體"/>
        <family val="4"/>
        <charset val="136"/>
      </rPr>
      <t>鮮果蔬菜類及其加工品</t>
    </r>
    <phoneticPr fontId="5" type="noConversion"/>
  </si>
  <si>
    <r>
      <rPr>
        <sz val="12"/>
        <rFont val="標楷體"/>
        <family val="4"/>
        <charset val="136"/>
      </rPr>
      <t>特</t>
    </r>
    <r>
      <rPr>
        <sz val="12"/>
        <rFont val="Times New Roman"/>
        <family val="1"/>
      </rPr>
      <t xml:space="preserve"> </t>
    </r>
    <r>
      <rPr>
        <sz val="12"/>
        <rFont val="標楷體"/>
        <family val="4"/>
        <charset val="136"/>
      </rPr>
      <t>殊</t>
    </r>
    <r>
      <rPr>
        <sz val="12"/>
        <rFont val="Times New Roman"/>
        <family val="1"/>
      </rPr>
      <t xml:space="preserve"> </t>
    </r>
    <r>
      <rPr>
        <sz val="12"/>
        <rFont val="標楷體"/>
        <family val="4"/>
        <charset val="136"/>
      </rPr>
      <t>營</t>
    </r>
    <r>
      <rPr>
        <sz val="12"/>
        <rFont val="Times New Roman"/>
        <family val="1"/>
      </rPr>
      <t xml:space="preserve"> </t>
    </r>
    <r>
      <rPr>
        <sz val="12"/>
        <rFont val="標楷體"/>
        <family val="4"/>
        <charset val="136"/>
      </rPr>
      <t>養</t>
    </r>
    <r>
      <rPr>
        <sz val="12"/>
        <rFont val="Times New Roman"/>
        <family val="1"/>
      </rPr>
      <t xml:space="preserve"> </t>
    </r>
    <r>
      <rPr>
        <sz val="12"/>
        <rFont val="標楷體"/>
        <family val="4"/>
        <charset val="136"/>
      </rPr>
      <t>食</t>
    </r>
    <r>
      <rPr>
        <sz val="12"/>
        <rFont val="Times New Roman"/>
        <family val="1"/>
      </rPr>
      <t xml:space="preserve"> </t>
    </r>
    <r>
      <rPr>
        <sz val="12"/>
        <rFont val="標楷體"/>
        <family val="4"/>
        <charset val="136"/>
      </rPr>
      <t>品</t>
    </r>
    <phoneticPr fontId="5" type="noConversion"/>
  </si>
  <si>
    <r>
      <rPr>
        <sz val="12"/>
        <rFont val="標楷體"/>
        <family val="4"/>
        <charset val="136"/>
      </rPr>
      <t>食用冰及冰品</t>
    </r>
    <phoneticPr fontId="5" type="noConversion"/>
  </si>
  <si>
    <r>
      <t xml:space="preserve"> </t>
    </r>
    <r>
      <rPr>
        <sz val="12"/>
        <rFont val="標楷體"/>
        <family val="4"/>
        <charset val="136"/>
      </rPr>
      <t>食品用器具</t>
    </r>
    <phoneticPr fontId="5" type="noConversion"/>
  </si>
  <si>
    <r>
      <rPr>
        <sz val="12"/>
        <rFont val="標楷體"/>
        <family val="4"/>
        <charset val="136"/>
      </rPr>
      <t>可能誇大療效食品</t>
    </r>
    <phoneticPr fontId="10" type="noConversion"/>
  </si>
  <si>
    <r>
      <rPr>
        <sz val="12"/>
        <rFont val="標楷體"/>
        <family val="4"/>
        <charset val="136"/>
      </rPr>
      <t>健康食品</t>
    </r>
    <phoneticPr fontId="10" type="noConversion"/>
  </si>
  <si>
    <r>
      <rPr>
        <sz val="12"/>
        <rFont val="標楷體"/>
        <family val="4"/>
        <charset val="136"/>
      </rPr>
      <t>液態乳</t>
    </r>
  </si>
  <si>
    <r>
      <rPr>
        <sz val="12"/>
        <rFont val="標楷體"/>
        <family val="4"/>
        <charset val="136"/>
      </rPr>
      <t>調味液態乳</t>
    </r>
  </si>
  <si>
    <r>
      <rPr>
        <sz val="12"/>
        <rFont val="標楷體"/>
        <family val="4"/>
        <charset val="136"/>
      </rPr>
      <t>肉類</t>
    </r>
  </si>
  <si>
    <r>
      <rPr>
        <sz val="12"/>
        <rFont val="標楷體"/>
        <family val="4"/>
        <charset val="136"/>
      </rPr>
      <t>水產加工品</t>
    </r>
    <phoneticPr fontId="5" type="noConversion"/>
  </si>
  <si>
    <r>
      <rPr>
        <sz val="12"/>
        <rFont val="標楷體"/>
        <family val="4"/>
        <charset val="136"/>
      </rPr>
      <t>水產品罐頭</t>
    </r>
    <phoneticPr fontId="10" type="noConversion"/>
  </si>
  <si>
    <r>
      <rPr>
        <sz val="12"/>
        <rFont val="標楷體"/>
        <family val="4"/>
        <charset val="136"/>
      </rPr>
      <t>米乾製品</t>
    </r>
    <phoneticPr fontId="10" type="noConversion"/>
  </si>
  <si>
    <r>
      <rPr>
        <sz val="12"/>
        <rFont val="標楷體"/>
        <family val="4"/>
        <charset val="136"/>
      </rPr>
      <t>麵乾製品</t>
    </r>
    <phoneticPr fontId="10" type="noConversion"/>
  </si>
  <si>
    <r>
      <rPr>
        <sz val="12"/>
        <rFont val="標楷體"/>
        <family val="4"/>
        <charset val="136"/>
      </rPr>
      <t>麵濕製品</t>
    </r>
    <phoneticPr fontId="10" type="noConversion"/>
  </si>
  <si>
    <r>
      <rPr>
        <sz val="12"/>
        <rFont val="標楷體"/>
        <family val="4"/>
        <charset val="136"/>
      </rPr>
      <t>烘培食品</t>
    </r>
    <phoneticPr fontId="5" type="noConversion"/>
  </si>
  <si>
    <r>
      <rPr>
        <sz val="12"/>
        <rFont val="標楷體"/>
        <family val="4"/>
        <charset val="136"/>
      </rPr>
      <t>蔬果罐頭</t>
    </r>
  </si>
  <si>
    <r>
      <rPr>
        <sz val="12"/>
        <rFont val="標楷體"/>
        <family val="4"/>
        <charset val="136"/>
      </rPr>
      <t>冷凍蔬果</t>
    </r>
  </si>
  <si>
    <r>
      <rPr>
        <sz val="12"/>
        <rFont val="標楷體"/>
        <family val="4"/>
        <charset val="136"/>
      </rPr>
      <t>脫水食品</t>
    </r>
  </si>
  <si>
    <r>
      <rPr>
        <sz val="12"/>
        <rFont val="標楷體"/>
        <family val="4"/>
        <charset val="136"/>
      </rPr>
      <t>果醬</t>
    </r>
  </si>
  <si>
    <r>
      <rPr>
        <sz val="12"/>
        <rFont val="標楷體"/>
        <family val="4"/>
        <charset val="136"/>
      </rPr>
      <t>堅果</t>
    </r>
  </si>
  <si>
    <r>
      <rPr>
        <sz val="12"/>
        <rFont val="標楷體"/>
        <family val="4"/>
        <charset val="136"/>
      </rPr>
      <t>醃漬蔬果</t>
    </r>
  </si>
  <si>
    <r>
      <rPr>
        <sz val="12"/>
        <rFont val="標楷體"/>
        <family val="4"/>
        <charset val="136"/>
      </rPr>
      <t>嬰兒配方食品</t>
    </r>
    <r>
      <rPr>
        <sz val="12"/>
        <rFont val="Times New Roman"/>
        <family val="1"/>
      </rPr>
      <t xml:space="preserve"> </t>
    </r>
    <phoneticPr fontId="10" type="noConversion"/>
  </si>
  <si>
    <r>
      <rPr>
        <sz val="12"/>
        <rFont val="標楷體"/>
        <family val="4"/>
        <charset val="136"/>
      </rPr>
      <t>含碳酸飲料</t>
    </r>
    <phoneticPr fontId="10" type="noConversion"/>
  </si>
  <si>
    <r>
      <rPr>
        <sz val="12"/>
        <rFont val="標楷體"/>
        <family val="4"/>
        <charset val="136"/>
      </rPr>
      <t>不含碳酸飲料</t>
    </r>
    <phoneticPr fontId="10" type="noConversion"/>
  </si>
  <si>
    <r>
      <rPr>
        <sz val="12"/>
        <rFont val="標楷體"/>
        <family val="4"/>
        <charset val="136"/>
      </rPr>
      <t>植物油脂</t>
    </r>
    <phoneticPr fontId="10" type="noConversion"/>
  </si>
  <si>
    <r>
      <rPr>
        <sz val="12"/>
        <rFont val="標楷體"/>
        <family val="4"/>
        <charset val="136"/>
      </rPr>
      <t>其他食品添加物</t>
    </r>
  </si>
  <si>
    <r>
      <rPr>
        <sz val="12"/>
        <rFont val="標楷體"/>
        <family val="4"/>
        <charset val="136"/>
      </rPr>
      <t>調味醬</t>
    </r>
    <phoneticPr fontId="10" type="noConversion"/>
  </si>
  <si>
    <r>
      <rPr>
        <sz val="12"/>
        <rFont val="標楷體"/>
        <family val="4"/>
        <charset val="136"/>
      </rPr>
      <t>基因改造食品</t>
    </r>
    <r>
      <rPr>
        <sz val="12"/>
        <rFont val="Times New Roman"/>
        <family val="1"/>
      </rPr>
      <t xml:space="preserve">  </t>
    </r>
    <phoneticPr fontId="10" type="noConversion"/>
  </si>
  <si>
    <r>
      <rPr>
        <sz val="12"/>
        <rFont val="標楷體"/>
        <family val="4"/>
        <charset val="136"/>
      </rPr>
      <t>桃</t>
    </r>
    <r>
      <rPr>
        <sz val="12"/>
        <rFont val="Times New Roman"/>
        <family val="1"/>
      </rPr>
      <t xml:space="preserve"> </t>
    </r>
    <r>
      <rPr>
        <sz val="12"/>
        <rFont val="標楷體"/>
        <family val="4"/>
        <charset val="136"/>
      </rPr>
      <t>園</t>
    </r>
    <r>
      <rPr>
        <sz val="12"/>
        <rFont val="Times New Roman"/>
        <family val="1"/>
      </rPr>
      <t xml:space="preserve"> </t>
    </r>
    <r>
      <rPr>
        <sz val="12"/>
        <rFont val="標楷體"/>
        <family val="4"/>
        <charset val="136"/>
      </rPr>
      <t>市</t>
    </r>
    <phoneticPr fontId="5" type="noConversion"/>
  </si>
  <si>
    <r>
      <rPr>
        <sz val="12"/>
        <rFont val="標楷體"/>
        <family val="4"/>
        <charset val="136"/>
      </rPr>
      <t>不符規定件數</t>
    </r>
    <phoneticPr fontId="5" type="noConversion"/>
  </si>
  <si>
    <r>
      <rPr>
        <sz val="12"/>
        <rFont val="標楷體"/>
        <family val="4"/>
        <charset val="136"/>
      </rPr>
      <t>審核</t>
    </r>
  </si>
  <si>
    <r>
      <rPr>
        <sz val="12"/>
        <rFont val="標楷體"/>
        <family val="4"/>
        <charset val="136"/>
      </rPr>
      <t>業務主管人員</t>
    </r>
    <phoneticPr fontId="5" type="noConversion"/>
  </si>
  <si>
    <r>
      <rPr>
        <sz val="12"/>
        <rFont val="標楷體"/>
        <family val="4"/>
        <charset val="136"/>
      </rPr>
      <t>機關首長</t>
    </r>
    <phoneticPr fontId="5" type="noConversion"/>
  </si>
  <si>
    <r>
      <rPr>
        <sz val="12"/>
        <rFont val="標楷體"/>
        <family val="4"/>
        <charset val="136"/>
      </rPr>
      <t>主辦統計人員</t>
    </r>
  </si>
  <si>
    <r>
      <rPr>
        <sz val="12"/>
        <rFont val="標楷體"/>
        <family val="4"/>
        <charset val="136"/>
      </rPr>
      <t>米乾製品</t>
    </r>
    <phoneticPr fontId="5" type="noConversion"/>
  </si>
  <si>
    <r>
      <rPr>
        <sz val="12"/>
        <rFont val="標楷體"/>
        <family val="4"/>
        <charset val="136"/>
      </rPr>
      <t>特定疾病配方食品</t>
    </r>
    <r>
      <rPr>
        <sz val="12"/>
        <rFont val="Times New Roman"/>
        <family val="1"/>
      </rPr>
      <t xml:space="preserve">    </t>
    </r>
    <phoneticPr fontId="5" type="noConversion"/>
  </si>
  <si>
    <r>
      <rPr>
        <sz val="12"/>
        <rFont val="標楷體"/>
        <family val="4"/>
        <charset val="136"/>
      </rPr>
      <t>不符規定件數</t>
    </r>
    <phoneticPr fontId="5" type="noConversion"/>
  </si>
  <si>
    <r>
      <rPr>
        <sz val="12"/>
        <rFont val="標楷體"/>
        <family val="4"/>
        <charset val="136"/>
      </rPr>
      <t>新</t>
    </r>
    <r>
      <rPr>
        <sz val="12"/>
        <rFont val="Times New Roman"/>
        <family val="1"/>
      </rPr>
      <t xml:space="preserve"> </t>
    </r>
    <r>
      <rPr>
        <sz val="12"/>
        <rFont val="標楷體"/>
        <family val="4"/>
        <charset val="136"/>
      </rPr>
      <t>竹</t>
    </r>
    <r>
      <rPr>
        <sz val="12"/>
        <rFont val="Times New Roman"/>
        <family val="1"/>
      </rPr>
      <t xml:space="preserve"> </t>
    </r>
    <r>
      <rPr>
        <sz val="12"/>
        <rFont val="標楷體"/>
        <family val="4"/>
        <charset val="136"/>
      </rPr>
      <t>縣</t>
    </r>
    <phoneticPr fontId="5" type="noConversion"/>
  </si>
  <si>
    <r>
      <rPr>
        <sz val="12"/>
        <rFont val="標楷體"/>
        <family val="4"/>
        <charset val="136"/>
      </rPr>
      <t>不符規定件數</t>
    </r>
    <phoneticPr fontId="5" type="noConversion"/>
  </si>
  <si>
    <r>
      <rPr>
        <sz val="12"/>
        <rFont val="標楷體"/>
        <family val="4"/>
        <charset val="136"/>
      </rPr>
      <t>表</t>
    </r>
    <r>
      <rPr>
        <sz val="12"/>
        <rFont val="Times New Roman"/>
        <family val="1"/>
      </rPr>
      <t xml:space="preserve">           </t>
    </r>
    <r>
      <rPr>
        <sz val="12"/>
        <rFont val="標楷體"/>
        <family val="4"/>
        <charset val="136"/>
      </rPr>
      <t>號</t>
    </r>
    <phoneticPr fontId="10" type="noConversion"/>
  </si>
  <si>
    <r>
      <rPr>
        <sz val="12"/>
        <rFont val="標楷體"/>
        <family val="4"/>
        <charset val="136"/>
      </rPr>
      <t>資料來源：由本部統計處依據直轄市政府衛生局及各縣市衛生局</t>
    </r>
    <r>
      <rPr>
        <sz val="12"/>
        <rFont val="Times New Roman"/>
        <family val="1"/>
      </rPr>
      <t>(</t>
    </r>
    <r>
      <rPr>
        <sz val="12"/>
        <rFont val="標楷體"/>
        <family val="4"/>
        <charset val="136"/>
      </rPr>
      <t>含金門、連江縣</t>
    </r>
    <r>
      <rPr>
        <sz val="12"/>
        <rFont val="Times New Roman"/>
        <family val="1"/>
      </rPr>
      <t>)</t>
    </r>
    <r>
      <rPr>
        <sz val="12"/>
        <rFont val="標楷體"/>
        <family val="4"/>
        <charset val="136"/>
      </rPr>
      <t>提供之資料彙編。</t>
    </r>
    <phoneticPr fontId="10" type="noConversion"/>
  </si>
  <si>
    <r>
      <rPr>
        <sz val="12"/>
        <rFont val="標楷體"/>
        <family val="4"/>
        <charset val="136"/>
      </rPr>
      <t>高</t>
    </r>
    <r>
      <rPr>
        <sz val="12"/>
        <rFont val="Times New Roman"/>
        <family val="1"/>
      </rPr>
      <t xml:space="preserve"> </t>
    </r>
    <r>
      <rPr>
        <sz val="12"/>
        <rFont val="標楷體"/>
        <family val="4"/>
        <charset val="136"/>
      </rPr>
      <t>雄</t>
    </r>
    <r>
      <rPr>
        <sz val="12"/>
        <rFont val="Times New Roman"/>
        <family val="1"/>
      </rPr>
      <t xml:space="preserve"> </t>
    </r>
    <r>
      <rPr>
        <sz val="12"/>
        <rFont val="標楷體"/>
        <family val="4"/>
        <charset val="136"/>
      </rPr>
      <t>縣</t>
    </r>
    <phoneticPr fontId="5" type="noConversion"/>
  </si>
  <si>
    <r>
      <rPr>
        <sz val="12"/>
        <rFont val="標楷體"/>
        <family val="4"/>
        <charset val="136"/>
      </rPr>
      <t>資料來源：依據直轄市政府衛生局及各縣市衛生局</t>
    </r>
    <r>
      <rPr>
        <sz val="12"/>
        <rFont val="Times New Roman"/>
        <family val="1"/>
      </rPr>
      <t>(</t>
    </r>
    <r>
      <rPr>
        <sz val="12"/>
        <rFont val="標楷體"/>
        <family val="4"/>
        <charset val="136"/>
      </rPr>
      <t>含金門、連江縣</t>
    </r>
    <r>
      <rPr>
        <sz val="12"/>
        <rFont val="Times New Roman"/>
        <family val="1"/>
      </rPr>
      <t>)</t>
    </r>
    <r>
      <rPr>
        <sz val="12"/>
        <rFont val="標楷體"/>
        <family val="4"/>
        <charset val="136"/>
      </rPr>
      <t>提供之資料彙編。</t>
    </r>
    <phoneticPr fontId="10" type="noConversion"/>
  </si>
  <si>
    <r>
      <rPr>
        <sz val="12"/>
        <rFont val="標楷體"/>
        <family val="4"/>
        <charset val="136"/>
      </rPr>
      <t>填表</t>
    </r>
  </si>
  <si>
    <r>
      <rPr>
        <sz val="12"/>
        <rFont val="標楷體"/>
        <family val="4"/>
        <charset val="136"/>
      </rPr>
      <t>資料來源：由食品藥物管理署自直轄市政府衛生局及各縣市衛生局</t>
    </r>
    <r>
      <rPr>
        <sz val="12"/>
        <rFont val="Times New Roman"/>
        <family val="1"/>
      </rPr>
      <t>(</t>
    </r>
    <r>
      <rPr>
        <sz val="12"/>
        <rFont val="標楷體"/>
        <family val="4"/>
        <charset val="136"/>
      </rPr>
      <t>含金門、連江縣</t>
    </r>
    <r>
      <rPr>
        <sz val="12"/>
        <rFont val="Times New Roman"/>
        <family val="1"/>
      </rPr>
      <t>)</t>
    </r>
    <r>
      <rPr>
        <sz val="12"/>
        <rFont val="標楷體"/>
        <family val="4"/>
        <charset val="136"/>
      </rPr>
      <t>登錄之產品通路管理資訊系統</t>
    </r>
    <r>
      <rPr>
        <sz val="12"/>
        <rFont val="Times New Roman"/>
        <family val="1"/>
      </rPr>
      <t>(PMDS)</t>
    </r>
    <r>
      <rPr>
        <sz val="12"/>
        <rFont val="標楷體"/>
        <family val="4"/>
        <charset val="136"/>
      </rPr>
      <t>擷取彙編。</t>
    </r>
    <phoneticPr fontId="11" type="noConversion"/>
  </si>
  <si>
    <r>
      <rPr>
        <sz val="12"/>
        <rFont val="標楷體"/>
        <family val="4"/>
        <charset val="136"/>
      </rPr>
      <t>填表說明：本表一式二份，一份送本部統計室，一份自存。</t>
    </r>
    <phoneticPr fontId="11" type="noConversion"/>
  </si>
  <si>
    <r>
      <rPr>
        <sz val="12"/>
        <rFont val="標楷體"/>
        <family val="4"/>
        <charset val="136"/>
      </rPr>
      <t>宜</t>
    </r>
    <r>
      <rPr>
        <sz val="12"/>
        <rFont val="Times New Roman"/>
        <family val="1"/>
      </rPr>
      <t xml:space="preserve"> </t>
    </r>
    <r>
      <rPr>
        <sz val="12"/>
        <rFont val="標楷體"/>
        <family val="4"/>
        <charset val="136"/>
      </rPr>
      <t>蘭</t>
    </r>
    <r>
      <rPr>
        <sz val="12"/>
        <rFont val="Times New Roman"/>
        <family val="1"/>
      </rPr>
      <t xml:space="preserve"> </t>
    </r>
    <r>
      <rPr>
        <sz val="12"/>
        <rFont val="標楷體"/>
        <family val="4"/>
        <charset val="136"/>
      </rPr>
      <t>縣</t>
    </r>
    <phoneticPr fontId="5" type="noConversion"/>
  </si>
  <si>
    <r>
      <rPr>
        <sz val="12"/>
        <rFont val="標楷體"/>
        <family val="4"/>
        <charset val="136"/>
      </rPr>
      <t>填表說明：本表一式三份，一份送本部統計處，一份送本署主計室，一份本署北區管理中心自存。</t>
    </r>
    <phoneticPr fontId="10" type="noConversion"/>
  </si>
  <si>
    <r>
      <rPr>
        <sz val="12"/>
        <rFont val="標楷體"/>
        <family val="4"/>
        <charset val="136"/>
      </rPr>
      <t>中華民國</t>
    </r>
    <r>
      <rPr>
        <sz val="12"/>
        <rFont val="Times New Roman"/>
        <family val="1"/>
      </rPr>
      <t>108</t>
    </r>
    <r>
      <rPr>
        <sz val="12"/>
        <rFont val="標楷體"/>
        <family val="4"/>
        <charset val="136"/>
      </rPr>
      <t>年</t>
    </r>
    <phoneticPr fontId="5" type="noConversion"/>
  </si>
  <si>
    <r>
      <rPr>
        <sz val="12"/>
        <rFont val="標楷體"/>
        <family val="4"/>
        <charset val="136"/>
      </rPr>
      <t>蛋品及其加工品類</t>
    </r>
    <phoneticPr fontId="5" type="noConversion"/>
  </si>
  <si>
    <r>
      <rPr>
        <sz val="12"/>
        <rFont val="標楷體"/>
        <family val="4"/>
        <charset val="136"/>
      </rPr>
      <t>食品用洗潔劑</t>
    </r>
    <r>
      <rPr>
        <sz val="12"/>
        <rFont val="Times New Roman"/>
        <family val="1"/>
      </rPr>
      <t xml:space="preserve">  </t>
    </r>
    <phoneticPr fontId="5" type="noConversion"/>
  </si>
  <si>
    <r>
      <rPr>
        <sz val="12"/>
        <rFont val="標楷體"/>
        <family val="4"/>
        <charset val="136"/>
      </rPr>
      <t>煉乳</t>
    </r>
    <phoneticPr fontId="10" type="noConversion"/>
  </si>
  <si>
    <r>
      <rPr>
        <sz val="12"/>
        <rFont val="標楷體"/>
        <family val="4"/>
        <charset val="136"/>
      </rPr>
      <t>其他乳製品</t>
    </r>
    <phoneticPr fontId="5" type="noConversion"/>
  </si>
  <si>
    <r>
      <rPr>
        <sz val="12"/>
        <rFont val="標楷體"/>
        <family val="4"/>
        <charset val="136"/>
      </rPr>
      <t>水產品</t>
    </r>
    <phoneticPr fontId="10" type="noConversion"/>
  </si>
  <si>
    <r>
      <rPr>
        <sz val="12"/>
        <rFont val="標楷體"/>
        <family val="4"/>
        <charset val="136"/>
      </rPr>
      <t>榖類</t>
    </r>
    <phoneticPr fontId="5" type="noConversion"/>
  </si>
  <si>
    <r>
      <rPr>
        <sz val="12"/>
        <rFont val="標楷體"/>
        <family val="4"/>
        <charset val="136"/>
      </rPr>
      <t>豆製品</t>
    </r>
    <phoneticPr fontId="10" type="noConversion"/>
  </si>
  <si>
    <r>
      <rPr>
        <sz val="12"/>
        <rFont val="標楷體"/>
        <family val="4"/>
        <charset val="136"/>
      </rPr>
      <t>複合調理食品</t>
    </r>
    <r>
      <rPr>
        <sz val="12"/>
        <rFont val="Times New Roman"/>
        <family val="1"/>
      </rPr>
      <t xml:space="preserve">   
</t>
    </r>
    <r>
      <rPr>
        <sz val="12"/>
        <rFont val="標楷體"/>
        <family val="4"/>
        <charset val="136"/>
      </rPr>
      <t>其他</t>
    </r>
    <phoneticPr fontId="5" type="noConversion"/>
  </si>
  <si>
    <r>
      <rPr>
        <sz val="12"/>
        <rFont val="標楷體"/>
        <family val="4"/>
        <charset val="136"/>
      </rPr>
      <t>其他</t>
    </r>
    <phoneticPr fontId="5" type="noConversion"/>
  </si>
  <si>
    <r>
      <rPr>
        <sz val="12"/>
        <rFont val="標楷體"/>
        <family val="4"/>
        <charset val="136"/>
      </rPr>
      <t>糖果類</t>
    </r>
    <phoneticPr fontId="5" type="noConversion"/>
  </si>
  <si>
    <r>
      <rPr>
        <sz val="12"/>
        <rFont val="標楷體"/>
        <family val="4"/>
        <charset val="136"/>
      </rPr>
      <t>醬菜</t>
    </r>
    <phoneticPr fontId="5" type="noConversion"/>
  </si>
  <si>
    <r>
      <rPr>
        <sz val="12"/>
        <rFont val="標楷體"/>
        <family val="4"/>
        <charset val="136"/>
      </rPr>
      <t>糖漬鹽漬果實</t>
    </r>
    <phoneticPr fontId="5" type="noConversion"/>
  </si>
  <si>
    <r>
      <rPr>
        <sz val="12"/>
        <rFont val="標楷體"/>
        <family val="4"/>
        <charset val="136"/>
      </rPr>
      <t>臺</t>
    </r>
    <r>
      <rPr>
        <sz val="12"/>
        <rFont val="Times New Roman"/>
        <family val="1"/>
      </rPr>
      <t xml:space="preserve"> </t>
    </r>
    <r>
      <rPr>
        <sz val="12"/>
        <rFont val="標楷體"/>
        <family val="4"/>
        <charset val="136"/>
      </rPr>
      <t>南</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</si>
  <si>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東</t>
    </r>
    <r>
      <rPr>
        <sz val="12"/>
        <rFont val="Times New Roman"/>
        <family val="1"/>
      </rPr>
      <t xml:space="preserve"> </t>
    </r>
    <r>
      <rPr>
        <sz val="12"/>
        <rFont val="標楷體"/>
        <family val="4"/>
        <charset val="136"/>
      </rPr>
      <t>縣</t>
    </r>
    <phoneticPr fontId="5" type="noConversion"/>
  </si>
  <si>
    <r>
      <rPr>
        <sz val="12"/>
        <rFont val="標楷體"/>
        <family val="4"/>
        <charset val="136"/>
      </rPr>
      <t>冷凍蔬菜</t>
    </r>
    <phoneticPr fontId="5" type="noConversion"/>
  </si>
  <si>
    <r>
      <rPr>
        <sz val="12"/>
        <rFont val="標楷體"/>
        <family val="4"/>
        <charset val="136"/>
      </rPr>
      <t>查驗件數</t>
    </r>
    <phoneticPr fontId="5" type="noConversion"/>
  </si>
  <si>
    <r>
      <rPr>
        <sz val="12"/>
        <rFont val="標楷體"/>
        <family val="4"/>
        <charset val="136"/>
      </rPr>
      <t>臺</t>
    </r>
    <r>
      <rPr>
        <sz val="12"/>
        <rFont val="Times New Roman"/>
        <family val="1"/>
      </rPr>
      <t xml:space="preserve"> </t>
    </r>
    <r>
      <rPr>
        <sz val="12"/>
        <rFont val="標楷體"/>
        <family val="4"/>
        <charset val="136"/>
      </rPr>
      <t>南</t>
    </r>
    <r>
      <rPr>
        <sz val="12"/>
        <rFont val="Times New Roman"/>
        <family val="1"/>
      </rPr>
      <t xml:space="preserve"> </t>
    </r>
    <r>
      <rPr>
        <sz val="12"/>
        <rFont val="標楷體"/>
        <family val="4"/>
        <charset val="136"/>
      </rPr>
      <t>市</t>
    </r>
    <phoneticPr fontId="5" type="noConversion"/>
  </si>
  <si>
    <r>
      <rPr>
        <sz val="12"/>
        <rFont val="標楷體"/>
        <family val="4"/>
        <charset val="136"/>
      </rPr>
      <t>查驗件數</t>
    </r>
    <phoneticPr fontId="5" type="noConversion"/>
  </si>
  <si>
    <r>
      <rPr>
        <sz val="12"/>
        <rFont val="標楷體"/>
        <family val="4"/>
        <charset val="136"/>
      </rPr>
      <t>苗</t>
    </r>
    <r>
      <rPr>
        <sz val="12"/>
        <rFont val="Times New Roman"/>
        <family val="1"/>
      </rPr>
      <t xml:space="preserve"> </t>
    </r>
    <r>
      <rPr>
        <sz val="12"/>
        <rFont val="標楷體"/>
        <family val="4"/>
        <charset val="136"/>
      </rPr>
      <t>栗</t>
    </r>
    <r>
      <rPr>
        <sz val="12"/>
        <rFont val="Times New Roman"/>
        <family val="1"/>
      </rPr>
      <t xml:space="preserve"> </t>
    </r>
    <r>
      <rPr>
        <sz val="12"/>
        <rFont val="標楷體"/>
        <family val="4"/>
        <charset val="136"/>
      </rPr>
      <t>縣</t>
    </r>
    <phoneticPr fontId="5" type="noConversion"/>
  </si>
  <si>
    <r>
      <rPr>
        <sz val="12"/>
        <rFont val="標楷體"/>
        <family val="4"/>
        <charset val="136"/>
      </rPr>
      <t>不符規定件數</t>
    </r>
    <phoneticPr fontId="5" type="noConversion"/>
  </si>
  <si>
    <r>
      <rPr>
        <sz val="12"/>
        <rFont val="標楷體"/>
        <family val="4"/>
        <charset val="136"/>
      </rPr>
      <t>及其加工品</t>
    </r>
    <phoneticPr fontId="5" type="noConversion"/>
  </si>
  <si>
    <r>
      <rPr>
        <sz val="12"/>
        <rFont val="標楷體"/>
        <family val="4"/>
        <charset val="136"/>
      </rPr>
      <t>不符規定件數</t>
    </r>
    <phoneticPr fontId="5" type="noConversion"/>
  </si>
  <si>
    <r>
      <rPr>
        <sz val="12"/>
        <rFont val="標楷體"/>
        <family val="4"/>
        <charset val="136"/>
      </rPr>
      <t>發酵乳</t>
    </r>
    <phoneticPr fontId="5" type="noConversion"/>
  </si>
  <si>
    <r>
      <rPr>
        <sz val="12"/>
        <rFont val="標楷體"/>
        <family val="4"/>
        <charset val="136"/>
      </rPr>
      <t>保久乳</t>
    </r>
    <phoneticPr fontId="5" type="noConversion"/>
  </si>
  <si>
    <r>
      <rPr>
        <sz val="12"/>
        <rFont val="標楷體"/>
        <family val="4"/>
        <charset val="136"/>
      </rPr>
      <t>鮮乳</t>
    </r>
    <phoneticPr fontId="5" type="noConversion"/>
  </si>
  <si>
    <r>
      <rPr>
        <sz val="12"/>
        <rFont val="標楷體"/>
        <family val="4"/>
        <charset val="136"/>
      </rPr>
      <t>蔬果罐頭</t>
    </r>
    <phoneticPr fontId="5" type="noConversion"/>
  </si>
  <si>
    <r>
      <rPr>
        <sz val="12"/>
        <rFont val="標楷體"/>
        <family val="4"/>
        <charset val="136"/>
      </rPr>
      <t>冷凍蔬果</t>
    </r>
    <phoneticPr fontId="5" type="noConversion"/>
  </si>
  <si>
    <r>
      <rPr>
        <sz val="12"/>
        <rFont val="標楷體"/>
        <family val="4"/>
        <charset val="136"/>
      </rPr>
      <t>十七類食品添加物</t>
    </r>
    <phoneticPr fontId="5" type="noConversion"/>
  </si>
  <si>
    <r>
      <rPr>
        <sz val="12"/>
        <rFont val="標楷體"/>
        <family val="4"/>
        <charset val="136"/>
      </rPr>
      <t>其他食品添加物</t>
    </r>
    <phoneticPr fontId="5" type="noConversion"/>
  </si>
  <si>
    <r>
      <rPr>
        <sz val="12"/>
        <rFont val="標楷體"/>
        <family val="4"/>
        <charset val="136"/>
      </rPr>
      <t>中華民國</t>
    </r>
    <r>
      <rPr>
        <sz val="12"/>
        <rFont val="Times New Roman"/>
        <family val="1"/>
      </rPr>
      <t>107</t>
    </r>
    <r>
      <rPr>
        <sz val="12"/>
        <rFont val="標楷體"/>
        <family val="4"/>
        <charset val="136"/>
      </rPr>
      <t>年</t>
    </r>
    <phoneticPr fontId="5" type="noConversion"/>
  </si>
  <si>
    <r>
      <rPr>
        <sz val="12"/>
        <rFont val="標楷體"/>
        <family val="4"/>
        <charset val="136"/>
      </rPr>
      <t>查驗件數</t>
    </r>
    <phoneticPr fontId="5" type="noConversion"/>
  </si>
  <si>
    <r>
      <rPr>
        <sz val="12"/>
        <rFont val="標楷體"/>
        <family val="4"/>
        <charset val="136"/>
      </rPr>
      <t>不符規定件數</t>
    </r>
    <phoneticPr fontId="5" type="noConversion"/>
  </si>
  <si>
    <t>鮮果蔬菜類</t>
    <phoneticPr fontId="5" type="noConversion"/>
  </si>
  <si>
    <r>
      <rPr>
        <sz val="12"/>
        <rFont val="標楷體"/>
        <family val="4"/>
        <charset val="136"/>
      </rPr>
      <t>發酵乳</t>
    </r>
    <phoneticPr fontId="10" type="noConversion"/>
  </si>
  <si>
    <r>
      <rPr>
        <sz val="12"/>
        <rFont val="標楷體"/>
        <family val="4"/>
        <charset val="136"/>
      </rPr>
      <t>米濕製品</t>
    </r>
    <phoneticPr fontId="10" type="noConversion"/>
  </si>
  <si>
    <r>
      <rPr>
        <sz val="12"/>
        <rFont val="標楷體"/>
        <family val="4"/>
        <charset val="136"/>
      </rPr>
      <t>其他調理蔬果</t>
    </r>
    <phoneticPr fontId="5" type="noConversion"/>
  </si>
  <si>
    <r>
      <rPr>
        <sz val="12"/>
        <rFont val="標楷體"/>
        <family val="4"/>
        <charset val="136"/>
      </rPr>
      <t>輔助食品
較大嬰兒配方</t>
    </r>
    <phoneticPr fontId="5" type="noConversion"/>
  </si>
  <si>
    <r>
      <rPr>
        <sz val="12"/>
        <rFont val="標楷體"/>
        <family val="4"/>
        <charset val="136"/>
      </rPr>
      <t>其他油脂</t>
    </r>
    <phoneticPr fontId="10" type="noConversion"/>
  </si>
  <si>
    <r>
      <rPr>
        <sz val="12"/>
        <rFont val="標楷體"/>
        <family val="4"/>
        <charset val="136"/>
      </rPr>
      <t>塑膠品</t>
    </r>
    <phoneticPr fontId="5" type="noConversion"/>
  </si>
  <si>
    <r>
      <rPr>
        <sz val="12"/>
        <rFont val="標楷體"/>
        <family val="4"/>
        <charset val="136"/>
      </rPr>
      <t>非塑膠類</t>
    </r>
    <phoneticPr fontId="10" type="noConversion"/>
  </si>
  <si>
    <r>
      <rPr>
        <sz val="12"/>
        <rFont val="標楷體"/>
        <family val="4"/>
        <charset val="136"/>
      </rPr>
      <t>醬油</t>
    </r>
    <phoneticPr fontId="10" type="noConversion"/>
  </si>
  <si>
    <r>
      <rPr>
        <sz val="12"/>
        <rFont val="標楷體"/>
        <family val="4"/>
        <charset val="136"/>
      </rPr>
      <t>其他調味品</t>
    </r>
    <phoneticPr fontId="10" type="noConversion"/>
  </si>
  <si>
    <r>
      <rPr>
        <sz val="12"/>
        <rFont val="標楷體"/>
        <family val="4"/>
        <charset val="136"/>
      </rPr>
      <t>餐飲類</t>
    </r>
    <phoneticPr fontId="10" type="noConversion"/>
  </si>
  <si>
    <r>
      <rPr>
        <sz val="12"/>
        <rFont val="標楷體"/>
        <family val="4"/>
        <charset val="136"/>
      </rPr>
      <t>餐盒食品</t>
    </r>
    <phoneticPr fontId="10" type="noConversion"/>
  </si>
  <si>
    <r>
      <rPr>
        <sz val="12"/>
        <rFont val="標楷體"/>
        <family val="4"/>
        <charset val="136"/>
      </rPr>
      <t>其他</t>
    </r>
    <phoneticPr fontId="10" type="noConversion"/>
  </si>
  <si>
    <r>
      <rPr>
        <sz val="12"/>
        <rFont val="標楷體"/>
        <family val="4"/>
        <charset val="136"/>
      </rPr>
      <t>查驗件數</t>
    </r>
    <phoneticPr fontId="5" type="noConversion"/>
  </si>
  <si>
    <r>
      <rPr>
        <sz val="12"/>
        <rFont val="標楷體"/>
        <family val="4"/>
        <charset val="136"/>
      </rPr>
      <t>不符規定件數</t>
    </r>
    <phoneticPr fontId="5" type="noConversion"/>
  </si>
  <si>
    <r>
      <rPr>
        <sz val="12"/>
        <rFont val="標楷體"/>
        <family val="4"/>
        <charset val="136"/>
      </rPr>
      <t>屏</t>
    </r>
    <r>
      <rPr>
        <sz val="12"/>
        <rFont val="Times New Roman"/>
        <family val="1"/>
      </rPr>
      <t xml:space="preserve"> </t>
    </r>
    <r>
      <rPr>
        <sz val="12"/>
        <rFont val="標楷體"/>
        <family val="4"/>
        <charset val="136"/>
      </rPr>
      <t>東</t>
    </r>
    <r>
      <rPr>
        <sz val="12"/>
        <rFont val="Times New Roman"/>
        <family val="1"/>
      </rPr>
      <t xml:space="preserve"> </t>
    </r>
    <r>
      <rPr>
        <sz val="12"/>
        <rFont val="標楷體"/>
        <family val="4"/>
        <charset val="136"/>
      </rPr>
      <t>縣</t>
    </r>
    <phoneticPr fontId="5" type="noConversion"/>
  </si>
  <si>
    <r>
      <rPr>
        <sz val="12"/>
        <rFont val="標楷體"/>
        <family val="4"/>
        <charset val="136"/>
      </rPr>
      <t>新</t>
    </r>
    <r>
      <rPr>
        <sz val="12"/>
        <rFont val="Times New Roman"/>
        <family val="1"/>
      </rPr>
      <t xml:space="preserve"> </t>
    </r>
    <r>
      <rPr>
        <sz val="12"/>
        <rFont val="標楷體"/>
        <family val="4"/>
        <charset val="136"/>
      </rPr>
      <t>竹</t>
    </r>
    <r>
      <rPr>
        <sz val="12"/>
        <rFont val="Times New Roman"/>
        <family val="1"/>
      </rPr>
      <t xml:space="preserve"> </t>
    </r>
    <r>
      <rPr>
        <sz val="12"/>
        <rFont val="標楷體"/>
        <family val="4"/>
        <charset val="136"/>
      </rPr>
      <t>市</t>
    </r>
    <phoneticPr fontId="5" type="noConversion"/>
  </si>
  <si>
    <r>
      <rPr>
        <sz val="12"/>
        <rFont val="標楷體"/>
        <family val="4"/>
        <charset val="136"/>
      </rPr>
      <t>澎</t>
    </r>
    <r>
      <rPr>
        <sz val="12"/>
        <rFont val="Times New Roman"/>
        <family val="1"/>
      </rPr>
      <t xml:space="preserve"> </t>
    </r>
    <r>
      <rPr>
        <sz val="12"/>
        <rFont val="標楷體"/>
        <family val="4"/>
        <charset val="136"/>
      </rPr>
      <t>湖</t>
    </r>
    <r>
      <rPr>
        <sz val="12"/>
        <rFont val="Times New Roman"/>
        <family val="1"/>
      </rPr>
      <t xml:space="preserve"> </t>
    </r>
    <r>
      <rPr>
        <sz val="12"/>
        <rFont val="標楷體"/>
        <family val="4"/>
        <charset val="136"/>
      </rPr>
      <t>縣</t>
    </r>
    <phoneticPr fontId="5" type="noConversion"/>
  </si>
  <si>
    <r>
      <rPr>
        <sz val="12"/>
        <rFont val="標楷體"/>
        <family val="4"/>
        <charset val="136"/>
      </rPr>
      <t>新</t>
    </r>
    <r>
      <rPr>
        <sz val="12"/>
        <rFont val="Times New Roman"/>
        <family val="1"/>
      </rPr>
      <t xml:space="preserve"> </t>
    </r>
    <r>
      <rPr>
        <sz val="12"/>
        <rFont val="標楷體"/>
        <family val="4"/>
        <charset val="136"/>
      </rPr>
      <t>竹</t>
    </r>
    <r>
      <rPr>
        <sz val="12"/>
        <rFont val="Times New Roman"/>
        <family val="1"/>
      </rPr>
      <t xml:space="preserve"> </t>
    </r>
    <r>
      <rPr>
        <sz val="12"/>
        <rFont val="標楷體"/>
        <family val="4"/>
        <charset val="136"/>
      </rPr>
      <t>縣</t>
    </r>
    <phoneticPr fontId="5" type="noConversion"/>
  </si>
  <si>
    <r>
      <rPr>
        <sz val="12"/>
        <rFont val="標楷體"/>
        <family val="4"/>
        <charset val="136"/>
      </rPr>
      <t>嘉</t>
    </r>
    <r>
      <rPr>
        <sz val="12"/>
        <rFont val="Times New Roman"/>
        <family val="1"/>
      </rPr>
      <t xml:space="preserve"> </t>
    </r>
    <r>
      <rPr>
        <sz val="12"/>
        <rFont val="標楷體"/>
        <family val="4"/>
        <charset val="136"/>
      </rPr>
      <t>義</t>
    </r>
    <r>
      <rPr>
        <sz val="12"/>
        <rFont val="Times New Roman"/>
        <family val="1"/>
      </rPr>
      <t xml:space="preserve"> </t>
    </r>
    <r>
      <rPr>
        <sz val="12"/>
        <rFont val="標楷體"/>
        <family val="4"/>
        <charset val="136"/>
      </rPr>
      <t>市</t>
    </r>
    <phoneticPr fontId="5" type="noConversion"/>
  </si>
  <si>
    <r>
      <rPr>
        <sz val="12"/>
        <rFont val="標楷體"/>
        <family val="4"/>
        <charset val="136"/>
      </rPr>
      <t>資料來源：由本部統計處依據直轄市政府衛生局及各縣市衛生局</t>
    </r>
    <r>
      <rPr>
        <sz val="12"/>
        <rFont val="Times New Roman"/>
        <family val="1"/>
      </rPr>
      <t>(</t>
    </r>
    <r>
      <rPr>
        <sz val="12"/>
        <rFont val="標楷體"/>
        <family val="4"/>
        <charset val="136"/>
      </rPr>
      <t>含金門、連江縣</t>
    </r>
    <r>
      <rPr>
        <sz val="12"/>
        <rFont val="Times New Roman"/>
        <family val="1"/>
      </rPr>
      <t>)</t>
    </r>
    <r>
      <rPr>
        <sz val="12"/>
        <rFont val="標楷體"/>
        <family val="4"/>
        <charset val="136"/>
      </rPr>
      <t>提供之資料彙編。</t>
    </r>
    <phoneticPr fontId="10" type="noConversion"/>
  </si>
  <si>
    <r>
      <rPr>
        <sz val="12"/>
        <rFont val="標楷體"/>
        <family val="4"/>
        <charset val="136"/>
      </rPr>
      <t>臺</t>
    </r>
    <r>
      <rPr>
        <sz val="12"/>
        <rFont val="Times New Roman"/>
        <family val="1"/>
      </rPr>
      <t xml:space="preserve"> </t>
    </r>
    <r>
      <rPr>
        <sz val="12"/>
        <rFont val="標楷體"/>
        <family val="4"/>
        <charset val="136"/>
      </rPr>
      <t>中</t>
    </r>
    <r>
      <rPr>
        <sz val="12"/>
        <rFont val="Times New Roman"/>
        <family val="1"/>
      </rPr>
      <t xml:space="preserve"> </t>
    </r>
    <r>
      <rPr>
        <sz val="12"/>
        <rFont val="標楷體"/>
        <family val="4"/>
        <charset val="136"/>
      </rPr>
      <t>市</t>
    </r>
    <phoneticPr fontId="5" type="noConversion"/>
  </si>
  <si>
    <r>
      <rPr>
        <sz val="12"/>
        <rFont val="標楷體"/>
        <family val="4"/>
        <charset val="136"/>
      </rPr>
      <t>雲</t>
    </r>
    <r>
      <rPr>
        <sz val="12"/>
        <rFont val="Times New Roman"/>
        <family val="1"/>
      </rPr>
      <t xml:space="preserve"> </t>
    </r>
    <r>
      <rPr>
        <sz val="12"/>
        <rFont val="標楷體"/>
        <family val="4"/>
        <charset val="136"/>
      </rPr>
      <t>林</t>
    </r>
    <r>
      <rPr>
        <sz val="12"/>
        <rFont val="Times New Roman"/>
        <family val="1"/>
      </rPr>
      <t xml:space="preserve"> </t>
    </r>
    <r>
      <rPr>
        <sz val="12"/>
        <rFont val="標楷體"/>
        <family val="4"/>
        <charset val="136"/>
      </rPr>
      <t>縣</t>
    </r>
    <phoneticPr fontId="5" type="noConversion"/>
  </si>
  <si>
    <r>
      <rPr>
        <sz val="12"/>
        <rFont val="標楷體"/>
        <family val="4"/>
        <charset val="136"/>
      </rPr>
      <t>屏</t>
    </r>
    <r>
      <rPr>
        <sz val="12"/>
        <rFont val="Times New Roman"/>
        <family val="1"/>
      </rPr>
      <t xml:space="preserve"> </t>
    </r>
    <r>
      <rPr>
        <sz val="12"/>
        <rFont val="標楷體"/>
        <family val="4"/>
        <charset val="136"/>
      </rPr>
      <t>東</t>
    </r>
    <r>
      <rPr>
        <sz val="12"/>
        <rFont val="Times New Roman"/>
        <family val="1"/>
      </rPr>
      <t xml:space="preserve"> </t>
    </r>
    <r>
      <rPr>
        <sz val="12"/>
        <rFont val="標楷體"/>
        <family val="4"/>
        <charset val="136"/>
      </rPr>
      <t>縣</t>
    </r>
    <phoneticPr fontId="5" type="noConversion"/>
  </si>
  <si>
    <r>
      <rPr>
        <sz val="12"/>
        <rFont val="標楷體"/>
        <family val="4"/>
        <charset val="136"/>
      </rPr>
      <t>澎</t>
    </r>
    <r>
      <rPr>
        <sz val="12"/>
        <rFont val="Times New Roman"/>
        <family val="1"/>
      </rPr>
      <t xml:space="preserve"> </t>
    </r>
    <r>
      <rPr>
        <sz val="12"/>
        <rFont val="標楷體"/>
        <family val="4"/>
        <charset val="136"/>
      </rPr>
      <t>湖</t>
    </r>
    <r>
      <rPr>
        <sz val="12"/>
        <rFont val="Times New Roman"/>
        <family val="1"/>
      </rPr>
      <t xml:space="preserve"> </t>
    </r>
    <r>
      <rPr>
        <sz val="12"/>
        <rFont val="標楷體"/>
        <family val="4"/>
        <charset val="136"/>
      </rPr>
      <t>縣</t>
    </r>
    <phoneticPr fontId="5" type="noConversion"/>
  </si>
  <si>
    <r>
      <rPr>
        <sz val="12"/>
        <rFont val="標楷體"/>
        <family val="4"/>
        <charset val="136"/>
      </rPr>
      <t>乳品及其加工品</t>
    </r>
    <r>
      <rPr>
        <sz val="12"/>
        <rFont val="Times New Roman"/>
        <family val="1"/>
      </rPr>
      <t xml:space="preserve"> </t>
    </r>
    <phoneticPr fontId="5" type="noConversion"/>
  </si>
  <si>
    <r>
      <rPr>
        <sz val="12"/>
        <rFont val="標楷體"/>
        <family val="4"/>
        <charset val="136"/>
      </rPr>
      <t>臺</t>
    </r>
    <r>
      <rPr>
        <sz val="12"/>
        <rFont val="Times New Roman"/>
        <family val="1"/>
      </rPr>
      <t xml:space="preserve"> </t>
    </r>
    <r>
      <rPr>
        <sz val="12"/>
        <rFont val="標楷體"/>
        <family val="4"/>
        <charset val="136"/>
      </rPr>
      <t>南</t>
    </r>
    <r>
      <rPr>
        <sz val="12"/>
        <rFont val="Times New Roman"/>
        <family val="1"/>
      </rPr>
      <t xml:space="preserve"> </t>
    </r>
    <r>
      <rPr>
        <sz val="12"/>
        <rFont val="標楷體"/>
        <family val="4"/>
        <charset val="136"/>
      </rPr>
      <t>市</t>
    </r>
    <phoneticPr fontId="5" type="noConversion"/>
  </si>
  <si>
    <r>
      <rPr>
        <sz val="12"/>
        <rFont val="標楷體"/>
        <family val="4"/>
        <charset val="136"/>
      </rPr>
      <t>屏</t>
    </r>
    <r>
      <rPr>
        <sz val="12"/>
        <rFont val="Times New Roman"/>
        <family val="1"/>
      </rPr>
      <t xml:space="preserve"> </t>
    </r>
    <r>
      <rPr>
        <sz val="12"/>
        <rFont val="標楷體"/>
        <family val="4"/>
        <charset val="136"/>
      </rPr>
      <t>東</t>
    </r>
    <r>
      <rPr>
        <sz val="12"/>
        <rFont val="Times New Roman"/>
        <family val="1"/>
      </rPr>
      <t xml:space="preserve"> </t>
    </r>
    <r>
      <rPr>
        <sz val="12"/>
        <rFont val="標楷體"/>
        <family val="4"/>
        <charset val="136"/>
      </rPr>
      <t>縣</t>
    </r>
    <phoneticPr fontId="5" type="noConversion"/>
  </si>
  <si>
    <r>
      <rPr>
        <sz val="12"/>
        <rFont val="標楷體"/>
        <family val="4"/>
        <charset val="136"/>
      </rPr>
      <t>基</t>
    </r>
    <r>
      <rPr>
        <sz val="12"/>
        <rFont val="Times New Roman"/>
        <family val="1"/>
      </rPr>
      <t xml:space="preserve"> </t>
    </r>
    <r>
      <rPr>
        <sz val="12"/>
        <rFont val="標楷體"/>
        <family val="4"/>
        <charset val="136"/>
      </rPr>
      <t>隆</t>
    </r>
    <r>
      <rPr>
        <sz val="12"/>
        <rFont val="Times New Roman"/>
        <family val="1"/>
      </rPr>
      <t xml:space="preserve"> </t>
    </r>
    <r>
      <rPr>
        <sz val="12"/>
        <rFont val="標楷體"/>
        <family val="4"/>
        <charset val="136"/>
      </rPr>
      <t>市</t>
    </r>
    <phoneticPr fontId="5" type="noConversion"/>
  </si>
  <si>
    <r>
      <rPr>
        <sz val="12"/>
        <rFont val="標楷體"/>
        <family val="4"/>
        <charset val="136"/>
      </rPr>
      <t>嘉</t>
    </r>
    <r>
      <rPr>
        <sz val="12"/>
        <rFont val="Times New Roman"/>
        <family val="1"/>
      </rPr>
      <t xml:space="preserve"> </t>
    </r>
    <r>
      <rPr>
        <sz val="12"/>
        <rFont val="標楷體"/>
        <family val="4"/>
        <charset val="136"/>
      </rPr>
      <t>義</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</si>
  <si>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東</t>
    </r>
    <r>
      <rPr>
        <sz val="12"/>
        <rFont val="Times New Roman"/>
        <family val="1"/>
      </rPr>
      <t xml:space="preserve"> </t>
    </r>
    <r>
      <rPr>
        <sz val="12"/>
        <rFont val="標楷體"/>
        <family val="4"/>
        <charset val="136"/>
      </rPr>
      <t>縣</t>
    </r>
    <phoneticPr fontId="5" type="noConversion"/>
  </si>
  <si>
    <r>
      <rPr>
        <sz val="12"/>
        <rFont val="標楷體"/>
        <family val="4"/>
        <charset val="136"/>
      </rPr>
      <t>澎</t>
    </r>
    <r>
      <rPr>
        <sz val="12"/>
        <rFont val="Times New Roman"/>
        <family val="1"/>
      </rPr>
      <t xml:space="preserve"> </t>
    </r>
    <r>
      <rPr>
        <sz val="12"/>
        <rFont val="標楷體"/>
        <family val="4"/>
        <charset val="136"/>
      </rPr>
      <t>湖</t>
    </r>
    <r>
      <rPr>
        <sz val="12"/>
        <rFont val="Times New Roman"/>
        <family val="1"/>
      </rPr>
      <t xml:space="preserve"> </t>
    </r>
    <r>
      <rPr>
        <sz val="12"/>
        <rFont val="標楷體"/>
        <family val="4"/>
        <charset val="136"/>
      </rPr>
      <t>縣</t>
    </r>
    <phoneticPr fontId="5" type="noConversion"/>
  </si>
  <si>
    <r>
      <rPr>
        <sz val="12"/>
        <rFont val="標楷體"/>
        <family val="4"/>
        <charset val="136"/>
      </rPr>
      <t>彰</t>
    </r>
    <r>
      <rPr>
        <sz val="12"/>
        <rFont val="Times New Roman"/>
        <family val="1"/>
      </rPr>
      <t xml:space="preserve"> </t>
    </r>
    <r>
      <rPr>
        <sz val="12"/>
        <rFont val="標楷體"/>
        <family val="4"/>
        <charset val="136"/>
      </rPr>
      <t>化</t>
    </r>
    <r>
      <rPr>
        <sz val="12"/>
        <rFont val="Times New Roman"/>
        <family val="1"/>
      </rPr>
      <t xml:space="preserve"> </t>
    </r>
    <r>
      <rPr>
        <sz val="12"/>
        <rFont val="標楷體"/>
        <family val="4"/>
        <charset val="136"/>
      </rPr>
      <t>縣</t>
    </r>
    <phoneticPr fontId="5" type="noConversion"/>
  </si>
  <si>
    <r>
      <rPr>
        <sz val="12"/>
        <rFont val="標楷體"/>
        <family val="4"/>
        <charset val="136"/>
      </rPr>
      <t>南</t>
    </r>
    <r>
      <rPr>
        <sz val="12"/>
        <rFont val="Times New Roman"/>
        <family val="1"/>
      </rPr>
      <t xml:space="preserve"> </t>
    </r>
    <r>
      <rPr>
        <sz val="12"/>
        <rFont val="標楷體"/>
        <family val="4"/>
        <charset val="136"/>
      </rPr>
      <t>投</t>
    </r>
    <r>
      <rPr>
        <sz val="12"/>
        <rFont val="Times New Roman"/>
        <family val="1"/>
      </rPr>
      <t xml:space="preserve"> </t>
    </r>
    <r>
      <rPr>
        <sz val="12"/>
        <rFont val="標楷體"/>
        <family val="4"/>
        <charset val="136"/>
      </rPr>
      <t>縣</t>
    </r>
    <phoneticPr fontId="5" type="noConversion"/>
  </si>
  <si>
    <r>
      <rPr>
        <sz val="12"/>
        <rFont val="標楷體"/>
        <family val="4"/>
        <charset val="136"/>
      </rPr>
      <t>新</t>
    </r>
    <r>
      <rPr>
        <sz val="12"/>
        <rFont val="Times New Roman"/>
        <family val="1"/>
      </rPr>
      <t xml:space="preserve"> </t>
    </r>
    <r>
      <rPr>
        <sz val="12"/>
        <rFont val="標楷體"/>
        <family val="4"/>
        <charset val="136"/>
      </rPr>
      <t>竹</t>
    </r>
    <r>
      <rPr>
        <sz val="12"/>
        <rFont val="Times New Roman"/>
        <family val="1"/>
      </rPr>
      <t xml:space="preserve"> </t>
    </r>
    <r>
      <rPr>
        <sz val="12"/>
        <rFont val="標楷體"/>
        <family val="4"/>
        <charset val="136"/>
      </rPr>
      <t>市</t>
    </r>
    <phoneticPr fontId="5" type="noConversion"/>
  </si>
  <si>
    <r>
      <rPr>
        <sz val="12"/>
        <rFont val="標楷體"/>
        <family val="4"/>
        <charset val="136"/>
      </rPr>
      <t>連</t>
    </r>
    <r>
      <rPr>
        <sz val="12"/>
        <rFont val="Times New Roman"/>
        <family val="1"/>
      </rPr>
      <t xml:space="preserve"> </t>
    </r>
    <r>
      <rPr>
        <sz val="12"/>
        <rFont val="標楷體"/>
        <family val="4"/>
        <charset val="136"/>
      </rPr>
      <t>江</t>
    </r>
    <r>
      <rPr>
        <sz val="12"/>
        <rFont val="Times New Roman"/>
        <family val="1"/>
      </rPr>
      <t xml:space="preserve"> </t>
    </r>
    <r>
      <rPr>
        <sz val="12"/>
        <rFont val="標楷體"/>
        <family val="4"/>
        <charset val="136"/>
      </rPr>
      <t>縣</t>
    </r>
    <phoneticPr fontId="5" type="noConversion"/>
  </si>
  <si>
    <r>
      <rPr>
        <sz val="12"/>
        <rFont val="標楷體"/>
        <family val="4"/>
        <charset val="136"/>
      </rPr>
      <t>嘉</t>
    </r>
    <r>
      <rPr>
        <sz val="12"/>
        <rFont val="Times New Roman"/>
        <family val="1"/>
      </rPr>
      <t xml:space="preserve"> </t>
    </r>
    <r>
      <rPr>
        <sz val="12"/>
        <rFont val="標楷體"/>
        <family val="4"/>
        <charset val="136"/>
      </rPr>
      <t>義</t>
    </r>
    <r>
      <rPr>
        <sz val="12"/>
        <rFont val="Times New Roman"/>
        <family val="1"/>
      </rPr>
      <t xml:space="preserve"> </t>
    </r>
    <r>
      <rPr>
        <sz val="12"/>
        <rFont val="標楷體"/>
        <family val="4"/>
        <charset val="136"/>
      </rPr>
      <t>縣</t>
    </r>
    <phoneticPr fontId="5" type="noConversion"/>
  </si>
  <si>
    <r>
      <rPr>
        <sz val="12"/>
        <rFont val="標楷體"/>
        <family val="4"/>
        <charset val="136"/>
      </rPr>
      <t>花</t>
    </r>
    <r>
      <rPr>
        <sz val="12"/>
        <rFont val="Times New Roman"/>
        <family val="1"/>
      </rPr>
      <t xml:space="preserve"> </t>
    </r>
    <r>
      <rPr>
        <sz val="12"/>
        <rFont val="標楷體"/>
        <family val="4"/>
        <charset val="136"/>
      </rPr>
      <t>蓮</t>
    </r>
    <r>
      <rPr>
        <sz val="12"/>
        <rFont val="Times New Roman"/>
        <family val="1"/>
      </rPr>
      <t xml:space="preserve"> </t>
    </r>
    <r>
      <rPr>
        <sz val="12"/>
        <rFont val="標楷體"/>
        <family val="4"/>
        <charset val="136"/>
      </rPr>
      <t>縣</t>
    </r>
    <phoneticPr fontId="5" type="noConversion"/>
  </si>
  <si>
    <r>
      <rPr>
        <sz val="12"/>
        <rFont val="標楷體"/>
        <family val="4"/>
        <charset val="136"/>
      </rPr>
      <t>業務主管人員</t>
    </r>
    <phoneticPr fontId="5" type="noConversion"/>
  </si>
  <si>
    <t>穀豆類罐頭</t>
    <phoneticPr fontId="10" type="noConversion"/>
  </si>
  <si>
    <r>
      <rPr>
        <sz val="12"/>
        <rFont val="標楷體"/>
        <family val="4"/>
        <charset val="136"/>
      </rPr>
      <t>冷凍冰果</t>
    </r>
    <phoneticPr fontId="5" type="noConversion"/>
  </si>
  <si>
    <r>
      <rPr>
        <sz val="12"/>
        <rFont val="標楷體"/>
        <family val="4"/>
        <charset val="136"/>
      </rPr>
      <t>不含碳酸飲料</t>
    </r>
    <phoneticPr fontId="5" type="noConversion"/>
  </si>
  <si>
    <r>
      <rPr>
        <sz val="12"/>
        <rFont val="標楷體"/>
        <family val="4"/>
        <charset val="136"/>
      </rPr>
      <t>酒類</t>
    </r>
    <phoneticPr fontId="5" type="noConversion"/>
  </si>
  <si>
    <t>複合調理食品
冷凍冷藏</t>
    <phoneticPr fontId="5" type="noConversion"/>
  </si>
  <si>
    <t>其他調味品</t>
    <phoneticPr fontId="5" type="noConversion"/>
  </si>
  <si>
    <t>嬰兒配方食品</t>
    <phoneticPr fontId="5" type="noConversion"/>
  </si>
  <si>
    <t>包裝︵盛︶飲用水</t>
    <phoneticPr fontId="10" type="noConversion"/>
  </si>
  <si>
    <t>鮮果蔬菜類</t>
    <phoneticPr fontId="5" type="noConversion"/>
  </si>
  <si>
    <r>
      <rPr>
        <sz val="12"/>
        <rFont val="標楷體"/>
        <family val="4"/>
        <charset val="136"/>
      </rPr>
      <t>食用冰及冰品</t>
    </r>
    <phoneticPr fontId="5" type="noConversion"/>
  </si>
  <si>
    <r>
      <rPr>
        <sz val="12"/>
        <rFont val="標楷體"/>
        <family val="4"/>
        <charset val="136"/>
      </rPr>
      <t>食品添加物</t>
    </r>
    <phoneticPr fontId="5" type="noConversion"/>
  </si>
  <si>
    <r>
      <rPr>
        <sz val="12"/>
        <rFont val="標楷體"/>
        <family val="4"/>
        <charset val="136"/>
      </rPr>
      <t>年</t>
    </r>
    <r>
      <rPr>
        <sz val="12"/>
        <rFont val="Times New Roman"/>
        <family val="1"/>
      </rPr>
      <t xml:space="preserve">          </t>
    </r>
    <r>
      <rPr>
        <sz val="12"/>
        <rFont val="標楷體"/>
        <family val="4"/>
        <charset val="136"/>
      </rPr>
      <t>報</t>
    </r>
    <phoneticPr fontId="10" type="noConversion"/>
  </si>
  <si>
    <r>
      <rPr>
        <sz val="12"/>
        <rFont val="標楷體"/>
        <family val="4"/>
        <charset val="136"/>
      </rPr>
      <t>高</t>
    </r>
    <r>
      <rPr>
        <sz val="12"/>
        <rFont val="Times New Roman"/>
        <family val="1"/>
      </rPr>
      <t xml:space="preserve"> </t>
    </r>
    <r>
      <rPr>
        <sz val="12"/>
        <rFont val="標楷體"/>
        <family val="4"/>
        <charset val="136"/>
      </rPr>
      <t>雄</t>
    </r>
    <r>
      <rPr>
        <sz val="12"/>
        <rFont val="Times New Roman"/>
        <family val="1"/>
      </rPr>
      <t xml:space="preserve"> </t>
    </r>
    <r>
      <rPr>
        <sz val="12"/>
        <rFont val="標楷體"/>
        <family val="4"/>
        <charset val="136"/>
      </rPr>
      <t>市</t>
    </r>
    <phoneticPr fontId="5" type="noConversion"/>
  </si>
  <si>
    <r>
      <rPr>
        <sz val="12"/>
        <rFont val="標楷體"/>
        <family val="4"/>
        <charset val="136"/>
      </rPr>
      <t>新</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</si>
  <si>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</si>
  <si>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</si>
  <si>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高</t>
    </r>
    <r>
      <rPr>
        <sz val="12"/>
        <rFont val="Times New Roman"/>
        <family val="1"/>
      </rPr>
      <t xml:space="preserve"> </t>
    </r>
    <r>
      <rPr>
        <sz val="12"/>
        <rFont val="標楷體"/>
        <family val="4"/>
        <charset val="136"/>
      </rPr>
      <t>雄</t>
    </r>
    <r>
      <rPr>
        <sz val="12"/>
        <rFont val="Times New Roman"/>
        <family val="1"/>
      </rPr>
      <t xml:space="preserve"> </t>
    </r>
    <r>
      <rPr>
        <sz val="12"/>
        <rFont val="標楷體"/>
        <family val="4"/>
        <charset val="136"/>
      </rPr>
      <t>市</t>
    </r>
    <phoneticPr fontId="5" type="noConversion"/>
  </si>
  <si>
    <r>
      <rPr>
        <sz val="12"/>
        <rFont val="標楷體"/>
        <family val="4"/>
        <charset val="136"/>
      </rPr>
      <t>新</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 xml:space="preserve">市
</t>
    </r>
    <r>
      <rPr>
        <sz val="12"/>
        <rFont val="Times New Roman"/>
        <family val="1"/>
      </rPr>
      <t>(</t>
    </r>
    <r>
      <rPr>
        <sz val="12"/>
        <rFont val="標楷體"/>
        <family val="4"/>
        <charset val="136"/>
      </rPr>
      <t>臺</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縣</t>
    </r>
    <r>
      <rPr>
        <sz val="12"/>
        <rFont val="Times New Roman"/>
        <family val="1"/>
      </rPr>
      <t>)</t>
    </r>
    <phoneticPr fontId="5" type="noConversion"/>
  </si>
  <si>
    <r>
      <rPr>
        <sz val="12"/>
        <rFont val="標楷體"/>
        <family val="4"/>
        <charset val="136"/>
      </rPr>
      <t>中華民國</t>
    </r>
    <r>
      <rPr>
        <sz val="12"/>
        <rFont val="Times New Roman"/>
        <family val="1"/>
      </rPr>
      <t>105</t>
    </r>
    <r>
      <rPr>
        <sz val="12"/>
        <rFont val="標楷體"/>
        <family val="4"/>
        <charset val="136"/>
      </rPr>
      <t>年</t>
    </r>
    <phoneticPr fontId="5" type="noConversion"/>
  </si>
  <si>
    <r>
      <rPr>
        <sz val="12"/>
        <rFont val="標楷體"/>
        <family val="4"/>
        <charset val="136"/>
      </rPr>
      <t>中華民國</t>
    </r>
    <r>
      <rPr>
        <sz val="12"/>
        <rFont val="Times New Roman"/>
        <family val="1"/>
      </rPr>
      <t>105</t>
    </r>
    <r>
      <rPr>
        <sz val="12"/>
        <rFont val="標楷體"/>
        <family val="4"/>
        <charset val="136"/>
      </rPr>
      <t>年</t>
    </r>
    <phoneticPr fontId="5" type="noConversion"/>
  </si>
  <si>
    <r>
      <rPr>
        <sz val="12"/>
        <rFont val="標楷體"/>
        <family val="4"/>
        <charset val="136"/>
      </rPr>
      <t>中華民國</t>
    </r>
    <r>
      <rPr>
        <sz val="12"/>
        <rFont val="Times New Roman"/>
        <family val="1"/>
      </rPr>
      <t>106</t>
    </r>
    <r>
      <rPr>
        <sz val="12"/>
        <rFont val="標楷體"/>
        <family val="4"/>
        <charset val="136"/>
      </rPr>
      <t>年</t>
    </r>
    <phoneticPr fontId="5" type="noConversion"/>
  </si>
  <si>
    <r>
      <rPr>
        <sz val="12"/>
        <rFont val="標楷體"/>
        <family val="4"/>
        <charset val="136"/>
      </rPr>
      <t>中華民國</t>
    </r>
    <r>
      <rPr>
        <sz val="12"/>
        <rFont val="Times New Roman"/>
        <family val="1"/>
      </rPr>
      <t>106</t>
    </r>
    <r>
      <rPr>
        <sz val="12"/>
        <rFont val="標楷體"/>
        <family val="4"/>
        <charset val="136"/>
      </rPr>
      <t>年</t>
    </r>
    <phoneticPr fontId="5" type="noConversion"/>
  </si>
  <si>
    <t xml:space="preserve">次年2月底前編報 </t>
    <phoneticPr fontId="10" type="noConversion"/>
  </si>
  <si>
    <r>
      <rPr>
        <sz val="12"/>
        <rFont val="標楷體"/>
        <family val="4"/>
        <charset val="136"/>
      </rPr>
      <t>調味乳</t>
    </r>
    <phoneticPr fontId="5" type="noConversion"/>
  </si>
  <si>
    <r>
      <rPr>
        <sz val="12"/>
        <rFont val="標楷體"/>
        <family val="4"/>
        <charset val="136"/>
      </rPr>
      <t>煉乳</t>
    </r>
    <phoneticPr fontId="5" type="noConversion"/>
  </si>
  <si>
    <r>
      <rPr>
        <sz val="12"/>
        <rFont val="標楷體"/>
        <family val="4"/>
        <charset val="136"/>
      </rPr>
      <t>蛋品</t>
    </r>
    <phoneticPr fontId="5" type="noConversion"/>
  </si>
  <si>
    <r>
      <rPr>
        <sz val="12"/>
        <rFont val="標楷體"/>
        <family val="4"/>
        <charset val="136"/>
      </rPr>
      <t>水產品</t>
    </r>
    <phoneticPr fontId="5" type="noConversion"/>
  </si>
  <si>
    <r>
      <rPr>
        <sz val="12"/>
        <rFont val="標楷體"/>
        <family val="4"/>
        <charset val="136"/>
      </rPr>
      <t>榖類</t>
    </r>
    <phoneticPr fontId="5" type="noConversion"/>
  </si>
  <si>
    <r>
      <rPr>
        <sz val="12"/>
        <rFont val="標楷體"/>
        <family val="4"/>
        <charset val="136"/>
      </rPr>
      <t>豆製品</t>
    </r>
    <phoneticPr fontId="5" type="noConversion"/>
  </si>
  <si>
    <r>
      <rPr>
        <sz val="12"/>
        <rFont val="標楷體"/>
        <family val="4"/>
        <charset val="136"/>
      </rPr>
      <t>烘焙食品</t>
    </r>
    <phoneticPr fontId="5" type="noConversion"/>
  </si>
  <si>
    <r>
      <rPr>
        <sz val="12"/>
        <rFont val="標楷體"/>
        <family val="4"/>
        <charset val="136"/>
      </rPr>
      <t>糖果類</t>
    </r>
    <phoneticPr fontId="5" type="noConversion"/>
  </si>
  <si>
    <r>
      <rPr>
        <sz val="12"/>
        <rFont val="標楷體"/>
        <family val="4"/>
        <charset val="136"/>
      </rPr>
      <t>堅果加工</t>
    </r>
    <phoneticPr fontId="5" type="noConversion"/>
  </si>
  <si>
    <r>
      <rPr>
        <sz val="12"/>
        <rFont val="標楷體"/>
        <family val="4"/>
        <charset val="136"/>
      </rPr>
      <t>蔬果</t>
    </r>
    <phoneticPr fontId="5" type="noConversion"/>
  </si>
  <si>
    <r>
      <rPr>
        <sz val="12"/>
        <rFont val="標楷體"/>
        <family val="4"/>
        <charset val="136"/>
      </rPr>
      <t>醬菜</t>
    </r>
    <phoneticPr fontId="5" type="noConversion"/>
  </si>
  <si>
    <r>
      <rPr>
        <sz val="12"/>
        <rFont val="標楷體"/>
        <family val="4"/>
        <charset val="136"/>
      </rPr>
      <t>罐頭</t>
    </r>
    <phoneticPr fontId="5" type="noConversion"/>
  </si>
  <si>
    <r>
      <rPr>
        <sz val="12"/>
        <rFont val="標楷體"/>
        <family val="4"/>
        <charset val="136"/>
      </rPr>
      <t>冷凍蔬菜</t>
    </r>
    <phoneticPr fontId="5" type="noConversion"/>
  </si>
  <si>
    <r>
      <rPr>
        <sz val="12"/>
        <rFont val="標楷體"/>
        <family val="4"/>
        <charset val="136"/>
      </rPr>
      <t>脫水食品</t>
    </r>
    <phoneticPr fontId="5" type="noConversion"/>
  </si>
  <si>
    <r>
      <rPr>
        <sz val="12"/>
        <rFont val="標楷體"/>
        <family val="4"/>
        <charset val="136"/>
      </rPr>
      <t>果醬</t>
    </r>
    <phoneticPr fontId="5" type="noConversion"/>
  </si>
  <si>
    <r>
      <rPr>
        <sz val="12"/>
        <rFont val="標楷體"/>
        <family val="4"/>
        <charset val="136"/>
      </rPr>
      <t>堅果</t>
    </r>
    <phoneticPr fontId="5" type="noConversion"/>
  </si>
  <si>
    <r>
      <rPr>
        <sz val="12"/>
        <rFont val="標楷體"/>
        <family val="4"/>
        <charset val="136"/>
      </rPr>
      <t>糖漬鹽漬果實</t>
    </r>
    <phoneticPr fontId="5" type="noConversion"/>
  </si>
  <si>
    <r>
      <rPr>
        <sz val="12"/>
        <rFont val="標楷體"/>
        <family val="4"/>
        <charset val="136"/>
      </rPr>
      <t>食用冰塊</t>
    </r>
    <phoneticPr fontId="5" type="noConversion"/>
  </si>
  <si>
    <r>
      <rPr>
        <sz val="12"/>
        <rFont val="標楷體"/>
        <family val="4"/>
        <charset val="136"/>
      </rPr>
      <t>冷凍冰果</t>
    </r>
    <phoneticPr fontId="5" type="noConversion"/>
  </si>
  <si>
    <r>
      <rPr>
        <sz val="12"/>
        <rFont val="標楷體"/>
        <family val="4"/>
        <charset val="136"/>
      </rPr>
      <t>不含碳酸飲料</t>
    </r>
    <phoneticPr fontId="5" type="noConversion"/>
  </si>
  <si>
    <r>
      <rPr>
        <sz val="12"/>
        <rFont val="標楷體"/>
        <family val="4"/>
        <charset val="136"/>
      </rPr>
      <t>包</t>
    </r>
    <r>
      <rPr>
        <sz val="12"/>
        <rFont val="Times New Roman"/>
        <family val="1"/>
      </rPr>
      <t>(</t>
    </r>
    <r>
      <rPr>
        <sz val="12"/>
        <rFont val="標楷體"/>
        <family val="4"/>
        <charset val="136"/>
      </rPr>
      <t>盛</t>
    </r>
    <r>
      <rPr>
        <sz val="12"/>
        <rFont val="Times New Roman"/>
        <family val="1"/>
      </rPr>
      <t>)</t>
    </r>
    <r>
      <rPr>
        <sz val="12"/>
        <rFont val="標楷體"/>
        <family val="4"/>
        <charset val="136"/>
      </rPr>
      <t>裝飲用水</t>
    </r>
    <phoneticPr fontId="5" type="noConversion"/>
  </si>
  <si>
    <r>
      <rPr>
        <sz val="12"/>
        <rFont val="標楷體"/>
        <family val="4"/>
        <charset val="136"/>
      </rPr>
      <t>動物油脂</t>
    </r>
    <phoneticPr fontId="5" type="noConversion"/>
  </si>
  <si>
    <r>
      <rPr>
        <sz val="12"/>
        <rFont val="標楷體"/>
        <family val="4"/>
        <charset val="136"/>
      </rPr>
      <t>植物油脂</t>
    </r>
    <phoneticPr fontId="5" type="noConversion"/>
  </si>
  <si>
    <r>
      <rPr>
        <sz val="12"/>
        <rFont val="標楷體"/>
        <family val="4"/>
        <charset val="136"/>
      </rPr>
      <t>合法食品添加物</t>
    </r>
    <phoneticPr fontId="5" type="noConversion"/>
  </si>
  <si>
    <r>
      <rPr>
        <sz val="12"/>
        <rFont val="標楷體"/>
        <family val="4"/>
        <charset val="136"/>
      </rPr>
      <t>違法食品添加物</t>
    </r>
    <phoneticPr fontId="5" type="noConversion"/>
  </si>
  <si>
    <r>
      <rPr>
        <sz val="12"/>
        <rFont val="標楷體"/>
        <family val="4"/>
        <charset val="136"/>
      </rPr>
      <t>塑膠品</t>
    </r>
    <phoneticPr fontId="5" type="noConversion"/>
  </si>
  <si>
    <r>
      <rPr>
        <sz val="12"/>
        <rFont val="標楷體"/>
        <family val="4"/>
        <charset val="136"/>
      </rPr>
      <t>非塑膠類</t>
    </r>
    <phoneticPr fontId="5" type="noConversion"/>
  </si>
  <si>
    <t>含碳酸飲料</t>
    <phoneticPr fontId="5" type="noConversion"/>
  </si>
  <si>
    <t>穀豆類罐頭</t>
    <phoneticPr fontId="5" type="noConversion"/>
  </si>
  <si>
    <r>
      <rPr>
        <sz val="12"/>
        <rFont val="標楷體"/>
        <family val="4"/>
        <charset val="136"/>
      </rPr>
      <t>中華民國</t>
    </r>
    <r>
      <rPr>
        <sz val="12"/>
        <rFont val="Times New Roman"/>
        <family val="1"/>
      </rPr>
      <t>104</t>
    </r>
    <r>
      <rPr>
        <sz val="12"/>
        <rFont val="標楷體"/>
        <family val="4"/>
        <charset val="136"/>
      </rPr>
      <t>年</t>
    </r>
    <phoneticPr fontId="5" type="noConversion"/>
  </si>
  <si>
    <t>水產加工品</t>
    <phoneticPr fontId="5" type="noConversion"/>
  </si>
  <si>
    <t>水產品罐頭</t>
    <phoneticPr fontId="5" type="noConversion"/>
  </si>
  <si>
    <t>及其加工品</t>
    <phoneticPr fontId="5" type="noConversion"/>
  </si>
  <si>
    <r>
      <rPr>
        <sz val="12"/>
        <rFont val="標楷體"/>
        <family val="4"/>
        <charset val="136"/>
      </rPr>
      <t>中華民國</t>
    </r>
    <r>
      <rPr>
        <sz val="12"/>
        <rFont val="Times New Roman"/>
        <family val="1"/>
      </rPr>
      <t>103</t>
    </r>
    <r>
      <rPr>
        <sz val="12"/>
        <rFont val="標楷體"/>
        <family val="4"/>
        <charset val="136"/>
      </rPr>
      <t>年</t>
    </r>
    <phoneticPr fontId="5" type="noConversion"/>
  </si>
  <si>
    <r>
      <rPr>
        <sz val="12"/>
        <rFont val="標楷體"/>
        <family val="4"/>
        <charset val="136"/>
      </rPr>
      <t>中華民國</t>
    </r>
    <r>
      <rPr>
        <sz val="12"/>
        <rFont val="Times New Roman"/>
        <family val="1"/>
      </rPr>
      <t>103</t>
    </r>
    <r>
      <rPr>
        <sz val="12"/>
        <rFont val="標楷體"/>
        <family val="4"/>
        <charset val="136"/>
      </rPr>
      <t>年</t>
    </r>
    <phoneticPr fontId="5" type="noConversion"/>
  </si>
  <si>
    <r>
      <rPr>
        <sz val="12"/>
        <rFont val="標楷體"/>
        <family val="4"/>
        <charset val="136"/>
      </rPr>
      <t>中華民國</t>
    </r>
    <r>
      <rPr>
        <sz val="12"/>
        <rFont val="Times New Roman"/>
        <family val="1"/>
      </rPr>
      <t>102</t>
    </r>
    <r>
      <rPr>
        <sz val="12"/>
        <rFont val="標楷體"/>
        <family val="4"/>
        <charset val="136"/>
      </rPr>
      <t>年</t>
    </r>
    <phoneticPr fontId="5" type="noConversion"/>
  </si>
  <si>
    <r>
      <rPr>
        <sz val="12"/>
        <rFont val="標楷體"/>
        <family val="4"/>
        <charset val="136"/>
      </rPr>
      <t>中華民國</t>
    </r>
    <r>
      <rPr>
        <sz val="12"/>
        <rFont val="Times New Roman"/>
        <family val="1"/>
      </rPr>
      <t>102</t>
    </r>
    <r>
      <rPr>
        <sz val="12"/>
        <rFont val="標楷體"/>
        <family val="4"/>
        <charset val="136"/>
      </rPr>
      <t>年</t>
    </r>
    <phoneticPr fontId="5" type="noConversion"/>
  </si>
  <si>
    <r>
      <rPr>
        <sz val="12"/>
        <rFont val="標楷體"/>
        <family val="4"/>
        <charset val="136"/>
      </rPr>
      <t>榖類</t>
    </r>
    <phoneticPr fontId="5" type="noConversion"/>
  </si>
  <si>
    <r>
      <rPr>
        <sz val="12"/>
        <rFont val="標楷體"/>
        <family val="4"/>
        <charset val="136"/>
      </rPr>
      <t>中間製品</t>
    </r>
    <phoneticPr fontId="5" type="noConversion"/>
  </si>
  <si>
    <t>其它乳製品</t>
    <phoneticPr fontId="5" type="noConversion"/>
  </si>
  <si>
    <t>乳品罐頭</t>
    <phoneticPr fontId="5" type="noConversion"/>
  </si>
  <si>
    <t>水產加工品</t>
    <phoneticPr fontId="5" type="noConversion"/>
  </si>
  <si>
    <t>肉類加工品</t>
    <phoneticPr fontId="5" type="noConversion"/>
  </si>
  <si>
    <t xml:space="preserve"> 行政院衛生署</t>
    <phoneticPr fontId="5" type="noConversion"/>
  </si>
  <si>
    <r>
      <rPr>
        <sz val="12"/>
        <rFont val="標楷體"/>
        <family val="4"/>
        <charset val="136"/>
      </rPr>
      <t>中華民國</t>
    </r>
    <r>
      <rPr>
        <sz val="12"/>
        <rFont val="Times New Roman"/>
        <family val="1"/>
      </rPr>
      <t>101</t>
    </r>
    <r>
      <rPr>
        <sz val="12"/>
        <rFont val="標楷體"/>
        <family val="4"/>
        <charset val="136"/>
      </rPr>
      <t>年</t>
    </r>
    <phoneticPr fontId="5" type="noConversion"/>
  </si>
  <si>
    <r>
      <rPr>
        <sz val="12"/>
        <rFont val="標楷體"/>
        <family val="4"/>
        <charset val="136"/>
      </rPr>
      <t>中華民國</t>
    </r>
    <r>
      <rPr>
        <sz val="12"/>
        <rFont val="Times New Roman"/>
        <family val="1"/>
      </rPr>
      <t>101</t>
    </r>
    <r>
      <rPr>
        <sz val="12"/>
        <rFont val="標楷體"/>
        <family val="4"/>
        <charset val="136"/>
      </rPr>
      <t>年</t>
    </r>
    <phoneticPr fontId="5" type="noConversion"/>
  </si>
  <si>
    <t xml:space="preserve"> 1622-01-02</t>
    <phoneticPr fontId="10" type="noConversion"/>
  </si>
  <si>
    <r>
      <rPr>
        <sz val="12"/>
        <rFont val="標楷體"/>
        <family val="4"/>
        <charset val="136"/>
      </rPr>
      <t>新</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</si>
  <si>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高</t>
    </r>
    <r>
      <rPr>
        <sz val="12"/>
        <rFont val="Times New Roman"/>
        <family val="1"/>
      </rPr>
      <t xml:space="preserve"> </t>
    </r>
    <r>
      <rPr>
        <sz val="12"/>
        <rFont val="標楷體"/>
        <family val="4"/>
        <charset val="136"/>
      </rPr>
      <t>雄</t>
    </r>
    <r>
      <rPr>
        <sz val="12"/>
        <rFont val="Times New Roman"/>
        <family val="1"/>
      </rPr>
      <t xml:space="preserve"> </t>
    </r>
    <r>
      <rPr>
        <sz val="12"/>
        <rFont val="標楷體"/>
        <family val="4"/>
        <charset val="136"/>
      </rPr>
      <t>市</t>
    </r>
    <phoneticPr fontId="5" type="noConversion"/>
  </si>
  <si>
    <r>
      <rPr>
        <sz val="12"/>
        <rFont val="標楷體"/>
        <family val="4"/>
        <charset val="136"/>
      </rPr>
      <t>宜</t>
    </r>
    <r>
      <rPr>
        <sz val="12"/>
        <rFont val="Times New Roman"/>
        <family val="1"/>
      </rPr>
      <t xml:space="preserve"> </t>
    </r>
    <r>
      <rPr>
        <sz val="12"/>
        <rFont val="標楷體"/>
        <family val="4"/>
        <charset val="136"/>
      </rPr>
      <t>蘭</t>
    </r>
    <r>
      <rPr>
        <sz val="12"/>
        <rFont val="Times New Roman"/>
        <family val="1"/>
      </rPr>
      <t xml:space="preserve"> </t>
    </r>
    <r>
      <rPr>
        <sz val="12"/>
        <rFont val="標楷體"/>
        <family val="4"/>
        <charset val="136"/>
      </rPr>
      <t>縣</t>
    </r>
    <phoneticPr fontId="5" type="noConversion"/>
  </si>
  <si>
    <r>
      <rPr>
        <sz val="12"/>
        <rFont val="標楷體"/>
        <family val="4"/>
        <charset val="136"/>
      </rPr>
      <t>新</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</si>
  <si>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</si>
  <si>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總</t>
    </r>
    <r>
      <rPr>
        <sz val="12"/>
        <rFont val="Times New Roman"/>
        <family val="1"/>
      </rPr>
      <t xml:space="preserve">      </t>
    </r>
    <r>
      <rPr>
        <sz val="12"/>
        <rFont val="標楷體"/>
        <family val="4"/>
        <charset val="136"/>
      </rPr>
      <t>計</t>
    </r>
    <phoneticPr fontId="5" type="noConversion"/>
  </si>
  <si>
    <r>
      <rPr>
        <sz val="12"/>
        <rFont val="標楷體"/>
        <family val="4"/>
        <charset val="136"/>
      </rPr>
      <t>新</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</si>
  <si>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宜</t>
    </r>
    <r>
      <rPr>
        <sz val="12"/>
        <rFont val="Times New Roman"/>
        <family val="1"/>
      </rPr>
      <t xml:space="preserve"> </t>
    </r>
    <r>
      <rPr>
        <sz val="12"/>
        <rFont val="標楷體"/>
        <family val="4"/>
        <charset val="136"/>
      </rPr>
      <t>蘭</t>
    </r>
    <r>
      <rPr>
        <sz val="12"/>
        <rFont val="Times New Roman"/>
        <family val="1"/>
      </rPr>
      <t xml:space="preserve"> </t>
    </r>
    <r>
      <rPr>
        <sz val="12"/>
        <rFont val="標楷體"/>
        <family val="4"/>
        <charset val="136"/>
      </rPr>
      <t>縣</t>
    </r>
    <phoneticPr fontId="5" type="noConversion"/>
  </si>
  <si>
    <t>中華民國96年</t>
    <phoneticPr fontId="5" type="noConversion"/>
  </si>
  <si>
    <t>中華民國97年</t>
    <phoneticPr fontId="5" type="noConversion"/>
  </si>
  <si>
    <t>中華民國97年</t>
    <phoneticPr fontId="5" type="noConversion"/>
  </si>
  <si>
    <t>中華民國98年</t>
    <phoneticPr fontId="5" type="noConversion"/>
  </si>
  <si>
    <t>中華民國99年</t>
    <phoneticPr fontId="5" type="noConversion"/>
  </si>
  <si>
    <r>
      <rPr>
        <sz val="12"/>
        <rFont val="標楷體"/>
        <family val="4"/>
        <charset val="136"/>
      </rPr>
      <t>中華民國</t>
    </r>
    <r>
      <rPr>
        <sz val="12"/>
        <rFont val="Times New Roman"/>
        <family val="1"/>
      </rPr>
      <t>100</t>
    </r>
    <r>
      <rPr>
        <sz val="12"/>
        <rFont val="標楷體"/>
        <family val="4"/>
        <charset val="136"/>
      </rPr>
      <t>年</t>
    </r>
    <phoneticPr fontId="5" type="noConversion"/>
  </si>
  <si>
    <r>
      <t>96</t>
    </r>
    <r>
      <rPr>
        <sz val="12"/>
        <rFont val="標楷體"/>
        <family val="4"/>
        <charset val="136"/>
      </rPr>
      <t>年</t>
    </r>
  </si>
  <si>
    <r>
      <t>97</t>
    </r>
    <r>
      <rPr>
        <sz val="12"/>
        <rFont val="標楷體"/>
        <family val="4"/>
        <charset val="136"/>
      </rPr>
      <t>年</t>
    </r>
  </si>
  <si>
    <r>
      <t>98</t>
    </r>
    <r>
      <rPr>
        <sz val="12"/>
        <rFont val="標楷體"/>
        <family val="4"/>
        <charset val="136"/>
      </rPr>
      <t>年</t>
    </r>
  </si>
  <si>
    <r>
      <t>99</t>
    </r>
    <r>
      <rPr>
        <sz val="12"/>
        <rFont val="標楷體"/>
        <family val="4"/>
        <charset val="136"/>
      </rPr>
      <t>年</t>
    </r>
  </si>
  <si>
    <r>
      <t>100</t>
    </r>
    <r>
      <rPr>
        <sz val="12"/>
        <rFont val="標楷體"/>
        <family val="4"/>
        <charset val="136"/>
      </rPr>
      <t>年</t>
    </r>
  </si>
  <si>
    <r>
      <t>101</t>
    </r>
    <r>
      <rPr>
        <sz val="12"/>
        <rFont val="標楷體"/>
        <family val="4"/>
        <charset val="136"/>
      </rPr>
      <t>年</t>
    </r>
  </si>
  <si>
    <r>
      <t>102</t>
    </r>
    <r>
      <rPr>
        <sz val="12"/>
        <rFont val="標楷體"/>
        <family val="4"/>
        <charset val="136"/>
      </rPr>
      <t>年</t>
    </r>
  </si>
  <si>
    <r>
      <t>103</t>
    </r>
    <r>
      <rPr>
        <sz val="12"/>
        <rFont val="標楷體"/>
        <family val="4"/>
        <charset val="136"/>
      </rPr>
      <t>年</t>
    </r>
  </si>
  <si>
    <r>
      <t>104</t>
    </r>
    <r>
      <rPr>
        <sz val="12"/>
        <rFont val="標楷體"/>
        <family val="4"/>
        <charset val="136"/>
      </rPr>
      <t>年</t>
    </r>
  </si>
  <si>
    <r>
      <t>105</t>
    </r>
    <r>
      <rPr>
        <sz val="12"/>
        <rFont val="標楷體"/>
        <family val="4"/>
        <charset val="136"/>
      </rPr>
      <t>年</t>
    </r>
  </si>
  <si>
    <r>
      <t>106</t>
    </r>
    <r>
      <rPr>
        <sz val="12"/>
        <rFont val="標楷體"/>
        <family val="4"/>
        <charset val="136"/>
      </rPr>
      <t>年</t>
    </r>
  </si>
  <si>
    <r>
      <t>107</t>
    </r>
    <r>
      <rPr>
        <sz val="12"/>
        <rFont val="標楷體"/>
        <family val="4"/>
        <charset val="136"/>
      </rPr>
      <t>年</t>
    </r>
  </si>
  <si>
    <r>
      <t>108</t>
    </r>
    <r>
      <rPr>
        <sz val="12"/>
        <rFont val="標楷體"/>
        <family val="4"/>
        <charset val="136"/>
      </rPr>
      <t>年</t>
    </r>
  </si>
  <si>
    <t>乳品及
其加工品</t>
    <phoneticPr fontId="5" type="noConversion"/>
  </si>
  <si>
    <t>肉品及
其加工品</t>
    <phoneticPr fontId="5" type="noConversion"/>
  </si>
  <si>
    <t>蛋品及其
加工品類</t>
    <phoneticPr fontId="5" type="noConversion"/>
  </si>
  <si>
    <t>水產及其
加工品類</t>
    <phoneticPr fontId="5" type="noConversion"/>
  </si>
  <si>
    <t>穀豆類及
其加工品</t>
    <phoneticPr fontId="5" type="noConversion"/>
  </si>
  <si>
    <t>鮮果蔬菜類及其加工品</t>
    <phoneticPr fontId="5" type="noConversion"/>
  </si>
  <si>
    <t>特殊
營養食品</t>
    <phoneticPr fontId="5" type="noConversion"/>
  </si>
  <si>
    <t>食品用
器具</t>
    <phoneticPr fontId="5" type="noConversion"/>
  </si>
  <si>
    <t>誇大療效
食品</t>
    <phoneticPr fontId="5" type="noConversion"/>
  </si>
  <si>
    <t>複合調理
食品</t>
    <phoneticPr fontId="5" type="noConversion"/>
  </si>
  <si>
    <r>
      <t>109</t>
    </r>
    <r>
      <rPr>
        <sz val="12"/>
        <rFont val="標楷體"/>
        <family val="4"/>
        <charset val="136"/>
      </rPr>
      <t>年</t>
    </r>
    <phoneticPr fontId="5" type="noConversion"/>
  </si>
  <si>
    <t>10521-01-03</t>
    <phoneticPr fontId="10" type="noConversion"/>
  </si>
  <si>
    <r>
      <t>110</t>
    </r>
    <r>
      <rPr>
        <sz val="12"/>
        <rFont val="標楷體"/>
        <family val="4"/>
        <charset val="136"/>
      </rPr>
      <t>年</t>
    </r>
    <phoneticPr fontId="5" type="noConversion"/>
  </si>
  <si>
    <r>
      <t>111</t>
    </r>
    <r>
      <rPr>
        <sz val="12"/>
        <rFont val="標楷體"/>
        <family val="4"/>
        <charset val="136"/>
      </rPr>
      <t>年</t>
    </r>
    <phoneticPr fontId="5" type="noConversion"/>
  </si>
  <si>
    <t>五、資料蒐集方法及編製程序：由衛生福利部食品藥物管理署北區管理中心自直轄市政府衛生局及各縣市衛生局(含金門、連江縣)登錄之產品通路便捷查詢系統(PMDS)擷取彙編。</t>
    <phoneticPr fontId="10" type="noConversion"/>
  </si>
  <si>
    <t>六、編送對象：本表一式三份，一份送衛生福利部統計處，一份送本署主計室，一份自存。</t>
    <phoneticPr fontId="10" type="noConversion"/>
  </si>
  <si>
    <t>…</t>
    <phoneticPr fontId="5" type="noConversion"/>
  </si>
  <si>
    <r>
      <rPr>
        <sz val="12"/>
        <color indexed="10"/>
        <rFont val="標楷體"/>
        <family val="4"/>
        <charset val="136"/>
      </rPr>
      <t>膳食補充品</t>
    </r>
    <phoneticPr fontId="5" type="noConversion"/>
  </si>
  <si>
    <r>
      <t>備註：</t>
    </r>
    <r>
      <rPr>
        <sz val="12"/>
        <rFont val="Times New Roman"/>
        <family val="1"/>
      </rPr>
      <t>108</t>
    </r>
    <r>
      <rPr>
        <sz val="12"/>
        <rFont val="標楷體"/>
        <family val="4"/>
        <charset val="136"/>
      </rPr>
      <t>年起增列「膳食補充品」。</t>
    </r>
    <phoneticPr fontId="5" type="noConversion"/>
  </si>
  <si>
    <r>
      <t xml:space="preserve">  </t>
    </r>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phoneticPr fontId="10" type="noConversion"/>
  </si>
  <si>
    <r>
      <t xml:space="preserve">  </t>
    </r>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r>
      <rPr>
        <sz val="16"/>
        <rFont val="Times New Roman"/>
        <family val="1"/>
      </rPr>
      <t xml:space="preserve"> </t>
    </r>
    <r>
      <rPr>
        <sz val="16"/>
        <rFont val="標楷體"/>
        <family val="4"/>
        <charset val="136"/>
      </rPr>
      <t>分</t>
    </r>
    <phoneticPr fontId="10" type="noConversion"/>
  </si>
  <si>
    <r>
      <t xml:space="preserve">  </t>
    </r>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r>
      <rPr>
        <sz val="16"/>
        <rFont val="Times New Roman"/>
        <family val="1"/>
      </rPr>
      <t xml:space="preserve"> (</t>
    </r>
    <r>
      <rPr>
        <sz val="16"/>
        <rFont val="標楷體"/>
        <family val="4"/>
        <charset val="136"/>
      </rPr>
      <t>續完</t>
    </r>
    <r>
      <rPr>
        <sz val="16"/>
        <rFont val="Times New Roman"/>
        <family val="1"/>
      </rPr>
      <t>)</t>
    </r>
    <phoneticPr fontId="10" type="noConversion"/>
  </si>
  <si>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r>
      <rPr>
        <sz val="16"/>
        <rFont val="Times New Roman"/>
        <family val="1"/>
      </rPr>
      <t>(</t>
    </r>
    <r>
      <rPr>
        <sz val="16"/>
        <rFont val="標楷體"/>
        <family val="4"/>
        <charset val="136"/>
      </rPr>
      <t>續完</t>
    </r>
    <r>
      <rPr>
        <sz val="16"/>
        <rFont val="Times New Roman"/>
        <family val="1"/>
      </rPr>
      <t>)</t>
    </r>
    <phoneticPr fontId="10" type="noConversion"/>
  </si>
  <si>
    <r>
      <t xml:space="preserve">  </t>
    </r>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r>
      <rPr>
        <sz val="16"/>
        <rFont val="Times New Roman"/>
        <family val="1"/>
      </rPr>
      <t xml:space="preserve"> </t>
    </r>
    <r>
      <rPr>
        <sz val="16"/>
        <rFont val="標楷體"/>
        <family val="4"/>
        <charset val="136"/>
      </rPr>
      <t>分</t>
    </r>
    <r>
      <rPr>
        <sz val="16"/>
        <rFont val="Times New Roman"/>
        <family val="1"/>
      </rPr>
      <t>(</t>
    </r>
    <r>
      <rPr>
        <sz val="16"/>
        <rFont val="標楷體"/>
        <family val="4"/>
        <charset val="136"/>
      </rPr>
      <t>續完</t>
    </r>
    <r>
      <rPr>
        <sz val="16"/>
        <rFont val="Times New Roman"/>
        <family val="1"/>
      </rPr>
      <t>)</t>
    </r>
    <phoneticPr fontId="10" type="noConversion"/>
  </si>
  <si>
    <r>
      <t>112</t>
    </r>
    <r>
      <rPr>
        <sz val="12"/>
        <rFont val="標楷體"/>
        <family val="4"/>
        <charset val="136"/>
      </rPr>
      <t>年</t>
    </r>
    <phoneticPr fontId="5" type="noConversion"/>
  </si>
  <si>
    <r>
      <t>113</t>
    </r>
    <r>
      <rPr>
        <sz val="12"/>
        <rFont val="標楷體"/>
        <family val="4"/>
        <charset val="136"/>
      </rPr>
      <t>年</t>
    </r>
    <phoneticPr fontId="5" type="noConversion"/>
  </si>
  <si>
    <r>
      <rPr>
        <sz val="12"/>
        <rFont val="標楷體"/>
        <family val="4"/>
        <charset val="136"/>
      </rPr>
      <t>年</t>
    </r>
    <r>
      <rPr>
        <sz val="12"/>
        <rFont val="Times New Roman"/>
        <family val="1"/>
      </rPr>
      <t xml:space="preserve">        </t>
    </r>
    <r>
      <rPr>
        <sz val="12"/>
        <rFont val="標楷體"/>
        <family val="4"/>
        <charset val="136"/>
      </rPr>
      <t>報</t>
    </r>
    <phoneticPr fontId="10" type="noConversion"/>
  </si>
  <si>
    <r>
      <rPr>
        <sz val="12"/>
        <rFont val="標楷體"/>
        <family val="4"/>
        <charset val="136"/>
      </rPr>
      <t>表</t>
    </r>
    <r>
      <rPr>
        <sz val="12"/>
        <rFont val="Times New Roman"/>
        <family val="1"/>
      </rPr>
      <t xml:space="preserve">       </t>
    </r>
    <r>
      <rPr>
        <sz val="12"/>
        <rFont val="標楷體"/>
        <family val="4"/>
        <charset val="136"/>
      </rPr>
      <t>號</t>
    </r>
    <phoneticPr fontId="10" type="noConversion"/>
  </si>
  <si>
    <r>
      <t xml:space="preserve">  </t>
    </r>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r>
      <rPr>
        <sz val="16"/>
        <rFont val="Times New Roman"/>
        <family val="1"/>
      </rPr>
      <t xml:space="preserve"> (</t>
    </r>
    <r>
      <rPr>
        <sz val="16"/>
        <rFont val="標楷體"/>
        <family val="4"/>
        <charset val="136"/>
      </rPr>
      <t>續</t>
    </r>
    <r>
      <rPr>
        <sz val="16"/>
        <rFont val="Times New Roman"/>
        <family val="1"/>
      </rPr>
      <t>)</t>
    </r>
    <phoneticPr fontId="10" type="noConversion"/>
  </si>
  <si>
    <r>
      <t xml:space="preserve"> </t>
    </r>
    <r>
      <rPr>
        <sz val="12"/>
        <rFont val="標楷體"/>
        <family val="4"/>
        <charset val="136"/>
      </rPr>
      <t>中華民國</t>
    </r>
    <r>
      <rPr>
        <sz val="12"/>
        <rFont val="Times New Roman"/>
        <family val="1"/>
      </rPr>
      <t xml:space="preserve">   114   </t>
    </r>
    <r>
      <rPr>
        <sz val="12"/>
        <rFont val="標楷體"/>
        <family val="4"/>
        <charset val="136"/>
      </rPr>
      <t>年</t>
    </r>
    <phoneticPr fontId="5" type="noConversion"/>
  </si>
  <si>
    <r>
      <rPr>
        <sz val="12"/>
        <rFont val="標楷體"/>
        <family val="4"/>
        <charset val="136"/>
      </rPr>
      <t>膳食補充品</t>
    </r>
    <phoneticPr fontId="5" type="noConversion"/>
  </si>
  <si>
    <r>
      <rPr>
        <sz val="12"/>
        <rFont val="標楷體"/>
        <family val="4"/>
        <charset val="136"/>
      </rPr>
      <t>肉加工品類</t>
    </r>
    <phoneticPr fontId="5" type="noConversion"/>
  </si>
  <si>
    <r>
      <rPr>
        <sz val="12"/>
        <rFont val="標楷體"/>
        <family val="4"/>
        <charset val="136"/>
      </rPr>
      <t>方輔助食品</t>
    </r>
    <r>
      <rPr>
        <sz val="12"/>
        <rFont val="Times New Roman"/>
        <family val="1"/>
      </rPr>
      <t xml:space="preserve">   </t>
    </r>
    <r>
      <rPr>
        <sz val="12"/>
        <rFont val="標楷體"/>
        <family val="4"/>
        <charset val="136"/>
      </rPr>
      <t>較大嬰兒配</t>
    </r>
    <phoneticPr fontId="5" type="noConversion"/>
  </si>
  <si>
    <r>
      <rPr>
        <sz val="12"/>
        <rFont val="標楷體"/>
        <family val="4"/>
        <charset val="136"/>
      </rPr>
      <t>配方食品</t>
    </r>
    <r>
      <rPr>
        <sz val="12"/>
        <rFont val="Times New Roman"/>
        <family val="1"/>
      </rPr>
      <t xml:space="preserve">    </t>
    </r>
    <r>
      <rPr>
        <sz val="12"/>
        <rFont val="標楷體"/>
        <family val="4"/>
        <charset val="136"/>
      </rPr>
      <t>特定疾病</t>
    </r>
    <phoneticPr fontId="10" type="noConversion"/>
  </si>
  <si>
    <r>
      <rPr>
        <sz val="12"/>
        <rFont val="標楷體"/>
        <family val="4"/>
        <charset val="136"/>
      </rPr>
      <t>裝飲用水</t>
    </r>
    <r>
      <rPr>
        <sz val="12"/>
        <rFont val="Times New Roman"/>
        <family val="1"/>
      </rPr>
      <t xml:space="preserve">   </t>
    </r>
    <r>
      <rPr>
        <sz val="12"/>
        <rFont val="標楷體"/>
        <family val="4"/>
        <charset val="136"/>
      </rPr>
      <t>包︵盛︶</t>
    </r>
    <r>
      <rPr>
        <sz val="12"/>
        <rFont val="Times New Roman"/>
        <family val="1"/>
      </rPr>
      <t xml:space="preserve"> </t>
    </r>
    <phoneticPr fontId="10" type="noConversion"/>
  </si>
  <si>
    <r>
      <rPr>
        <sz val="12"/>
        <rFont val="標楷體"/>
        <family val="4"/>
        <charset val="136"/>
      </rPr>
      <t>食品添加物</t>
    </r>
    <r>
      <rPr>
        <sz val="12"/>
        <rFont val="Times New Roman"/>
        <family val="1"/>
      </rPr>
      <t xml:space="preserve">       </t>
    </r>
    <r>
      <rPr>
        <sz val="12"/>
        <rFont val="標楷體"/>
        <family val="4"/>
        <charset val="136"/>
      </rPr>
      <t>十七類</t>
    </r>
    <phoneticPr fontId="5" type="noConversion"/>
  </si>
  <si>
    <r>
      <rPr>
        <sz val="12"/>
        <rFont val="標楷體"/>
        <family val="4"/>
        <charset val="136"/>
      </rPr>
      <t>複合調理食品</t>
    </r>
    <r>
      <rPr>
        <sz val="12"/>
        <rFont val="Times New Roman"/>
        <family val="1"/>
      </rPr>
      <t xml:space="preserve">   </t>
    </r>
    <r>
      <rPr>
        <sz val="12"/>
        <rFont val="標楷體"/>
        <family val="4"/>
        <charset val="136"/>
      </rPr>
      <t>其他</t>
    </r>
    <phoneticPr fontId="5" type="noConversion"/>
  </si>
  <si>
    <r>
      <rPr>
        <b/>
        <sz val="12"/>
        <rFont val="標楷體"/>
        <family val="4"/>
        <charset val="136"/>
      </rPr>
      <t>總</t>
    </r>
    <r>
      <rPr>
        <b/>
        <sz val="12"/>
        <rFont val="Times New Roman"/>
        <family val="1"/>
      </rPr>
      <t xml:space="preserve">        </t>
    </r>
    <r>
      <rPr>
        <b/>
        <sz val="12"/>
        <rFont val="標楷體"/>
        <family val="4"/>
        <charset val="136"/>
      </rPr>
      <t>計</t>
    </r>
    <phoneticPr fontId="5" type="noConversion"/>
  </si>
  <si>
    <r>
      <rPr>
        <b/>
        <sz val="12"/>
        <rFont val="標楷體"/>
        <family val="4"/>
        <charset val="136"/>
      </rPr>
      <t>查驗件數</t>
    </r>
    <phoneticPr fontId="5" type="noConversion"/>
  </si>
  <si>
    <r>
      <rPr>
        <b/>
        <sz val="12"/>
        <rFont val="標楷體"/>
        <family val="4"/>
        <charset val="136"/>
      </rPr>
      <t>不符規定件數</t>
    </r>
    <phoneticPr fontId="5" type="noConversion"/>
  </si>
  <si>
    <r>
      <rPr>
        <sz val="12"/>
        <rFont val="標楷體"/>
        <family val="4"/>
        <charset val="136"/>
      </rPr>
      <t>新</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</si>
  <si>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臺</t>
    </r>
    <r>
      <rPr>
        <sz val="12"/>
        <rFont val="Times New Roman"/>
        <family val="1"/>
      </rPr>
      <t xml:space="preserve">  </t>
    </r>
    <r>
      <rPr>
        <sz val="12"/>
        <rFont val="標楷體"/>
        <family val="4"/>
        <charset val="136"/>
      </rPr>
      <t>北</t>
    </r>
    <r>
      <rPr>
        <sz val="12"/>
        <rFont val="Times New Roman"/>
        <family val="1"/>
      </rPr>
      <t xml:space="preserve">  </t>
    </r>
    <r>
      <rPr>
        <sz val="12"/>
        <rFont val="標楷體"/>
        <family val="4"/>
        <charset val="136"/>
      </rPr>
      <t>市</t>
    </r>
    <phoneticPr fontId="5" type="noConversion"/>
  </si>
  <si>
    <r>
      <rPr>
        <sz val="12"/>
        <rFont val="標楷體"/>
        <family val="4"/>
        <charset val="136"/>
      </rPr>
      <t>高</t>
    </r>
    <r>
      <rPr>
        <sz val="12"/>
        <rFont val="Times New Roman"/>
        <family val="1"/>
      </rPr>
      <t xml:space="preserve">  </t>
    </r>
    <r>
      <rPr>
        <sz val="12"/>
        <rFont val="標楷體"/>
        <family val="4"/>
        <charset val="136"/>
      </rPr>
      <t>雄</t>
    </r>
    <r>
      <rPr>
        <sz val="12"/>
        <rFont val="Times New Roman"/>
        <family val="1"/>
      </rPr>
      <t xml:space="preserve">  </t>
    </r>
    <r>
      <rPr>
        <sz val="12"/>
        <rFont val="標楷體"/>
        <family val="4"/>
        <charset val="136"/>
      </rPr>
      <t>市</t>
    </r>
    <phoneticPr fontId="5" type="noConversion"/>
  </si>
  <si>
    <r>
      <rPr>
        <sz val="12"/>
        <rFont val="標楷體"/>
        <family val="4"/>
        <charset val="136"/>
      </rPr>
      <t>宜</t>
    </r>
    <r>
      <rPr>
        <sz val="12"/>
        <rFont val="Times New Roman"/>
        <family val="1"/>
      </rPr>
      <t xml:space="preserve">  </t>
    </r>
    <r>
      <rPr>
        <sz val="12"/>
        <rFont val="標楷體"/>
        <family val="4"/>
        <charset val="136"/>
      </rPr>
      <t>蘭</t>
    </r>
    <r>
      <rPr>
        <sz val="12"/>
        <rFont val="Times New Roman"/>
        <family val="1"/>
      </rPr>
      <t xml:space="preserve">  </t>
    </r>
    <r>
      <rPr>
        <sz val="12"/>
        <rFont val="標楷體"/>
        <family val="4"/>
        <charset val="136"/>
      </rPr>
      <t>縣</t>
    </r>
    <phoneticPr fontId="5" type="noConversion"/>
  </si>
  <si>
    <r>
      <rPr>
        <sz val="12"/>
        <rFont val="標楷體"/>
        <family val="4"/>
        <charset val="136"/>
      </rPr>
      <t>資料來源：由衛生褔利部食品藥物管理署自直轄市政府衛生局及各縣市衛生局</t>
    </r>
    <r>
      <rPr>
        <sz val="12"/>
        <rFont val="Times New Roman"/>
        <family val="1"/>
      </rPr>
      <t>(</t>
    </r>
    <r>
      <rPr>
        <sz val="12"/>
        <rFont val="標楷體"/>
        <family val="4"/>
        <charset val="136"/>
      </rPr>
      <t>含金門、連江縣</t>
    </r>
    <r>
      <rPr>
        <sz val="12"/>
        <rFont val="Times New Roman"/>
        <family val="1"/>
      </rPr>
      <t>)</t>
    </r>
    <r>
      <rPr>
        <sz val="12"/>
        <rFont val="標楷體"/>
        <family val="4"/>
        <charset val="136"/>
      </rPr>
      <t>登錄之產品通路管理資訊系統</t>
    </r>
    <r>
      <rPr>
        <sz val="12"/>
        <rFont val="Times New Roman"/>
        <family val="1"/>
      </rPr>
      <t>(PMDS)</t>
    </r>
    <r>
      <rPr>
        <sz val="12"/>
        <rFont val="標楷體"/>
        <family val="4"/>
        <charset val="136"/>
      </rPr>
      <t>擷取彙編。</t>
    </r>
    <phoneticPr fontId="11" type="noConversion"/>
  </si>
  <si>
    <r>
      <rPr>
        <sz val="12"/>
        <rFont val="標楷體"/>
        <family val="4"/>
        <charset val="136"/>
      </rPr>
      <t>填表說明：本表一式三份，一份送衛生褔利部統計處，一份送本署主計室，一份本署北區管理中心自存。</t>
    </r>
    <phoneticPr fontId="10" type="noConversion"/>
  </si>
  <si>
    <r>
      <t xml:space="preserve"> </t>
    </r>
    <r>
      <rPr>
        <sz val="12"/>
        <rFont val="標楷體"/>
        <family val="4"/>
        <charset val="136"/>
      </rPr>
      <t>中華民國</t>
    </r>
    <r>
      <rPr>
        <sz val="12"/>
        <rFont val="Times New Roman"/>
        <family val="1"/>
      </rPr>
      <t xml:space="preserve">   109   </t>
    </r>
    <r>
      <rPr>
        <sz val="12"/>
        <rFont val="標楷體"/>
        <family val="4"/>
        <charset val="136"/>
      </rPr>
      <t>年</t>
    </r>
    <phoneticPr fontId="5" type="noConversion"/>
  </si>
  <si>
    <r>
      <t xml:space="preserve"> </t>
    </r>
    <r>
      <rPr>
        <sz val="12"/>
        <rFont val="標楷體"/>
        <family val="4"/>
        <charset val="136"/>
      </rPr>
      <t>中華民國</t>
    </r>
    <r>
      <rPr>
        <sz val="12"/>
        <rFont val="Times New Roman"/>
        <family val="1"/>
      </rPr>
      <t xml:space="preserve">   109   </t>
    </r>
    <r>
      <rPr>
        <sz val="12"/>
        <rFont val="標楷體"/>
        <family val="4"/>
        <charset val="136"/>
      </rPr>
      <t>年</t>
    </r>
  </si>
  <si>
    <r>
      <t xml:space="preserve">  </t>
    </r>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r>
      <rPr>
        <sz val="16"/>
        <rFont val="Times New Roman"/>
        <family val="1"/>
      </rPr>
      <t>(</t>
    </r>
    <r>
      <rPr>
        <sz val="16"/>
        <rFont val="標楷體"/>
        <family val="4"/>
        <charset val="136"/>
      </rPr>
      <t>修正表</t>
    </r>
    <r>
      <rPr>
        <sz val="16"/>
        <rFont val="Times New Roman"/>
        <family val="1"/>
      </rPr>
      <t>)</t>
    </r>
    <phoneticPr fontId="10" type="noConversion"/>
  </si>
  <si>
    <r>
      <t xml:space="preserve">  </t>
    </r>
    <r>
      <rPr>
        <sz val="16"/>
        <rFont val="標楷體"/>
        <family val="4"/>
        <charset val="136"/>
      </rPr>
      <t>食</t>
    </r>
    <r>
      <rPr>
        <sz val="16"/>
        <rFont val="Times New Roman"/>
        <family val="1"/>
      </rPr>
      <t xml:space="preserve"> </t>
    </r>
    <r>
      <rPr>
        <sz val="16"/>
        <rFont val="標楷體"/>
        <family val="4"/>
        <charset val="136"/>
      </rPr>
      <t>品</t>
    </r>
    <r>
      <rPr>
        <sz val="16"/>
        <rFont val="Times New Roman"/>
        <family val="1"/>
      </rPr>
      <t xml:space="preserve"> </t>
    </r>
    <r>
      <rPr>
        <sz val="16"/>
        <rFont val="標楷體"/>
        <family val="4"/>
        <charset val="136"/>
      </rPr>
      <t>衛</t>
    </r>
    <r>
      <rPr>
        <sz val="16"/>
        <rFont val="Times New Roman"/>
        <family val="1"/>
      </rPr>
      <t xml:space="preserve"> </t>
    </r>
    <r>
      <rPr>
        <sz val="16"/>
        <rFont val="標楷體"/>
        <family val="4"/>
        <charset val="136"/>
      </rPr>
      <t>生</t>
    </r>
    <r>
      <rPr>
        <sz val="16"/>
        <rFont val="Times New Roman"/>
        <family val="1"/>
      </rPr>
      <t xml:space="preserve"> </t>
    </r>
    <r>
      <rPr>
        <sz val="16"/>
        <rFont val="標楷體"/>
        <family val="4"/>
        <charset val="136"/>
      </rPr>
      <t>管</t>
    </r>
    <r>
      <rPr>
        <sz val="16"/>
        <rFont val="Times New Roman"/>
        <family val="1"/>
      </rPr>
      <t xml:space="preserve"> </t>
    </r>
    <r>
      <rPr>
        <sz val="16"/>
        <rFont val="標楷體"/>
        <family val="4"/>
        <charset val="136"/>
      </rPr>
      <t>理</t>
    </r>
    <r>
      <rPr>
        <sz val="16"/>
        <rFont val="Times New Roman"/>
        <family val="1"/>
      </rPr>
      <t xml:space="preserve"> </t>
    </r>
    <r>
      <rPr>
        <sz val="16"/>
        <rFont val="標楷體"/>
        <family val="4"/>
        <charset val="136"/>
      </rPr>
      <t>工</t>
    </r>
    <r>
      <rPr>
        <sz val="16"/>
        <rFont val="Times New Roman"/>
        <family val="1"/>
      </rPr>
      <t xml:space="preserve"> </t>
    </r>
    <r>
      <rPr>
        <sz val="16"/>
        <rFont val="標楷體"/>
        <family val="4"/>
        <charset val="136"/>
      </rPr>
      <t>作</t>
    </r>
    <r>
      <rPr>
        <sz val="16"/>
        <rFont val="Times New Roman"/>
        <family val="1"/>
      </rPr>
      <t xml:space="preserve"> </t>
    </r>
    <r>
      <rPr>
        <sz val="16"/>
        <rFont val="標楷體"/>
        <family val="4"/>
        <charset val="136"/>
      </rPr>
      <t>－</t>
    </r>
    <r>
      <rPr>
        <sz val="16"/>
        <rFont val="Times New Roman"/>
        <family val="1"/>
      </rPr>
      <t xml:space="preserve"> </t>
    </r>
    <r>
      <rPr>
        <sz val="16"/>
        <rFont val="標楷體"/>
        <family val="4"/>
        <charset val="136"/>
      </rPr>
      <t>按</t>
    </r>
    <r>
      <rPr>
        <sz val="16"/>
        <rFont val="Times New Roman"/>
        <family val="1"/>
      </rPr>
      <t xml:space="preserve"> </t>
    </r>
    <r>
      <rPr>
        <sz val="16"/>
        <rFont val="標楷體"/>
        <family val="4"/>
        <charset val="136"/>
      </rPr>
      <t>縣</t>
    </r>
    <r>
      <rPr>
        <sz val="16"/>
        <rFont val="Times New Roman"/>
        <family val="1"/>
      </rPr>
      <t xml:space="preserve"> </t>
    </r>
    <r>
      <rPr>
        <sz val="16"/>
        <rFont val="標楷體"/>
        <family val="4"/>
        <charset val="136"/>
      </rPr>
      <t>市</t>
    </r>
    <r>
      <rPr>
        <sz val="16"/>
        <rFont val="Times New Roman"/>
        <family val="1"/>
      </rPr>
      <t xml:space="preserve"> </t>
    </r>
    <r>
      <rPr>
        <sz val="16"/>
        <rFont val="標楷體"/>
        <family val="4"/>
        <charset val="136"/>
      </rPr>
      <t>別</t>
    </r>
    <r>
      <rPr>
        <sz val="16"/>
        <rFont val="Times New Roman"/>
        <family val="1"/>
      </rPr>
      <t xml:space="preserve"> (</t>
    </r>
    <r>
      <rPr>
        <sz val="16"/>
        <rFont val="標楷體"/>
        <family val="4"/>
        <charset val="136"/>
      </rPr>
      <t>修正表續</t>
    </r>
    <r>
      <rPr>
        <sz val="16"/>
        <rFont val="Times New Roman"/>
        <family val="1"/>
      </rPr>
      <t>)</t>
    </r>
    <phoneticPr fontId="10" type="noConversion"/>
  </si>
  <si>
    <r>
      <t xml:space="preserve"> </t>
    </r>
    <r>
      <rPr>
        <sz val="12"/>
        <rFont val="標楷體"/>
        <family val="4"/>
        <charset val="136"/>
      </rPr>
      <t>中華民國</t>
    </r>
    <r>
      <rPr>
        <sz val="12"/>
        <rFont val="Times New Roman"/>
        <family val="1"/>
      </rPr>
      <t xml:space="preserve">   110   </t>
    </r>
    <r>
      <rPr>
        <sz val="12"/>
        <rFont val="標楷體"/>
        <family val="4"/>
        <charset val="136"/>
      </rPr>
      <t>年</t>
    </r>
  </si>
  <si>
    <r>
      <t xml:space="preserve"> </t>
    </r>
    <r>
      <rPr>
        <sz val="12"/>
        <rFont val="標楷體"/>
        <family val="4"/>
        <charset val="136"/>
      </rPr>
      <t>中華民國</t>
    </r>
    <r>
      <rPr>
        <sz val="12"/>
        <rFont val="Times New Roman"/>
        <family val="1"/>
      </rPr>
      <t xml:space="preserve">   111   </t>
    </r>
    <r>
      <rPr>
        <sz val="12"/>
        <rFont val="標楷體"/>
        <family val="4"/>
        <charset val="136"/>
      </rPr>
      <t>年</t>
    </r>
  </si>
  <si>
    <r>
      <t xml:space="preserve"> </t>
    </r>
    <r>
      <rPr>
        <sz val="12"/>
        <rFont val="標楷體"/>
        <family val="4"/>
        <charset val="136"/>
      </rPr>
      <t>中華民國</t>
    </r>
    <r>
      <rPr>
        <sz val="12"/>
        <rFont val="Times New Roman"/>
        <family val="1"/>
      </rPr>
      <t xml:space="preserve">   112   </t>
    </r>
    <r>
      <rPr>
        <sz val="12"/>
        <rFont val="標楷體"/>
        <family val="4"/>
        <charset val="136"/>
      </rPr>
      <t>年</t>
    </r>
    <phoneticPr fontId="5" type="noConversion"/>
  </si>
  <si>
    <r>
      <t xml:space="preserve"> </t>
    </r>
    <r>
      <rPr>
        <sz val="12"/>
        <rFont val="標楷體"/>
        <family val="4"/>
        <charset val="136"/>
      </rPr>
      <t>中華民國</t>
    </r>
    <r>
      <rPr>
        <sz val="12"/>
        <rFont val="Times New Roman"/>
        <family val="1"/>
      </rPr>
      <t xml:space="preserve">   113   </t>
    </r>
    <r>
      <rPr>
        <sz val="12"/>
        <rFont val="標楷體"/>
        <family val="4"/>
        <charset val="136"/>
      </rPr>
      <t>年</t>
    </r>
    <phoneticPr fontId="5" type="noConversion"/>
  </si>
  <si>
    <r>
      <t>114</t>
    </r>
    <r>
      <rPr>
        <sz val="12"/>
        <rFont val="標楷體"/>
        <family val="4"/>
        <charset val="136"/>
      </rPr>
      <t>年</t>
    </r>
    <phoneticPr fontId="5" type="noConversion"/>
  </si>
  <si>
    <r>
      <rPr>
        <sz val="12"/>
        <rFont val="標楷體"/>
        <family val="4"/>
        <charset val="136"/>
      </rPr>
      <t>備註：自</t>
    </r>
    <r>
      <rPr>
        <sz val="12"/>
        <rFont val="Times New Roman"/>
        <family val="1"/>
      </rPr>
      <t>108</t>
    </r>
    <r>
      <rPr>
        <sz val="12"/>
        <rFont val="標楷體"/>
        <family val="4"/>
        <charset val="136"/>
      </rPr>
      <t>年起增列「膳食補充品」，</t>
    </r>
    <r>
      <rPr>
        <sz val="12"/>
        <rFont val="Times New Roman"/>
        <family val="1"/>
      </rPr>
      <t>96</t>
    </r>
    <r>
      <rPr>
        <sz val="12"/>
        <rFont val="標楷體"/>
        <family val="4"/>
        <charset val="136"/>
      </rPr>
      <t>年至</t>
    </r>
    <r>
      <rPr>
        <sz val="12"/>
        <rFont val="Times New Roman"/>
        <family val="1"/>
      </rPr>
      <t>107</t>
    </r>
    <r>
      <rPr>
        <sz val="12"/>
        <rFont val="標楷體"/>
        <family val="4"/>
        <charset val="136"/>
      </rPr>
      <t>年無相關統計資料，爰以「</t>
    </r>
    <r>
      <rPr>
        <sz val="12"/>
        <rFont val="Times New Roman"/>
        <family val="1"/>
      </rPr>
      <t>…</t>
    </r>
    <r>
      <rPr>
        <sz val="12"/>
        <rFont val="標楷體"/>
        <family val="4"/>
        <charset val="136"/>
      </rPr>
      <t>」表示。</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</si>
</sst>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quot;$&quot;#,##0_);\(&quot;$&quot;#,##0\)"/>
    <numFmt numFmtId="177" formatCode="&quot;$&quot;0_);\(&quot;$&quot;0\)"/>
    <numFmt numFmtId="178" formatCode="###\ ##0;\-###\ ##0;&quot;-&quot;"/>
  </numFmts>
  <fonts count="38" x14ac:knownFonts="1">
    <font>
      <sz val="8"/>
      <name val="新細明體"/>
      <family val="1"/>
      <charset val="136"/>
    </font>
    <font>
      <sz val="8"/>
      <name val="新細明體"/>
      <family val="1"/>
      <charset val="136"/>
    </font>
    <font>
      <sz val="12"/>
      <name val="標楷體"/>
      <family val="4"/>
      <charset val="136"/>
    </font>
    <font>
      <sz val="12"/>
      <name val="Times New Roman"/>
      <family val="1"/>
    </font>
    <font>
      <sz val="8"/>
      <name val="Times New Roman"/>
      <family val="1"/>
    </font>
    <font>
      <sz val="9"/>
      <name val="新細明體"/>
      <family val="1"/>
      <charset val="136"/>
    </font>
    <font>
      <sz val="9"/>
      <name val="Times New Roman"/>
      <family val="1"/>
    </font>
    <font>
      <sz val="10"/>
      <name val="Times New Roman"/>
      <family val="1"/>
    </font>
    <font>
      <b/>
      <sz val="12"/>
      <name val="Times New Roman"/>
      <family val="1"/>
    </font>
    <font>
      <sz val="12"/>
      <name val="新細明體"/>
      <family val="1"/>
      <charset val="136"/>
    </font>
    <font>
      <sz val="9"/>
      <name val="細明體"/>
      <family val="3"/>
      <charset val="136"/>
    </font>
    <font>
      <sz val="14"/>
      <name val="新細明體"/>
      <family val="1"/>
      <charset val="136"/>
    </font>
    <font>
      <sz val="12"/>
      <color indexed="8"/>
      <name val="新細明體"/>
      <family val="1"/>
      <charset val="136"/>
    </font>
    <font>
      <sz val="12"/>
      <color indexed="9"/>
      <name val="新細明體"/>
      <family val="1"/>
      <charset val="136"/>
    </font>
    <font>
      <sz val="12"/>
      <color indexed="19"/>
      <name val="新細明體"/>
      <family val="1"/>
      <charset val="136"/>
    </font>
    <font>
      <b/>
      <sz val="12"/>
      <color indexed="8"/>
      <name val="新細明體"/>
      <family val="1"/>
      <charset val="136"/>
    </font>
    <font>
      <sz val="12"/>
      <color indexed="17"/>
      <name val="新細明體"/>
      <family val="1"/>
      <charset val="136"/>
    </font>
    <font>
      <b/>
      <sz val="12"/>
      <color indexed="10"/>
      <name val="新細明體"/>
      <family val="1"/>
      <charset val="136"/>
    </font>
    <font>
      <sz val="12"/>
      <color indexed="10"/>
      <name val="新細明體"/>
      <family val="1"/>
      <charset val="136"/>
    </font>
    <font>
      <i/>
      <sz val="12"/>
      <color indexed="23"/>
      <name val="新細明體"/>
      <family val="1"/>
      <charset val="136"/>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b/>
      <sz val="16"/>
      <name val="標楷體"/>
      <family val="4"/>
      <charset val="136"/>
    </font>
    <font>
      <b/>
      <sz val="16"/>
      <name val="Times New Roman"/>
      <family val="1"/>
    </font>
    <font>
      <sz val="16"/>
      <name val="Times New Roman"/>
      <family val="1"/>
    </font>
    <font>
      <sz val="16"/>
      <name val="標楷體"/>
      <family val="4"/>
      <charset val="136"/>
    </font>
    <font>
      <b/>
      <sz val="12"/>
      <name val="標楷體"/>
      <family val="4"/>
      <charset val="136"/>
    </font>
    <font>
      <sz val="14"/>
      <name val="Times New Roman"/>
      <family val="1"/>
    </font>
    <font>
      <sz val="12"/>
      <color indexed="10"/>
      <name val="標楷體"/>
      <family val="4"/>
      <charset val="136"/>
    </font>
    <font>
      <sz val="12"/>
      <color rgb="FFFF0000"/>
      <name val="Times New Roman"/>
      <family val="1"/>
    </font>
    <font>
      <b/>
      <sz val="12"/>
      <color rgb="FFFF0000"/>
      <name val="Times New Roman"/>
      <family val="1"/>
    </font>
    <font>
      <sz val="12"/>
      <color theme="1"/>
      <name val="Times New Roman"/>
      <family val="1"/>
    </font>
  </fonts>
  <fills count="18">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9"/>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s>
  <borders count="25">
    <border>
      <left/>
      <right/>
      <top/>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91">
    <xf numFmtId="0" fontId="0" fillId="0" borderId="0"/>
    <xf numFmtId="0" fontId="12" fillId="2" borderId="0" applyNumberFormat="0" applyBorder="0" applyAlignment="0" applyProtection="0">
      <alignment vertical="center"/>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6" borderId="0" applyNumberFormat="0" applyBorder="0" applyAlignment="0" applyProtection="0">
      <alignment vertical="center"/>
    </xf>
    <xf numFmtId="0" fontId="12" fillId="4" borderId="0" applyNumberFormat="0" applyBorder="0" applyAlignment="0" applyProtection="0">
      <alignment vertical="center"/>
    </xf>
    <xf numFmtId="0" fontId="12" fillId="4" borderId="0" applyNumberFormat="0" applyBorder="0" applyAlignment="0" applyProtection="0">
      <alignment vertical="center"/>
    </xf>
    <xf numFmtId="0" fontId="12" fillId="6" borderId="0" applyNumberFormat="0" applyBorder="0" applyAlignment="0" applyProtection="0">
      <alignment vertical="center"/>
    </xf>
    <xf numFmtId="0" fontId="12" fillId="6" borderId="0" applyNumberFormat="0" applyBorder="0" applyAlignment="0" applyProtection="0">
      <alignment vertical="center"/>
    </xf>
    <xf numFmtId="0" fontId="12" fillId="3" borderId="0" applyNumberFormat="0" applyBorder="0" applyAlignment="0" applyProtection="0">
      <alignment vertical="center"/>
    </xf>
    <xf numFmtId="0" fontId="12" fillId="3" borderId="0" applyNumberFormat="0" applyBorder="0" applyAlignment="0" applyProtection="0">
      <alignment vertical="center"/>
    </xf>
    <xf numFmtId="0" fontId="12" fillId="7"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6" borderId="0" applyNumberFormat="0" applyBorder="0" applyAlignment="0" applyProtection="0">
      <alignment vertical="center"/>
    </xf>
    <xf numFmtId="0" fontId="12" fillId="6" borderId="0" applyNumberFormat="0" applyBorder="0" applyAlignment="0" applyProtection="0">
      <alignment vertical="center"/>
    </xf>
    <xf numFmtId="0" fontId="12" fillId="4" borderId="0" applyNumberFormat="0" applyBorder="0" applyAlignment="0" applyProtection="0">
      <alignment vertical="center"/>
    </xf>
    <xf numFmtId="0" fontId="12" fillId="4"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8" borderId="0" applyNumberFormat="0" applyBorder="0" applyAlignment="0" applyProtection="0">
      <alignment vertical="center"/>
    </xf>
    <xf numFmtId="0" fontId="13" fillId="8"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 fillId="0" borderId="0"/>
    <xf numFmtId="0" fontId="1" fillId="0" borderId="0"/>
    <xf numFmtId="0" fontId="3"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5" fillId="0" borderId="1" applyNumberFormat="0" applyFill="0" applyAlignment="0" applyProtection="0">
      <alignment vertical="center"/>
    </xf>
    <xf numFmtId="0" fontId="15" fillId="0" borderId="1" applyNumberFormat="0" applyFill="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7" fillId="11" borderId="2" applyNumberFormat="0" applyAlignment="0" applyProtection="0">
      <alignment vertical="center"/>
    </xf>
    <xf numFmtId="0" fontId="17" fillId="11" borderId="2" applyNumberFormat="0" applyAlignment="0" applyProtection="0">
      <alignment vertical="center"/>
    </xf>
    <xf numFmtId="0" fontId="18" fillId="0" borderId="3" applyNumberFormat="0" applyFill="0" applyAlignment="0" applyProtection="0">
      <alignment vertical="center"/>
    </xf>
    <xf numFmtId="0" fontId="18" fillId="0" borderId="3" applyNumberFormat="0" applyFill="0" applyAlignment="0" applyProtection="0">
      <alignment vertical="center"/>
    </xf>
    <xf numFmtId="0" fontId="1" fillId="4" borderId="4" applyNumberFormat="0" applyFont="0" applyAlignment="0" applyProtection="0">
      <alignment vertical="center"/>
    </xf>
    <xf numFmtId="0" fontId="1" fillId="4" borderId="4" applyNumberFormat="0" applyFon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5"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7" borderId="2" applyNumberFormat="0" applyAlignment="0" applyProtection="0">
      <alignment vertical="center"/>
    </xf>
    <xf numFmtId="0" fontId="24" fillId="7" borderId="2" applyNumberFormat="0" applyAlignment="0" applyProtection="0">
      <alignment vertical="center"/>
    </xf>
    <xf numFmtId="0" fontId="25" fillId="11" borderId="8" applyNumberFormat="0" applyAlignment="0" applyProtection="0">
      <alignment vertical="center"/>
    </xf>
    <xf numFmtId="0" fontId="25" fillId="11" borderId="8" applyNumberFormat="0" applyAlignment="0" applyProtection="0">
      <alignment vertical="center"/>
    </xf>
    <xf numFmtId="0" fontId="26" fillId="16" borderId="9" applyNumberFormat="0" applyAlignment="0" applyProtection="0">
      <alignment vertical="center"/>
    </xf>
    <xf numFmtId="0" fontId="26" fillId="16" borderId="9" applyNumberFormat="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50">
    <xf numFmtId="0" fontId="0" fillId="0" borderId="0" xfId="0"/>
    <xf numFmtId="0" fontId="4"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3" fillId="0" borderId="0" xfId="0" applyFont="1" applyAlignment="1">
      <alignment horizontal="left" vertical="center" textRotation="90"/>
    </xf>
    <xf numFmtId="0" fontId="3" fillId="0" borderId="0" xfId="0" applyFont="1" applyAlignment="1">
      <alignment vertical="center"/>
    </xf>
    <xf numFmtId="0" fontId="3" fillId="0" borderId="10" xfId="0" applyFont="1" applyBorder="1" applyAlignment="1">
      <alignment horizontal="left" vertical="center" textRotation="90"/>
    </xf>
    <xf numFmtId="176" fontId="2" fillId="0" borderId="11" xfId="40" applyNumberFormat="1" applyFont="1" applyBorder="1" applyProtection="1">
      <alignment vertical="center"/>
      <protection locked="0"/>
    </xf>
    <xf numFmtId="41" fontId="4" fillId="0" borderId="0" xfId="0" applyNumberFormat="1" applyFont="1" applyAlignment="1">
      <alignment vertical="center"/>
    </xf>
    <xf numFmtId="0" fontId="3" fillId="0" borderId="0" xfId="39"/>
    <xf numFmtId="0" fontId="28" fillId="0" borderId="0" xfId="39" applyFont="1" applyAlignment="1">
      <alignment horizontal="left"/>
    </xf>
    <xf numFmtId="0" fontId="29" fillId="0" borderId="0" xfId="39" applyFont="1" applyAlignment="1">
      <alignment horizontal="center"/>
    </xf>
    <xf numFmtId="0" fontId="2" fillId="0" borderId="0" xfId="39" applyFont="1"/>
    <xf numFmtId="0" fontId="2" fillId="0" borderId="0" xfId="39" applyFont="1" applyAlignment="1">
      <alignment horizontal="left" indent="1"/>
    </xf>
    <xf numFmtId="0" fontId="2" fillId="0" borderId="0" xfId="39" applyFont="1" applyAlignment="1">
      <alignment horizontal="left" indent="4"/>
    </xf>
    <xf numFmtId="0" fontId="7" fillId="0" borderId="0" xfId="0" applyFont="1" applyAlignment="1">
      <alignment vertical="center"/>
    </xf>
    <xf numFmtId="41" fontId="3" fillId="0" borderId="0" xfId="0" applyNumberFormat="1" applyFont="1" applyAlignment="1">
      <alignment vertical="center"/>
    </xf>
    <xf numFmtId="0" fontId="4" fillId="0" borderId="0" xfId="37" applyFont="1" applyAlignment="1">
      <alignment vertical="center"/>
    </xf>
    <xf numFmtId="0" fontId="2" fillId="0" borderId="0" xfId="0" applyFont="1"/>
    <xf numFmtId="0" fontId="2" fillId="0" borderId="0" xfId="0" applyFont="1" applyAlignment="1">
      <alignment horizontal="left" indent="1"/>
    </xf>
    <xf numFmtId="0" fontId="30" fillId="0" borderId="0" xfId="0" applyFont="1" applyAlignment="1">
      <alignment vertical="center"/>
    </xf>
    <xf numFmtId="0" fontId="2" fillId="0" borderId="12" xfId="0" applyFont="1" applyBorder="1" applyAlignment="1">
      <alignment horizontal="center" vertical="center" wrapText="1"/>
    </xf>
    <xf numFmtId="0" fontId="9" fillId="0" borderId="0" xfId="0" applyFont="1" applyAlignment="1">
      <alignment vertical="center"/>
    </xf>
    <xf numFmtId="0" fontId="2" fillId="0" borderId="0" xfId="0" applyFont="1" applyAlignment="1">
      <alignment horizontal="right" vertical="center"/>
    </xf>
    <xf numFmtId="0" fontId="2" fillId="0" borderId="0" xfId="0" applyFont="1" applyAlignment="1">
      <alignment vertical="center"/>
    </xf>
    <xf numFmtId="0" fontId="2" fillId="0" borderId="13" xfId="0" applyFont="1" applyBorder="1" applyAlignment="1">
      <alignment horizontal="left" vertical="center"/>
    </xf>
    <xf numFmtId="41" fontId="3" fillId="0" borderId="0" xfId="0" applyNumberFormat="1" applyFont="1" applyAlignment="1">
      <alignment horizontal="right" vertical="center"/>
    </xf>
    <xf numFmtId="0" fontId="2" fillId="0" borderId="14" xfId="0" applyFont="1" applyBorder="1" applyAlignment="1">
      <alignment horizontal="left" vertical="center"/>
    </xf>
    <xf numFmtId="41" fontId="8" fillId="0" borderId="0" xfId="0" applyNumberFormat="1" applyFont="1" applyAlignment="1">
      <alignment vertical="center"/>
    </xf>
    <xf numFmtId="0" fontId="2" fillId="0" borderId="15" xfId="0" applyFont="1" applyBorder="1" applyAlignment="1">
      <alignment horizontal="left" vertical="center"/>
    </xf>
    <xf numFmtId="178" fontId="3" fillId="0" borderId="0" xfId="0" applyNumberFormat="1" applyFont="1" applyAlignment="1">
      <alignment horizontal="right" vertical="center"/>
    </xf>
    <xf numFmtId="0" fontId="2" fillId="0" borderId="16" xfId="0" applyFont="1" applyBorder="1" applyAlignment="1">
      <alignment vertical="center"/>
    </xf>
    <xf numFmtId="0" fontId="3" fillId="0" borderId="16" xfId="0" applyFont="1" applyBorder="1" applyAlignment="1">
      <alignment vertical="center"/>
    </xf>
    <xf numFmtId="0" fontId="3" fillId="0" borderId="10" xfId="0" applyFont="1" applyBorder="1" applyAlignment="1">
      <alignment vertical="center"/>
    </xf>
    <xf numFmtId="0" fontId="3" fillId="0" borderId="0" xfId="37" applyFont="1" applyAlignment="1">
      <alignment vertical="center"/>
    </xf>
    <xf numFmtId="176" fontId="3" fillId="0" borderId="17" xfId="40" applyNumberFormat="1" applyFont="1" applyBorder="1" applyProtection="1">
      <alignment vertical="center"/>
      <protection locked="0"/>
    </xf>
    <xf numFmtId="176" fontId="3" fillId="0" borderId="0" xfId="40" applyNumberFormat="1" applyFont="1" applyProtection="1">
      <alignment vertical="center"/>
      <protection locked="0"/>
    </xf>
    <xf numFmtId="0" fontId="3" fillId="0" borderId="0" xfId="40" applyFont="1">
      <alignment vertical="center"/>
    </xf>
    <xf numFmtId="176" fontId="3" fillId="0" borderId="0" xfId="43" applyNumberFormat="1" applyFont="1" applyAlignment="1" applyProtection="1">
      <alignment horizontal="center" vertical="center"/>
      <protection locked="0"/>
    </xf>
    <xf numFmtId="176" fontId="3" fillId="0" borderId="11" xfId="40" applyNumberFormat="1" applyFont="1" applyBorder="1" applyProtection="1">
      <alignment vertical="center"/>
      <protection locked="0"/>
    </xf>
    <xf numFmtId="176" fontId="3" fillId="0" borderId="10" xfId="40" applyNumberFormat="1" applyFont="1" applyBorder="1" applyProtection="1">
      <alignment vertical="center"/>
      <protection locked="0"/>
    </xf>
    <xf numFmtId="0" fontId="3" fillId="0" borderId="10" xfId="40" applyFont="1" applyBorder="1">
      <alignment vertical="center"/>
    </xf>
    <xf numFmtId="177" fontId="3" fillId="0" borderId="10" xfId="43" applyNumberFormat="1" applyFont="1" applyBorder="1" applyAlignment="1" applyProtection="1">
      <alignment horizontal="center"/>
      <protection locked="0"/>
    </xf>
    <xf numFmtId="177" fontId="3" fillId="0" borderId="0" xfId="43" applyNumberFormat="1" applyFont="1" applyAlignment="1" applyProtection="1">
      <alignment horizontal="center"/>
      <protection locked="0"/>
    </xf>
    <xf numFmtId="176" fontId="3" fillId="0" borderId="10" xfId="40" applyNumberFormat="1" applyFont="1" applyBorder="1" applyAlignment="1" applyProtection="1">
      <alignment horizontal="left" vertical="center"/>
      <protection locked="0"/>
    </xf>
    <xf numFmtId="0" fontId="3" fillId="0" borderId="10" xfId="0" applyFont="1" applyBorder="1" applyAlignment="1">
      <alignment horizontal="right" vertical="center"/>
    </xf>
    <xf numFmtId="0" fontId="3" fillId="0" borderId="10" xfId="40" applyFont="1" applyBorder="1" applyAlignment="1">
      <alignment horizontal="right" vertical="center"/>
    </xf>
    <xf numFmtId="0" fontId="3" fillId="0" borderId="0" xfId="0" applyFont="1" applyAlignment="1">
      <alignment horizontal="distributed" vertical="center"/>
    </xf>
    <xf numFmtId="0" fontId="3" fillId="0" borderId="14" xfId="0" applyFont="1" applyBorder="1" applyAlignment="1">
      <alignment horizontal="distributed" vertical="center"/>
    </xf>
    <xf numFmtId="0" fontId="3" fillId="0" borderId="10" xfId="0" applyFont="1" applyBorder="1" applyAlignment="1">
      <alignment horizontal="distributed" vertical="center"/>
    </xf>
    <xf numFmtId="0" fontId="3" fillId="0" borderId="15" xfId="0" applyFont="1" applyBorder="1" applyAlignment="1">
      <alignment horizontal="distributed" vertical="center"/>
    </xf>
    <xf numFmtId="0" fontId="3" fillId="0" borderId="16" xfId="0" applyFont="1" applyBorder="1" applyAlignment="1">
      <alignment horizontal="distributed" vertical="center"/>
    </xf>
    <xf numFmtId="0" fontId="3" fillId="0" borderId="13" xfId="0" applyFont="1" applyBorder="1" applyAlignment="1">
      <alignment horizontal="distributed" vertical="center"/>
    </xf>
    <xf numFmtId="0" fontId="29" fillId="0" borderId="0" xfId="40" applyFont="1">
      <alignment vertical="center"/>
    </xf>
    <xf numFmtId="176" fontId="29" fillId="0" borderId="0" xfId="43" applyNumberFormat="1" applyFont="1" applyAlignment="1" applyProtection="1">
      <alignment horizontal="center" vertical="center"/>
      <protection locked="0"/>
    </xf>
    <xf numFmtId="41" fontId="3" fillId="0" borderId="11" xfId="0" applyNumberFormat="1" applyFont="1" applyBorder="1" applyAlignment="1">
      <alignment vertical="center"/>
    </xf>
    <xf numFmtId="41" fontId="3" fillId="0" borderId="10" xfId="0" applyNumberFormat="1" applyFont="1" applyBorder="1" applyAlignment="1">
      <alignment horizontal="right" vertical="center"/>
    </xf>
    <xf numFmtId="41" fontId="3" fillId="0" borderId="10" xfId="0" applyNumberFormat="1" applyFont="1" applyBorder="1" applyAlignment="1">
      <alignment vertical="center"/>
    </xf>
    <xf numFmtId="0" fontId="3" fillId="0" borderId="0" xfId="42" applyFont="1" applyProtection="1">
      <alignment vertical="center"/>
      <protection locked="0"/>
    </xf>
    <xf numFmtId="177" fontId="3" fillId="0" borderId="0" xfId="42" applyNumberFormat="1" applyFont="1" applyAlignment="1" applyProtection="1">
      <alignment horizontal="center" vertical="center"/>
      <protection locked="0"/>
    </xf>
    <xf numFmtId="177" fontId="3" fillId="0" borderId="0" xfId="42" applyNumberFormat="1" applyFont="1" applyAlignment="1" applyProtection="1">
      <alignment horizontal="right" vertical="center"/>
      <protection locked="0"/>
    </xf>
    <xf numFmtId="0" fontId="3" fillId="0" borderId="0" xfId="42" applyFont="1" applyAlignment="1">
      <alignment horizontal="right" vertical="center"/>
    </xf>
    <xf numFmtId="0" fontId="3" fillId="0" borderId="0" xfId="0" applyFont="1"/>
    <xf numFmtId="177" fontId="3"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177" fontId="3" fillId="0" borderId="0" xfId="0" applyNumberFormat="1" applyFont="1" applyAlignment="1" applyProtection="1">
      <alignment horizontal="left" vertical="center"/>
      <protection locked="0"/>
    </xf>
    <xf numFmtId="0" fontId="3" fillId="0" borderId="0" xfId="0" applyFont="1" applyAlignment="1">
      <alignment horizontal="right"/>
    </xf>
    <xf numFmtId="176" fontId="3" fillId="0" borderId="10" xfId="40" applyNumberFormat="1" applyFont="1" applyBorder="1" applyAlignment="1" applyProtection="1">
      <alignment horizontal="center" vertical="center"/>
      <protection locked="0"/>
    </xf>
    <xf numFmtId="0" fontId="3" fillId="0" borderId="10" xfId="0" applyFont="1" applyBorder="1" applyAlignment="1">
      <alignment horizontal="centerContinuous" vertical="center"/>
    </xf>
    <xf numFmtId="0" fontId="3" fillId="0" borderId="0" xfId="43" applyFont="1" applyAlignment="1"/>
    <xf numFmtId="0" fontId="3" fillId="0" borderId="14" xfId="43" applyFont="1" applyBorder="1" applyAlignment="1"/>
    <xf numFmtId="177" fontId="3" fillId="0" borderId="15" xfId="43" applyNumberFormat="1" applyFont="1" applyBorder="1" applyAlignment="1" applyProtection="1">
      <protection locked="0"/>
    </xf>
    <xf numFmtId="177" fontId="3" fillId="0" borderId="10" xfId="43" applyNumberFormat="1" applyFont="1" applyBorder="1" applyAlignment="1" applyProtection="1">
      <protection locked="0"/>
    </xf>
    <xf numFmtId="0" fontId="3" fillId="0" borderId="0" xfId="42" applyFont="1" applyAlignment="1">
      <alignment horizontal="center" vertical="distributed" textRotation="255"/>
    </xf>
    <xf numFmtId="0" fontId="3" fillId="0" borderId="0" xfId="42" applyFont="1" applyAlignment="1" applyProtection="1">
      <alignment horizontal="center" vertical="distributed" textRotation="255"/>
      <protection locked="0"/>
    </xf>
    <xf numFmtId="0" fontId="3" fillId="0" borderId="0" xfId="44" applyFont="1">
      <alignment vertical="center"/>
    </xf>
    <xf numFmtId="177" fontId="3" fillId="0" borderId="0" xfId="42" applyNumberFormat="1" applyFont="1" applyAlignment="1" applyProtection="1">
      <alignment horizontal="left" vertical="center"/>
      <protection locked="0"/>
    </xf>
    <xf numFmtId="0" fontId="3" fillId="0" borderId="0" xfId="42" applyFont="1" applyAlignment="1" applyProtection="1">
      <alignment horizontal="left" vertical="center"/>
      <protection locked="0"/>
    </xf>
    <xf numFmtId="177" fontId="3" fillId="0" borderId="0" xfId="42" applyNumberFormat="1" applyFont="1" applyProtection="1">
      <alignment vertical="center"/>
      <protection locked="0"/>
    </xf>
    <xf numFmtId="41" fontId="8" fillId="0" borderId="11" xfId="0" applyNumberFormat="1" applyFont="1" applyBorder="1" applyAlignment="1">
      <alignment vertical="center"/>
    </xf>
    <xf numFmtId="0" fontId="3" fillId="0" borderId="16" xfId="37" applyFont="1" applyBorder="1" applyAlignment="1">
      <alignment vertical="center"/>
    </xf>
    <xf numFmtId="0" fontId="3" fillId="0" borderId="16" xfId="37" applyFont="1" applyBorder="1" applyAlignment="1">
      <alignment horizontal="distributed" vertical="center"/>
    </xf>
    <xf numFmtId="0" fontId="3" fillId="0" borderId="13" xfId="37" applyFont="1" applyBorder="1" applyAlignment="1">
      <alignment horizontal="distributed" vertical="center"/>
    </xf>
    <xf numFmtId="41" fontId="3" fillId="0" borderId="0" xfId="37" applyNumberFormat="1" applyFont="1" applyAlignment="1">
      <alignment vertical="center"/>
    </xf>
    <xf numFmtId="0" fontId="8" fillId="0" borderId="0" xfId="37" applyFont="1" applyAlignment="1">
      <alignment vertical="center"/>
    </xf>
    <xf numFmtId="0" fontId="3" fillId="0" borderId="0" xfId="37" applyFont="1" applyAlignment="1">
      <alignment horizontal="distributed" vertical="center"/>
    </xf>
    <xf numFmtId="0" fontId="3" fillId="0" borderId="14" xfId="37" applyFont="1" applyBorder="1" applyAlignment="1">
      <alignment horizontal="distributed" vertical="center"/>
    </xf>
    <xf numFmtId="41" fontId="3" fillId="0" borderId="0" xfId="37" applyNumberFormat="1" applyFont="1" applyAlignment="1">
      <alignment horizontal="right" vertical="center"/>
    </xf>
    <xf numFmtId="0" fontId="3" fillId="0" borderId="0" xfId="37" applyFont="1" applyAlignment="1">
      <alignment horizontal="left" vertical="center" textRotation="90"/>
    </xf>
    <xf numFmtId="0" fontId="3" fillId="0" borderId="10" xfId="37" applyFont="1" applyBorder="1" applyAlignment="1">
      <alignment horizontal="left" vertical="center" textRotation="90"/>
    </xf>
    <xf numFmtId="0" fontId="3" fillId="0" borderId="10" xfId="37" applyFont="1" applyBorder="1" applyAlignment="1">
      <alignment horizontal="distributed" vertical="center"/>
    </xf>
    <xf numFmtId="0" fontId="3" fillId="0" borderId="15" xfId="37" applyFont="1" applyBorder="1" applyAlignment="1">
      <alignment horizontal="distributed" vertical="center"/>
    </xf>
    <xf numFmtId="41" fontId="3" fillId="0" borderId="11" xfId="37" applyNumberFormat="1" applyFont="1" applyBorder="1" applyAlignment="1">
      <alignment vertical="center"/>
    </xf>
    <xf numFmtId="41" fontId="3" fillId="0" borderId="10" xfId="37" applyNumberFormat="1" applyFont="1" applyBorder="1" applyAlignment="1">
      <alignment horizontal="right" vertical="center"/>
    </xf>
    <xf numFmtId="41" fontId="3" fillId="0" borderId="10" xfId="37" applyNumberFormat="1" applyFont="1" applyBorder="1" applyAlignment="1">
      <alignment vertical="center"/>
    </xf>
    <xf numFmtId="0" fontId="3" fillId="0" borderId="0" xfId="37" applyFont="1"/>
    <xf numFmtId="176" fontId="29" fillId="0" borderId="0" xfId="40" applyNumberFormat="1" applyFont="1" applyProtection="1">
      <alignment vertical="center"/>
      <protection locked="0"/>
    </xf>
    <xf numFmtId="0" fontId="3" fillId="0" borderId="11" xfId="0" applyFont="1" applyBorder="1" applyAlignment="1">
      <alignment vertical="center"/>
    </xf>
    <xf numFmtId="41" fontId="3" fillId="0" borderId="17" xfId="0" applyNumberFormat="1" applyFont="1" applyBorder="1" applyAlignment="1">
      <alignment vertical="center"/>
    </xf>
    <xf numFmtId="41" fontId="3" fillId="0" borderId="17" xfId="0" applyNumberFormat="1" applyFont="1" applyBorder="1" applyAlignment="1">
      <alignment horizontal="right" vertical="center"/>
    </xf>
    <xf numFmtId="41" fontId="3" fillId="0" borderId="18" xfId="37" applyNumberFormat="1" applyFont="1" applyBorder="1" applyAlignment="1">
      <alignment vertical="center"/>
    </xf>
    <xf numFmtId="41" fontId="3" fillId="0" borderId="17" xfId="37" applyNumberFormat="1" applyFont="1" applyBorder="1" applyAlignment="1">
      <alignment horizontal="right" vertical="center"/>
    </xf>
    <xf numFmtId="41" fontId="3" fillId="0" borderId="17" xfId="37" applyNumberFormat="1" applyFont="1" applyBorder="1" applyAlignment="1">
      <alignment vertical="center"/>
    </xf>
    <xf numFmtId="41" fontId="3" fillId="0" borderId="18" xfId="0" applyNumberFormat="1" applyFont="1" applyBorder="1" applyAlignment="1">
      <alignment vertical="center"/>
    </xf>
    <xf numFmtId="0" fontId="3" fillId="0" borderId="0" xfId="42" applyFont="1" applyAlignment="1" applyProtection="1">
      <alignment horizontal="center" vertical="center" textRotation="255"/>
      <protection locked="0"/>
    </xf>
    <xf numFmtId="0" fontId="3" fillId="0" borderId="0" xfId="0" applyFont="1" applyAlignment="1">
      <alignment horizontal="right" vertical="center"/>
    </xf>
    <xf numFmtId="0" fontId="2" fillId="0" borderId="19" xfId="0" applyFont="1" applyBorder="1" applyAlignment="1">
      <alignment horizontal="center" vertical="center" wrapText="1"/>
    </xf>
    <xf numFmtId="0" fontId="8" fillId="0" borderId="16" xfId="0" applyFont="1" applyBorder="1" applyAlignment="1">
      <alignment vertical="center"/>
    </xf>
    <xf numFmtId="176" fontId="33" fillId="0" borderId="10" xfId="40" applyNumberFormat="1" applyFont="1" applyBorder="1" applyAlignment="1" applyProtection="1">
      <alignment horizontal="center" vertical="center"/>
      <protection locked="0"/>
    </xf>
    <xf numFmtId="0" fontId="33" fillId="0" borderId="10" xfId="0" applyFont="1" applyBorder="1" applyAlignment="1">
      <alignment vertical="center"/>
    </xf>
    <xf numFmtId="0" fontId="33" fillId="0" borderId="10" xfId="0" applyFont="1" applyBorder="1" applyAlignment="1">
      <alignment horizontal="centerContinuous" vertical="center"/>
    </xf>
    <xf numFmtId="0" fontId="33" fillId="0" borderId="0" xfId="0" applyFont="1" applyAlignment="1">
      <alignment vertical="center"/>
    </xf>
    <xf numFmtId="0" fontId="33" fillId="0" borderId="10" xfId="0" applyFont="1" applyBorder="1" applyAlignment="1">
      <alignment horizontal="right" vertical="center"/>
    </xf>
    <xf numFmtId="41" fontId="7" fillId="0" borderId="0" xfId="0" applyNumberFormat="1" applyFont="1" applyAlignment="1">
      <alignment vertical="center"/>
    </xf>
    <xf numFmtId="41" fontId="7" fillId="0" borderId="10" xfId="0" applyNumberFormat="1" applyFont="1" applyBorder="1" applyAlignment="1">
      <alignment vertical="center"/>
    </xf>
    <xf numFmtId="0" fontId="7" fillId="0" borderId="0" xfId="0" applyFont="1"/>
    <xf numFmtId="41" fontId="7" fillId="0" borderId="0" xfId="0" applyNumberFormat="1" applyFont="1" applyAlignment="1">
      <alignment horizontal="right" vertical="center"/>
    </xf>
    <xf numFmtId="0" fontId="2" fillId="0" borderId="10" xfId="0" applyFont="1" applyBorder="1" applyAlignment="1">
      <alignment horizontal="center" vertical="center" wrapText="1"/>
    </xf>
    <xf numFmtId="41" fontId="36" fillId="0" borderId="0" xfId="0" applyNumberFormat="1" applyFont="1" applyAlignment="1">
      <alignment vertical="center"/>
    </xf>
    <xf numFmtId="41" fontId="8" fillId="0" borderId="0" xfId="0" applyNumberFormat="1" applyFont="1" applyAlignment="1">
      <alignment horizontal="right" vertical="center"/>
    </xf>
    <xf numFmtId="41" fontId="36" fillId="0" borderId="0" xfId="0" applyNumberFormat="1" applyFont="1" applyAlignment="1">
      <alignment horizontal="right" vertical="center"/>
    </xf>
    <xf numFmtId="41" fontId="35" fillId="0" borderId="0" xfId="0" applyNumberFormat="1" applyFont="1" applyAlignment="1">
      <alignment vertical="center"/>
    </xf>
    <xf numFmtId="41" fontId="35" fillId="0" borderId="0" xfId="0" applyNumberFormat="1" applyFont="1" applyAlignment="1">
      <alignment horizontal="right" vertical="center"/>
    </xf>
    <xf numFmtId="41" fontId="37" fillId="0" borderId="0" xfId="0" applyNumberFormat="1"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8" fillId="0" borderId="0" xfId="0" applyFont="1" applyAlignment="1">
      <alignment horizontal="center" vertical="center"/>
    </xf>
    <xf numFmtId="176" fontId="2" fillId="0" borderId="20" xfId="40" applyNumberFormat="1" applyFont="1" applyBorder="1" applyAlignment="1" applyProtection="1">
      <alignment horizontal="center" vertical="center"/>
      <protection locked="0"/>
    </xf>
    <xf numFmtId="176" fontId="2" fillId="0" borderId="21" xfId="40" applyNumberFormat="1" applyFont="1" applyBorder="1" applyAlignment="1" applyProtection="1">
      <alignment horizontal="center" vertical="center"/>
      <protection locked="0"/>
    </xf>
    <xf numFmtId="0" fontId="2" fillId="0" borderId="12" xfId="43" applyFont="1" applyBorder="1" applyAlignment="1" applyProtection="1">
      <alignment horizontal="center" vertical="distributed" textRotation="255" wrapText="1"/>
      <protection locked="0"/>
    </xf>
    <xf numFmtId="0" fontId="2" fillId="0" borderId="12" xfId="41" applyFont="1" applyBorder="1" applyAlignment="1" applyProtection="1">
      <alignment horizontal="center" vertical="distributed" textRotation="255"/>
      <protection locked="0"/>
    </xf>
    <xf numFmtId="176" fontId="2" fillId="0" borderId="19" xfId="41" applyNumberFormat="1" applyFont="1" applyBorder="1" applyAlignment="1" applyProtection="1">
      <alignment horizontal="center" vertical="center"/>
      <protection locked="0"/>
    </xf>
    <xf numFmtId="0" fontId="2" fillId="0" borderId="12" xfId="41" applyFont="1" applyBorder="1" applyAlignment="1" applyProtection="1">
      <alignment horizontal="center" vertical="distributed" textRotation="255" wrapText="1"/>
      <protection locked="0"/>
    </xf>
    <xf numFmtId="176" fontId="2" fillId="0" borderId="19" xfId="43" applyNumberFormat="1" applyFont="1" applyBorder="1" applyAlignment="1" applyProtection="1">
      <alignment horizontal="center" vertical="center"/>
      <protection locked="0"/>
    </xf>
    <xf numFmtId="0" fontId="3" fillId="0" borderId="10" xfId="0" applyFont="1" applyBorder="1" applyAlignment="1">
      <alignment horizontal="center" vertical="center" wrapText="1"/>
    </xf>
    <xf numFmtId="0" fontId="3" fillId="0" borderId="24"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176" fontId="3" fillId="0" borderId="12" xfId="41" applyNumberFormat="1" applyFont="1" applyBorder="1" applyAlignment="1" applyProtection="1">
      <alignment horizontal="center" vertical="center"/>
      <protection locked="0"/>
    </xf>
    <xf numFmtId="0" fontId="3" fillId="0" borderId="12" xfId="41" applyFont="1" applyBorder="1" applyAlignment="1" applyProtection="1">
      <alignment horizontal="center" vertical="distributed" textRotation="255"/>
      <protection locked="0"/>
    </xf>
    <xf numFmtId="0" fontId="3" fillId="0" borderId="12" xfId="43" applyFont="1" applyBorder="1" applyAlignment="1" applyProtection="1">
      <alignment horizontal="center" vertical="distributed" textRotation="255" wrapText="1"/>
      <protection locked="0"/>
    </xf>
    <xf numFmtId="176" fontId="3" fillId="0" borderId="12" xfId="43" applyNumberFormat="1" applyFont="1" applyBorder="1" applyAlignment="1" applyProtection="1">
      <alignment horizontal="center" vertical="center" wrapText="1"/>
      <protection locked="0"/>
    </xf>
    <xf numFmtId="176" fontId="3" fillId="0" borderId="12" xfId="43" applyNumberFormat="1" applyFont="1" applyBorder="1" applyAlignment="1" applyProtection="1">
      <alignment horizontal="center" vertical="center"/>
      <protection locked="0"/>
    </xf>
    <xf numFmtId="0" fontId="3" fillId="0" borderId="12" xfId="43" applyFont="1" applyBorder="1">
      <alignment vertical="center"/>
    </xf>
    <xf numFmtId="0" fontId="3" fillId="0" borderId="12" xfId="43" applyFont="1" applyBorder="1" applyAlignment="1">
      <alignment horizontal="center" vertical="center"/>
    </xf>
    <xf numFmtId="176" fontId="3" fillId="0" borderId="19" xfId="41" applyNumberFormat="1" applyFont="1" applyBorder="1" applyAlignment="1" applyProtection="1">
      <alignment horizontal="center" vertical="center"/>
      <protection locked="0"/>
    </xf>
    <xf numFmtId="176" fontId="3" fillId="0" borderId="20" xfId="41" applyNumberFormat="1" applyFont="1" applyBorder="1" applyAlignment="1" applyProtection="1">
      <alignment horizontal="center" vertical="center"/>
      <protection locked="0"/>
    </xf>
    <xf numFmtId="176" fontId="3" fillId="0" borderId="21" xfId="41" applyNumberFormat="1" applyFont="1" applyBorder="1" applyAlignment="1" applyProtection="1">
      <alignment horizontal="center" vertical="center"/>
      <protection locked="0"/>
    </xf>
    <xf numFmtId="0" fontId="35" fillId="0" borderId="12" xfId="43" applyFont="1" applyBorder="1" applyAlignment="1" applyProtection="1">
      <alignment horizontal="center" vertical="distributed" textRotation="255" wrapText="1"/>
      <protection locked="0"/>
    </xf>
    <xf numFmtId="0" fontId="3" fillId="0" borderId="12" xfId="43" applyFont="1" applyBorder="1" applyAlignment="1">
      <alignment horizontal="center" vertical="center" wrapText="1"/>
    </xf>
    <xf numFmtId="0" fontId="3" fillId="0" borderId="19" xfId="43" applyFont="1" applyBorder="1" applyAlignment="1" applyProtection="1">
      <alignment horizontal="center" vertical="distributed" textRotation="255" wrapText="1"/>
      <protection locked="0"/>
    </xf>
    <xf numFmtId="0" fontId="3" fillId="0" borderId="19" xfId="43" applyFont="1" applyBorder="1">
      <alignment vertical="center"/>
    </xf>
    <xf numFmtId="0" fontId="3" fillId="0" borderId="12" xfId="43" applyFont="1" applyBorder="1" applyAlignment="1">
      <alignment horizontal="center" vertical="distributed" textRotation="255" wrapText="1"/>
    </xf>
    <xf numFmtId="0" fontId="3" fillId="0" borderId="12" xfId="43" applyFont="1" applyBorder="1" applyAlignment="1">
      <alignment wrapText="1"/>
    </xf>
    <xf numFmtId="0" fontId="3" fillId="0" borderId="12" xfId="41" applyFont="1" applyBorder="1" applyAlignment="1" applyProtection="1">
      <alignment horizontal="center" vertical="distributed" textRotation="255" wrapText="1"/>
      <protection locked="0"/>
    </xf>
    <xf numFmtId="176" fontId="3" fillId="0" borderId="12" xfId="43" applyNumberFormat="1" applyFont="1" applyBorder="1" applyAlignment="1" applyProtection="1">
      <alignment vertical="distributed" textRotation="255" wrapText="1"/>
      <protection locked="0"/>
    </xf>
    <xf numFmtId="0" fontId="3" fillId="0" borderId="12" xfId="43" applyFont="1" applyBorder="1" applyAlignment="1">
      <alignment vertical="distributed" textRotation="255" wrapText="1"/>
    </xf>
    <xf numFmtId="176" fontId="3" fillId="0" borderId="12" xfId="41" applyNumberFormat="1" applyFont="1" applyBorder="1" applyAlignment="1" applyProtection="1">
      <alignment horizontal="center" vertical="distributed" textRotation="255" wrapText="1"/>
      <protection locked="0"/>
    </xf>
    <xf numFmtId="0" fontId="3" fillId="0" borderId="12" xfId="41" applyFont="1" applyBorder="1" applyAlignment="1">
      <alignment horizontal="center" vertical="distributed" textRotation="255"/>
    </xf>
    <xf numFmtId="176" fontId="30" fillId="0" borderId="16" xfId="40" applyNumberFormat="1" applyFont="1" applyBorder="1" applyAlignment="1" applyProtection="1">
      <alignment horizontal="center" vertical="center"/>
      <protection locked="0"/>
    </xf>
    <xf numFmtId="0" fontId="3" fillId="0" borderId="0" xfId="40" applyFont="1" applyAlignment="1">
      <alignment horizontal="center" vertical="center"/>
    </xf>
    <xf numFmtId="0" fontId="3" fillId="0" borderId="19" xfId="40" applyFont="1" applyBorder="1" applyAlignment="1">
      <alignment horizontal="center"/>
    </xf>
    <xf numFmtId="0" fontId="3" fillId="0" borderId="21" xfId="40" applyFont="1" applyBorder="1" applyAlignment="1">
      <alignment horizontal="center"/>
    </xf>
    <xf numFmtId="0" fontId="3" fillId="0" borderId="19" xfId="40" applyFont="1" applyBorder="1" applyAlignment="1" applyProtection="1">
      <alignment horizontal="center"/>
      <protection locked="0"/>
    </xf>
    <xf numFmtId="0" fontId="3" fillId="0" borderId="21" xfId="40" applyFont="1" applyBorder="1" applyAlignment="1" applyProtection="1">
      <alignment horizontal="center"/>
      <protection locked="0"/>
    </xf>
    <xf numFmtId="177" fontId="3" fillId="0" borderId="11" xfId="43" applyNumberFormat="1" applyFont="1" applyBorder="1" applyAlignment="1" applyProtection="1">
      <alignment horizontal="center"/>
      <protection locked="0"/>
    </xf>
    <xf numFmtId="177" fontId="3" fillId="0" borderId="15" xfId="43" applyNumberFormat="1" applyFont="1" applyBorder="1" applyAlignment="1" applyProtection="1">
      <alignment horizontal="center"/>
      <protection locked="0"/>
    </xf>
    <xf numFmtId="177" fontId="3" fillId="0" borderId="19" xfId="43" applyNumberFormat="1" applyFont="1" applyBorder="1" applyAlignment="1" applyProtection="1">
      <alignment horizontal="center"/>
      <protection locked="0"/>
    </xf>
    <xf numFmtId="177" fontId="3" fillId="0" borderId="20" xfId="43" applyNumberFormat="1" applyFont="1" applyBorder="1" applyAlignment="1" applyProtection="1">
      <alignment horizontal="center"/>
      <protection locked="0"/>
    </xf>
    <xf numFmtId="177" fontId="3" fillId="0" borderId="21" xfId="43" applyNumberFormat="1" applyFont="1" applyBorder="1" applyAlignment="1" applyProtection="1">
      <alignment horizontal="center"/>
      <protection locked="0"/>
    </xf>
    <xf numFmtId="0" fontId="3" fillId="0" borderId="19" xfId="43" applyFont="1" applyBorder="1" applyAlignment="1">
      <alignment horizontal="center"/>
    </xf>
    <xf numFmtId="0" fontId="3" fillId="0" borderId="21" xfId="43" applyFont="1" applyBorder="1" applyAlignment="1">
      <alignment horizontal="center"/>
    </xf>
    <xf numFmtId="176" fontId="3" fillId="0" borderId="19" xfId="43" applyNumberFormat="1" applyFont="1" applyBorder="1" applyAlignment="1" applyProtection="1">
      <alignment horizontal="center" vertical="center"/>
      <protection locked="0"/>
    </xf>
    <xf numFmtId="176" fontId="3" fillId="0" borderId="20" xfId="43" applyNumberFormat="1" applyFont="1" applyBorder="1" applyAlignment="1" applyProtection="1">
      <alignment horizontal="center" vertical="center"/>
      <protection locked="0"/>
    </xf>
    <xf numFmtId="176" fontId="3" fillId="0" borderId="21" xfId="43" applyNumberFormat="1" applyFont="1" applyBorder="1" applyAlignment="1" applyProtection="1">
      <alignment horizontal="center" vertical="center"/>
      <protection locked="0"/>
    </xf>
    <xf numFmtId="176" fontId="3" fillId="0" borderId="19" xfId="43" applyNumberFormat="1" applyFont="1" applyBorder="1" applyAlignment="1" applyProtection="1">
      <alignment horizontal="center" vertical="center" wrapText="1"/>
      <protection locked="0"/>
    </xf>
    <xf numFmtId="0" fontId="2" fillId="0" borderId="24" xfId="41" applyFont="1" applyBorder="1" applyAlignment="1" applyProtection="1">
      <alignment horizontal="center" vertical="distributed" textRotation="255"/>
      <protection locked="0"/>
    </xf>
    <xf numFmtId="0" fontId="3" fillId="0" borderId="22" xfId="41" applyFont="1" applyBorder="1" applyAlignment="1" applyProtection="1">
      <alignment horizontal="center" vertical="distributed" textRotation="255"/>
      <protection locked="0"/>
    </xf>
    <xf numFmtId="0" fontId="3" fillId="0" borderId="23" xfId="41" applyFont="1" applyBorder="1" applyAlignment="1" applyProtection="1">
      <alignment horizontal="center" vertical="distributed" textRotation="255"/>
      <protection locked="0"/>
    </xf>
    <xf numFmtId="0" fontId="3" fillId="0" borderId="19" xfId="41" applyFont="1" applyBorder="1" applyAlignment="1" applyProtection="1">
      <alignment horizontal="center" vertical="distributed" textRotation="255"/>
      <protection locked="0"/>
    </xf>
    <xf numFmtId="0" fontId="3" fillId="0" borderId="24" xfId="41" applyFont="1" applyBorder="1" applyAlignment="1" applyProtection="1">
      <alignment horizontal="center" vertical="distributed" textRotation="255"/>
      <protection locked="0"/>
    </xf>
    <xf numFmtId="176" fontId="3" fillId="0" borderId="20" xfId="43" applyNumberFormat="1" applyFont="1" applyBorder="1" applyAlignment="1" applyProtection="1">
      <alignment horizontal="center" vertical="center" wrapText="1"/>
      <protection locked="0"/>
    </xf>
    <xf numFmtId="176" fontId="3" fillId="0" borderId="21" xfId="43" applyNumberFormat="1" applyFont="1" applyBorder="1" applyAlignment="1" applyProtection="1">
      <alignment horizontal="center" vertical="center" wrapText="1"/>
      <protection locked="0"/>
    </xf>
    <xf numFmtId="0" fontId="3" fillId="0" borderId="20" xfId="43" applyFont="1" applyBorder="1" applyAlignment="1">
      <alignment horizontal="center"/>
    </xf>
    <xf numFmtId="177" fontId="3" fillId="0" borderId="10" xfId="43" applyNumberFormat="1" applyFont="1" applyBorder="1" applyAlignment="1" applyProtection="1">
      <alignment horizontal="center"/>
      <protection locked="0"/>
    </xf>
    <xf numFmtId="176" fontId="30" fillId="0" borderId="18" xfId="40" applyNumberFormat="1" applyFont="1" applyBorder="1" applyAlignment="1" applyProtection="1">
      <alignment horizontal="center" vertical="center"/>
      <protection locked="0"/>
    </xf>
    <xf numFmtId="0" fontId="3" fillId="0" borderId="17" xfId="4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19" xfId="0" applyFont="1" applyBorder="1" applyAlignment="1">
      <alignment horizontal="center" vertical="distributed" shrinkToFit="1"/>
    </xf>
    <xf numFmtId="0" fontId="3" fillId="0" borderId="20" xfId="0" applyFont="1" applyBorder="1" applyAlignment="1">
      <alignment horizontal="center" vertical="distributed" shrinkToFit="1"/>
    </xf>
    <xf numFmtId="0" fontId="3" fillId="0" borderId="21" xfId="0" applyFont="1" applyBorder="1" applyAlignment="1">
      <alignment horizontal="center" vertical="distributed" shrinkToFit="1"/>
    </xf>
    <xf numFmtId="0" fontId="3" fillId="0" borderId="11" xfId="0" applyFont="1" applyBorder="1" applyAlignment="1">
      <alignment horizontal="center" vertical="center" shrinkToFit="1"/>
    </xf>
    <xf numFmtId="0" fontId="3" fillId="0" borderId="10"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9" xfId="0" applyFont="1" applyBorder="1" applyAlignment="1">
      <alignment horizontal="center" vertical="center" wrapText="1"/>
    </xf>
    <xf numFmtId="0" fontId="3" fillId="0" borderId="21" xfId="0" applyFont="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3" fillId="0" borderId="20" xfId="0" applyFont="1" applyBorder="1" applyAlignment="1">
      <alignment horizontal="center" vertical="center" wrapText="1"/>
    </xf>
    <xf numFmtId="0" fontId="3" fillId="0" borderId="0" xfId="37" applyFont="1" applyAlignment="1">
      <alignment horizontal="center" vertical="center" wrapText="1"/>
    </xf>
    <xf numFmtId="0" fontId="3" fillId="0" borderId="10" xfId="37" applyFont="1" applyBorder="1" applyAlignment="1">
      <alignment horizontal="center" vertical="center" wrapText="1"/>
    </xf>
    <xf numFmtId="0" fontId="3" fillId="0" borderId="0" xfId="0" applyFont="1" applyAlignment="1">
      <alignment horizontal="center" vertical="center"/>
    </xf>
    <xf numFmtId="0" fontId="2" fillId="0" borderId="0" xfId="40" applyFont="1" applyAlignment="1">
      <alignment horizontal="center" vertical="center"/>
    </xf>
    <xf numFmtId="0" fontId="2" fillId="0" borderId="0" xfId="0" applyFont="1" applyAlignment="1">
      <alignment horizontal="center" vertical="center"/>
    </xf>
    <xf numFmtId="0" fontId="3" fillId="0" borderId="12" xfId="43" applyFont="1" applyBorder="1" applyAlignment="1">
      <alignment horizontal="center"/>
    </xf>
    <xf numFmtId="177" fontId="3" fillId="0" borderId="12" xfId="43" applyNumberFormat="1" applyFont="1" applyBorder="1" applyAlignment="1" applyProtection="1">
      <alignment horizontal="center"/>
      <protection locked="0"/>
    </xf>
    <xf numFmtId="0" fontId="3" fillId="0" borderId="0" xfId="40" applyFont="1" applyProtection="1">
      <alignment vertical="center"/>
      <protection locked="0"/>
    </xf>
    <xf numFmtId="176" fontId="3" fillId="0" borderId="0" xfId="43" applyNumberFormat="1" applyFont="1" applyProtection="1">
      <alignment vertical="center"/>
      <protection locked="0"/>
    </xf>
    <xf numFmtId="0" fontId="3" fillId="0" borderId="0" xfId="43" applyFont="1">
      <alignment vertical="center"/>
    </xf>
    <xf numFmtId="0" fontId="30" fillId="0" borderId="0" xfId="40" applyFont="1">
      <alignment vertical="center"/>
    </xf>
    <xf numFmtId="176" fontId="30" fillId="0" borderId="0" xfId="40" applyNumberFormat="1" applyFont="1" applyAlignment="1" applyProtection="1">
      <alignment horizontal="center" vertical="center"/>
      <protection locked="0"/>
    </xf>
    <xf numFmtId="176" fontId="30" fillId="0" borderId="0" xfId="40" applyNumberFormat="1" applyFont="1" applyAlignment="1" applyProtection="1">
      <alignment horizontal="left" vertical="center"/>
      <protection locked="0"/>
    </xf>
    <xf numFmtId="0" fontId="30" fillId="0" borderId="0" xfId="0" applyFont="1" applyAlignment="1">
      <alignment horizontal="right" vertical="center"/>
    </xf>
    <xf numFmtId="0" fontId="30" fillId="0" borderId="0" xfId="0" applyFont="1" applyAlignment="1">
      <alignment horizontal="left" vertical="center"/>
    </xf>
    <xf numFmtId="0" fontId="30" fillId="0" borderId="0" xfId="0" applyFont="1" applyAlignment="1">
      <alignment horizontal="center" vertical="center"/>
    </xf>
    <xf numFmtId="176" fontId="30" fillId="0" borderId="0" xfId="43" applyNumberFormat="1" applyFont="1" applyAlignment="1" applyProtection="1">
      <alignment horizontal="center" vertical="center"/>
      <protection locked="0"/>
    </xf>
    <xf numFmtId="176" fontId="33" fillId="0" borderId="10" xfId="40" applyNumberFormat="1" applyFont="1" applyBorder="1" applyProtection="1">
      <alignment vertical="center"/>
      <protection locked="0"/>
    </xf>
    <xf numFmtId="0" fontId="33" fillId="0" borderId="10" xfId="40" applyFont="1" applyBorder="1">
      <alignment vertical="center"/>
    </xf>
    <xf numFmtId="0" fontId="33" fillId="0" borderId="0" xfId="40" applyFont="1">
      <alignment vertical="center"/>
    </xf>
    <xf numFmtId="0" fontId="3" fillId="0" borderId="16"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4" xfId="0" applyFont="1" applyBorder="1" applyAlignment="1">
      <alignment horizontal="center" vertical="center" wrapText="1"/>
    </xf>
    <xf numFmtId="176" fontId="3" fillId="0" borderId="12" xfId="43" applyNumberFormat="1" applyFont="1" applyBorder="1" applyAlignment="1" applyProtection="1">
      <alignment horizontal="center" vertical="distributed" textRotation="255" wrapText="1"/>
      <protection locked="0"/>
    </xf>
    <xf numFmtId="0" fontId="3" fillId="0" borderId="12" xfId="41" applyFont="1" applyBorder="1" applyAlignment="1">
      <alignment vertical="distributed" textRotation="255"/>
    </xf>
    <xf numFmtId="0" fontId="3" fillId="0" borderId="12" xfId="43" applyFont="1" applyBorder="1" applyAlignment="1">
      <alignment horizontal="center" vertical="distributed"/>
    </xf>
    <xf numFmtId="0" fontId="3" fillId="0" borderId="11" xfId="0" applyFont="1" applyBorder="1" applyAlignment="1">
      <alignment horizontal="center" vertical="center" wrapText="1"/>
    </xf>
    <xf numFmtId="0" fontId="3" fillId="0" borderId="15" xfId="0" applyFont="1" applyBorder="1" applyAlignment="1">
      <alignment horizontal="center" vertical="center" wrapText="1"/>
    </xf>
    <xf numFmtId="0" fontId="8" fillId="0" borderId="0" xfId="0" applyFont="1" applyAlignment="1">
      <alignment horizontal="center" vertical="center" wrapText="1"/>
    </xf>
    <xf numFmtId="0" fontId="8" fillId="0" borderId="16" xfId="0" applyFont="1" applyBorder="1" applyAlignment="1">
      <alignment horizontal="distributed" vertical="center"/>
    </xf>
    <xf numFmtId="0" fontId="7" fillId="0" borderId="13" xfId="0" applyFont="1" applyBorder="1" applyAlignment="1">
      <alignment horizontal="distributed" vertical="center"/>
    </xf>
    <xf numFmtId="0" fontId="8" fillId="0" borderId="0" xfId="0" applyFont="1" applyAlignment="1">
      <alignment horizontal="distributed" vertical="center"/>
    </xf>
    <xf numFmtId="0" fontId="7" fillId="0" borderId="14" xfId="0" applyFont="1" applyBorder="1" applyAlignment="1">
      <alignment horizontal="distributed" vertical="center"/>
    </xf>
    <xf numFmtId="0" fontId="7" fillId="0" borderId="15" xfId="0" applyFont="1" applyBorder="1" applyAlignment="1">
      <alignment horizontal="distributed" vertical="center"/>
    </xf>
    <xf numFmtId="0" fontId="7" fillId="0" borderId="0" xfId="42" applyFont="1" applyProtection="1">
      <alignment vertical="center"/>
      <protection locked="0"/>
    </xf>
    <xf numFmtId="177" fontId="7" fillId="0" borderId="0" xfId="42" applyNumberFormat="1" applyFont="1" applyAlignment="1" applyProtection="1">
      <alignment horizontal="center" vertical="center"/>
      <protection locked="0"/>
    </xf>
    <xf numFmtId="177" fontId="7" fillId="0" borderId="0" xfId="42" applyNumberFormat="1" applyFont="1" applyAlignment="1" applyProtection="1">
      <alignment horizontal="right" vertical="center"/>
      <protection locked="0"/>
    </xf>
    <xf numFmtId="0" fontId="7" fillId="0" borderId="0" xfId="42" applyFont="1" applyAlignment="1">
      <alignment horizontal="right" vertical="center"/>
    </xf>
    <xf numFmtId="0" fontId="7" fillId="0" borderId="0" xfId="0" applyFont="1" applyAlignment="1">
      <alignment horizontal="right"/>
    </xf>
    <xf numFmtId="177" fontId="7" fillId="0" borderId="0" xfId="0" applyNumberFormat="1" applyFont="1" applyAlignment="1" applyProtection="1">
      <alignment horizontal="left" vertical="center"/>
      <protection locked="0"/>
    </xf>
    <xf numFmtId="177" fontId="7" fillId="0" borderId="0" xfId="0" applyNumberFormat="1" applyFont="1" applyAlignment="1" applyProtection="1">
      <alignment horizontal="center" vertical="center"/>
      <protection locked="0"/>
    </xf>
    <xf numFmtId="0" fontId="7" fillId="0" borderId="0" xfId="42" applyFont="1" applyAlignment="1">
      <alignment horizontal="center" vertical="distributed" textRotation="255"/>
    </xf>
    <xf numFmtId="0" fontId="7" fillId="0" borderId="0" xfId="42" applyFont="1" applyAlignment="1" applyProtection="1">
      <alignment horizontal="center" vertical="distributed" textRotation="255"/>
      <protection locked="0"/>
    </xf>
    <xf numFmtId="0" fontId="7" fillId="0" borderId="0" xfId="44" applyFont="1">
      <alignment vertical="center"/>
    </xf>
    <xf numFmtId="177" fontId="7" fillId="0" borderId="0" xfId="42" applyNumberFormat="1" applyFont="1" applyProtection="1">
      <alignment vertical="center"/>
      <protection locked="0"/>
    </xf>
    <xf numFmtId="176" fontId="3" fillId="0" borderId="0" xfId="40" applyNumberFormat="1" applyFont="1" applyAlignment="1" applyProtection="1">
      <alignment horizontal="center" vertical="center"/>
      <protection locked="0"/>
    </xf>
    <xf numFmtId="0" fontId="3" fillId="0" borderId="0" xfId="0" applyFont="1" applyAlignment="1">
      <alignment horizontal="left" vertical="center"/>
    </xf>
  </cellXfs>
  <cellStyles count="91">
    <cellStyle name="20% - 輔色1" xfId="1" builtinId="30" customBuiltin="1"/>
    <cellStyle name="20% - 輔色1 2" xfId="2" xr:uid="{00000000-0005-0000-0000-000001000000}"/>
    <cellStyle name="20% - 輔色2" xfId="3" builtinId="34" customBuiltin="1"/>
    <cellStyle name="20% - 輔色2 2" xfId="4" xr:uid="{00000000-0005-0000-0000-000003000000}"/>
    <cellStyle name="20% - 輔色3" xfId="5" builtinId="38" customBuiltin="1"/>
    <cellStyle name="20% - 輔色3 2" xfId="6" xr:uid="{00000000-0005-0000-0000-000005000000}"/>
    <cellStyle name="20% - 輔色4" xfId="7" builtinId="42" customBuiltin="1"/>
    <cellStyle name="20% - 輔色4 2" xfId="8" xr:uid="{00000000-0005-0000-0000-000007000000}"/>
    <cellStyle name="20% - 輔色5" xfId="9" builtinId="46" customBuiltin="1"/>
    <cellStyle name="20% - 輔色5 2" xfId="10" xr:uid="{00000000-0005-0000-0000-000009000000}"/>
    <cellStyle name="20% - 輔色6" xfId="11" builtinId="50" customBuiltin="1"/>
    <cellStyle name="20% - 輔色6 2" xfId="12" xr:uid="{00000000-0005-0000-0000-00000B000000}"/>
    <cellStyle name="40% - 輔色1" xfId="13" builtinId="31" customBuiltin="1"/>
    <cellStyle name="40% - 輔色1 2" xfId="14" xr:uid="{00000000-0005-0000-0000-00000D000000}"/>
    <cellStyle name="40% - 輔色2" xfId="15" builtinId="35" customBuiltin="1"/>
    <cellStyle name="40% - 輔色2 2" xfId="16" xr:uid="{00000000-0005-0000-0000-00000F000000}"/>
    <cellStyle name="40% - 輔色3" xfId="17" builtinId="39" customBuiltin="1"/>
    <cellStyle name="40% - 輔色3 2" xfId="18" xr:uid="{00000000-0005-0000-0000-000011000000}"/>
    <cellStyle name="40% - 輔色4" xfId="19" builtinId="43" customBuiltin="1"/>
    <cellStyle name="40% - 輔色4 2" xfId="20" xr:uid="{00000000-0005-0000-0000-000013000000}"/>
    <cellStyle name="40% - 輔色5" xfId="21" builtinId="47" customBuiltin="1"/>
    <cellStyle name="40% - 輔色5 2" xfId="22" xr:uid="{00000000-0005-0000-0000-000015000000}"/>
    <cellStyle name="40% - 輔色6" xfId="23" builtinId="51" customBuiltin="1"/>
    <cellStyle name="40% - 輔色6 2" xfId="24" xr:uid="{00000000-0005-0000-0000-000017000000}"/>
    <cellStyle name="60% - 輔色1" xfId="25" builtinId="32" customBuiltin="1"/>
    <cellStyle name="60% - 輔色1 2" xfId="26" xr:uid="{00000000-0005-0000-0000-000019000000}"/>
    <cellStyle name="60% - 輔色2" xfId="27" builtinId="36" customBuiltin="1"/>
    <cellStyle name="60% - 輔色2 2" xfId="28" xr:uid="{00000000-0005-0000-0000-00001B000000}"/>
    <cellStyle name="60% - 輔色3" xfId="29" builtinId="40" customBuiltin="1"/>
    <cellStyle name="60% - 輔色3 2" xfId="30" xr:uid="{00000000-0005-0000-0000-00001D000000}"/>
    <cellStyle name="60% - 輔色4" xfId="31" builtinId="44" customBuiltin="1"/>
    <cellStyle name="60% - 輔色4 2" xfId="32" xr:uid="{00000000-0005-0000-0000-00001F000000}"/>
    <cellStyle name="60% - 輔色5" xfId="33" builtinId="48" customBuiltin="1"/>
    <cellStyle name="60% - 輔色5 2" xfId="34" xr:uid="{00000000-0005-0000-0000-000021000000}"/>
    <cellStyle name="60% - 輔色6" xfId="35" builtinId="52" customBuiltin="1"/>
    <cellStyle name="60% - 輔色6 2" xfId="36" xr:uid="{00000000-0005-0000-0000-000023000000}"/>
    <cellStyle name="一般" xfId="0" builtinId="0"/>
    <cellStyle name="一般 2" xfId="37" xr:uid="{00000000-0005-0000-0000-000025000000}"/>
    <cellStyle name="一般 4" xfId="38" xr:uid="{00000000-0005-0000-0000-000026000000}"/>
    <cellStyle name="一般_1622-01-01(食品衛生類)" xfId="39" xr:uid="{00000000-0005-0000-0000-000027000000}"/>
    <cellStyle name="一般_台灣地區食品衛生管理工作" xfId="40" xr:uid="{00000000-0005-0000-0000-000028000000}"/>
    <cellStyle name="一般_台灣地區食品衛生管理工作 (續五)" xfId="41" xr:uid="{00000000-0005-0000-0000-000029000000}"/>
    <cellStyle name="一般_台灣地區食品衛生管理工作 (續完)" xfId="42" xr:uid="{00000000-0005-0000-0000-00002A000000}"/>
    <cellStyle name="一般_台灣地區食品衛生管理工作(續一）" xfId="43" xr:uid="{00000000-0005-0000-0000-00002B000000}"/>
    <cellStyle name="一般_台灣地區食品衛生管理工作(續八)" xfId="44" xr:uid="{00000000-0005-0000-0000-00002C000000}"/>
    <cellStyle name="中等" xfId="45" builtinId="28" customBuiltin="1"/>
    <cellStyle name="中等 2" xfId="46" xr:uid="{00000000-0005-0000-0000-00002E000000}"/>
    <cellStyle name="合計" xfId="47" builtinId="25" customBuiltin="1"/>
    <cellStyle name="合計 2" xfId="48" xr:uid="{00000000-0005-0000-0000-000030000000}"/>
    <cellStyle name="好" xfId="49" builtinId="26" customBuiltin="1"/>
    <cellStyle name="好 2" xfId="50" xr:uid="{00000000-0005-0000-0000-000032000000}"/>
    <cellStyle name="計算方式" xfId="51" builtinId="22" customBuiltin="1"/>
    <cellStyle name="計算方式 2" xfId="52" xr:uid="{00000000-0005-0000-0000-000034000000}"/>
    <cellStyle name="連結的儲存格" xfId="53" builtinId="24" customBuiltin="1"/>
    <cellStyle name="連結的儲存格 2" xfId="54" xr:uid="{00000000-0005-0000-0000-000036000000}"/>
    <cellStyle name="備註" xfId="55" builtinId="10" customBuiltin="1"/>
    <cellStyle name="備註 2" xfId="56" xr:uid="{00000000-0005-0000-0000-000038000000}"/>
    <cellStyle name="說明文字" xfId="57" builtinId="53" customBuiltin="1"/>
    <cellStyle name="說明文字 2" xfId="58" xr:uid="{00000000-0005-0000-0000-00003A000000}"/>
    <cellStyle name="輔色1" xfId="59" builtinId="29" customBuiltin="1"/>
    <cellStyle name="輔色1 2" xfId="60" xr:uid="{00000000-0005-0000-0000-00003C000000}"/>
    <cellStyle name="輔色2" xfId="61" builtinId="33" customBuiltin="1"/>
    <cellStyle name="輔色2 2" xfId="62" xr:uid="{00000000-0005-0000-0000-00003E000000}"/>
    <cellStyle name="輔色3" xfId="63" builtinId="37" customBuiltin="1"/>
    <cellStyle name="輔色3 2" xfId="64" xr:uid="{00000000-0005-0000-0000-000040000000}"/>
    <cellStyle name="輔色4" xfId="65" builtinId="41" customBuiltin="1"/>
    <cellStyle name="輔色4 2" xfId="66" xr:uid="{00000000-0005-0000-0000-000042000000}"/>
    <cellStyle name="輔色5" xfId="67" builtinId="45" customBuiltin="1"/>
    <cellStyle name="輔色5 2" xfId="68" xr:uid="{00000000-0005-0000-0000-000044000000}"/>
    <cellStyle name="輔色6" xfId="69" builtinId="49" customBuiltin="1"/>
    <cellStyle name="輔色6 2" xfId="70" xr:uid="{00000000-0005-0000-0000-000046000000}"/>
    <cellStyle name="標題" xfId="71" builtinId="15" customBuiltin="1"/>
    <cellStyle name="標題 1" xfId="72" builtinId="16" customBuiltin="1"/>
    <cellStyle name="標題 1 2" xfId="73" xr:uid="{00000000-0005-0000-0000-000049000000}"/>
    <cellStyle name="標題 2" xfId="74" builtinId="17" customBuiltin="1"/>
    <cellStyle name="標題 2 2" xfId="75" xr:uid="{00000000-0005-0000-0000-00004B000000}"/>
    <cellStyle name="標題 3" xfId="76" builtinId="18" customBuiltin="1"/>
    <cellStyle name="標題 3 2" xfId="77" xr:uid="{00000000-0005-0000-0000-00004D000000}"/>
    <cellStyle name="標題 4" xfId="78" builtinId="19" customBuiltin="1"/>
    <cellStyle name="標題 4 2" xfId="79" xr:uid="{00000000-0005-0000-0000-00004F000000}"/>
    <cellStyle name="標題 5" xfId="80" xr:uid="{00000000-0005-0000-0000-000050000000}"/>
    <cellStyle name="輸入" xfId="81" builtinId="20" customBuiltin="1"/>
    <cellStyle name="輸入 2" xfId="82" xr:uid="{00000000-0005-0000-0000-000052000000}"/>
    <cellStyle name="輸出" xfId="83" builtinId="21" customBuiltin="1"/>
    <cellStyle name="輸出 2" xfId="84" xr:uid="{00000000-0005-0000-0000-000054000000}"/>
    <cellStyle name="檢查儲存格" xfId="85" builtinId="23" customBuiltin="1"/>
    <cellStyle name="檢查儲存格 2" xfId="86" xr:uid="{00000000-0005-0000-0000-000056000000}"/>
    <cellStyle name="壞" xfId="87" builtinId="27" customBuiltin="1"/>
    <cellStyle name="壞 2" xfId="88" xr:uid="{00000000-0005-0000-0000-000058000000}"/>
    <cellStyle name="警告文字" xfId="89" builtinId="11" customBuiltin="1"/>
    <cellStyle name="警告文字 2" xfId="90" xr:uid="{00000000-0005-0000-0000-00005A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2</xdr:col>
      <xdr:colOff>0</xdr:colOff>
      <xdr:row>12</xdr:row>
      <xdr:rowOff>219075</xdr:rowOff>
    </xdr:to>
    <xdr:sp macro="" textlink="">
      <xdr:nvSpPr>
        <xdr:cNvPr id="2" name="AutoShape 200">
          <a:extLst>
            <a:ext uri="{FF2B5EF4-FFF2-40B4-BE49-F238E27FC236}">
              <a16:creationId xmlns:a16="http://schemas.microsoft.com/office/drawing/2014/main" id="{F7F92E94-99DC-48F7-AC3D-622F30DA92D7}"/>
            </a:ext>
          </a:extLst>
        </xdr:cNvPr>
        <xdr:cNvSpPr>
          <a:spLocks/>
        </xdr:cNvSpPr>
      </xdr:nvSpPr>
      <xdr:spPr bwMode="auto">
        <a:xfrm>
          <a:off x="899160" y="29337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3" name="AutoShape 201">
          <a:extLst>
            <a:ext uri="{FF2B5EF4-FFF2-40B4-BE49-F238E27FC236}">
              <a16:creationId xmlns:a16="http://schemas.microsoft.com/office/drawing/2014/main" id="{9D1342DA-C56C-4C29-A17E-1B9EAD22DF40}"/>
            </a:ext>
          </a:extLst>
        </xdr:cNvPr>
        <xdr:cNvSpPr>
          <a:spLocks/>
        </xdr:cNvSpPr>
      </xdr:nvSpPr>
      <xdr:spPr bwMode="auto">
        <a:xfrm>
          <a:off x="899160" y="38785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4" name="AutoShape 202">
          <a:extLst>
            <a:ext uri="{FF2B5EF4-FFF2-40B4-BE49-F238E27FC236}">
              <a16:creationId xmlns:a16="http://schemas.microsoft.com/office/drawing/2014/main" id="{7C8D6EC5-9060-4812-AAAC-1EDF3BF8EEF3}"/>
            </a:ext>
          </a:extLst>
        </xdr:cNvPr>
        <xdr:cNvSpPr>
          <a:spLocks/>
        </xdr:cNvSpPr>
      </xdr:nvSpPr>
      <xdr:spPr bwMode="auto">
        <a:xfrm>
          <a:off x="899160" y="57683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2</xdr:col>
      <xdr:colOff>0</xdr:colOff>
      <xdr:row>14</xdr:row>
      <xdr:rowOff>219075</xdr:rowOff>
    </xdr:to>
    <xdr:sp macro="" textlink="">
      <xdr:nvSpPr>
        <xdr:cNvPr id="5" name="AutoShape 203">
          <a:extLst>
            <a:ext uri="{FF2B5EF4-FFF2-40B4-BE49-F238E27FC236}">
              <a16:creationId xmlns:a16="http://schemas.microsoft.com/office/drawing/2014/main" id="{C3F30154-2901-4531-8FDA-723B9675B4BF}"/>
            </a:ext>
          </a:extLst>
        </xdr:cNvPr>
        <xdr:cNvSpPr>
          <a:spLocks/>
        </xdr:cNvSpPr>
      </xdr:nvSpPr>
      <xdr:spPr bwMode="auto">
        <a:xfrm>
          <a:off x="899160" y="3406140"/>
          <a:ext cx="60960" cy="417195"/>
        </a:xfrm>
        <a:prstGeom prst="leftBrace">
          <a:avLst>
            <a:gd name="adj1" fmla="val 5150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6" name="AutoShape 204">
          <a:extLst>
            <a:ext uri="{FF2B5EF4-FFF2-40B4-BE49-F238E27FC236}">
              <a16:creationId xmlns:a16="http://schemas.microsoft.com/office/drawing/2014/main" id="{8A90DBD7-C6AD-4446-833C-F0EF03E85E7C}"/>
            </a:ext>
          </a:extLst>
        </xdr:cNvPr>
        <xdr:cNvSpPr>
          <a:spLocks/>
        </xdr:cNvSpPr>
      </xdr:nvSpPr>
      <xdr:spPr bwMode="auto">
        <a:xfrm>
          <a:off x="899160" y="62407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7" name="AutoShape 205">
          <a:extLst>
            <a:ext uri="{FF2B5EF4-FFF2-40B4-BE49-F238E27FC236}">
              <a16:creationId xmlns:a16="http://schemas.microsoft.com/office/drawing/2014/main" id="{8CD921BF-D75C-4027-B754-077A2C5848A0}"/>
            </a:ext>
          </a:extLst>
        </xdr:cNvPr>
        <xdr:cNvSpPr>
          <a:spLocks/>
        </xdr:cNvSpPr>
      </xdr:nvSpPr>
      <xdr:spPr bwMode="auto">
        <a:xfrm>
          <a:off x="899160" y="43510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8" name="AutoShape 206">
          <a:extLst>
            <a:ext uri="{FF2B5EF4-FFF2-40B4-BE49-F238E27FC236}">
              <a16:creationId xmlns:a16="http://schemas.microsoft.com/office/drawing/2014/main" id="{10AFCAC9-DDD1-41A2-A0FF-79F7B02E8580}"/>
            </a:ext>
          </a:extLst>
        </xdr:cNvPr>
        <xdr:cNvSpPr>
          <a:spLocks/>
        </xdr:cNvSpPr>
      </xdr:nvSpPr>
      <xdr:spPr bwMode="auto">
        <a:xfrm>
          <a:off x="899160" y="67132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9" name="AutoShape 207">
          <a:extLst>
            <a:ext uri="{FF2B5EF4-FFF2-40B4-BE49-F238E27FC236}">
              <a16:creationId xmlns:a16="http://schemas.microsoft.com/office/drawing/2014/main" id="{81ED6FE2-EBF2-4D12-9463-A5EBB12B0F4B}"/>
            </a:ext>
          </a:extLst>
        </xdr:cNvPr>
        <xdr:cNvSpPr>
          <a:spLocks/>
        </xdr:cNvSpPr>
      </xdr:nvSpPr>
      <xdr:spPr bwMode="auto">
        <a:xfrm>
          <a:off x="899160" y="71856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0" name="AutoShape 209">
          <a:extLst>
            <a:ext uri="{FF2B5EF4-FFF2-40B4-BE49-F238E27FC236}">
              <a16:creationId xmlns:a16="http://schemas.microsoft.com/office/drawing/2014/main" id="{69382C92-0E99-4E59-A822-D2A9913297A8}"/>
            </a:ext>
          </a:extLst>
        </xdr:cNvPr>
        <xdr:cNvSpPr>
          <a:spLocks/>
        </xdr:cNvSpPr>
      </xdr:nvSpPr>
      <xdr:spPr bwMode="auto">
        <a:xfrm>
          <a:off x="899160" y="76581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1" name="AutoShape 210">
          <a:extLst>
            <a:ext uri="{FF2B5EF4-FFF2-40B4-BE49-F238E27FC236}">
              <a16:creationId xmlns:a16="http://schemas.microsoft.com/office/drawing/2014/main" id="{0E3B8042-97EF-4791-861B-665660CE47A0}"/>
            </a:ext>
          </a:extLst>
        </xdr:cNvPr>
        <xdr:cNvSpPr>
          <a:spLocks/>
        </xdr:cNvSpPr>
      </xdr:nvSpPr>
      <xdr:spPr bwMode="auto">
        <a:xfrm>
          <a:off x="899160" y="81305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2" name="AutoShape 215">
          <a:extLst>
            <a:ext uri="{FF2B5EF4-FFF2-40B4-BE49-F238E27FC236}">
              <a16:creationId xmlns:a16="http://schemas.microsoft.com/office/drawing/2014/main" id="{057B9DA4-F08E-4720-8AB5-438EDF8E97EE}"/>
            </a:ext>
          </a:extLst>
        </xdr:cNvPr>
        <xdr:cNvSpPr>
          <a:spLocks/>
        </xdr:cNvSpPr>
      </xdr:nvSpPr>
      <xdr:spPr bwMode="auto">
        <a:xfrm>
          <a:off x="899160" y="48234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3" name="AutoShape 216">
          <a:extLst>
            <a:ext uri="{FF2B5EF4-FFF2-40B4-BE49-F238E27FC236}">
              <a16:creationId xmlns:a16="http://schemas.microsoft.com/office/drawing/2014/main" id="{9D8E97DE-BFAB-4B46-BB7E-A37DD0D48918}"/>
            </a:ext>
          </a:extLst>
        </xdr:cNvPr>
        <xdr:cNvSpPr>
          <a:spLocks/>
        </xdr:cNvSpPr>
      </xdr:nvSpPr>
      <xdr:spPr bwMode="auto">
        <a:xfrm>
          <a:off x="899160" y="52959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4" name="AutoShape 220">
          <a:extLst>
            <a:ext uri="{FF2B5EF4-FFF2-40B4-BE49-F238E27FC236}">
              <a16:creationId xmlns:a16="http://schemas.microsoft.com/office/drawing/2014/main" id="{9CEDB937-4BDA-4CF0-87B7-458C42ED8A6B}"/>
            </a:ext>
          </a:extLst>
        </xdr:cNvPr>
        <xdr:cNvSpPr>
          <a:spLocks/>
        </xdr:cNvSpPr>
      </xdr:nvSpPr>
      <xdr:spPr bwMode="auto">
        <a:xfrm>
          <a:off x="899160" y="95478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5" name="AutoShape 221">
          <a:extLst>
            <a:ext uri="{FF2B5EF4-FFF2-40B4-BE49-F238E27FC236}">
              <a16:creationId xmlns:a16="http://schemas.microsoft.com/office/drawing/2014/main" id="{3D6C5AB9-85F9-4E70-B618-C51E9BD4C41E}"/>
            </a:ext>
          </a:extLst>
        </xdr:cNvPr>
        <xdr:cNvSpPr>
          <a:spLocks/>
        </xdr:cNvSpPr>
      </xdr:nvSpPr>
      <xdr:spPr bwMode="auto">
        <a:xfrm>
          <a:off x="899160" y="100203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6" name="AutoShape 222">
          <a:extLst>
            <a:ext uri="{FF2B5EF4-FFF2-40B4-BE49-F238E27FC236}">
              <a16:creationId xmlns:a16="http://schemas.microsoft.com/office/drawing/2014/main" id="{D3B2FE4D-BA87-4B8C-8254-6F78A34CFDB9}"/>
            </a:ext>
          </a:extLst>
        </xdr:cNvPr>
        <xdr:cNvSpPr>
          <a:spLocks/>
        </xdr:cNvSpPr>
      </xdr:nvSpPr>
      <xdr:spPr bwMode="auto">
        <a:xfrm>
          <a:off x="899160" y="104927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7" name="AutoShape 223">
          <a:extLst>
            <a:ext uri="{FF2B5EF4-FFF2-40B4-BE49-F238E27FC236}">
              <a16:creationId xmlns:a16="http://schemas.microsoft.com/office/drawing/2014/main" id="{E3B21068-4B98-44AB-8DED-E75E8238B352}"/>
            </a:ext>
          </a:extLst>
        </xdr:cNvPr>
        <xdr:cNvSpPr>
          <a:spLocks/>
        </xdr:cNvSpPr>
      </xdr:nvSpPr>
      <xdr:spPr bwMode="auto">
        <a:xfrm>
          <a:off x="899160" y="109651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8" name="AutoShape 224">
          <a:extLst>
            <a:ext uri="{FF2B5EF4-FFF2-40B4-BE49-F238E27FC236}">
              <a16:creationId xmlns:a16="http://schemas.microsoft.com/office/drawing/2014/main" id="{97A2AB15-E3B4-4C72-A814-EC7204C8106D}"/>
            </a:ext>
          </a:extLst>
        </xdr:cNvPr>
        <xdr:cNvSpPr>
          <a:spLocks/>
        </xdr:cNvSpPr>
      </xdr:nvSpPr>
      <xdr:spPr bwMode="auto">
        <a:xfrm>
          <a:off x="899160" y="114376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9" name="AutoShape 225">
          <a:extLst>
            <a:ext uri="{FF2B5EF4-FFF2-40B4-BE49-F238E27FC236}">
              <a16:creationId xmlns:a16="http://schemas.microsoft.com/office/drawing/2014/main" id="{3D10F114-AE60-4B9C-AAEE-8ADE3B87FBD4}"/>
            </a:ext>
          </a:extLst>
        </xdr:cNvPr>
        <xdr:cNvSpPr>
          <a:spLocks/>
        </xdr:cNvSpPr>
      </xdr:nvSpPr>
      <xdr:spPr bwMode="auto">
        <a:xfrm>
          <a:off x="899160" y="119100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20" name="AutoShape 226">
          <a:extLst>
            <a:ext uri="{FF2B5EF4-FFF2-40B4-BE49-F238E27FC236}">
              <a16:creationId xmlns:a16="http://schemas.microsoft.com/office/drawing/2014/main" id="{81101145-1747-4A0D-9B22-2D85A28D9B91}"/>
            </a:ext>
          </a:extLst>
        </xdr:cNvPr>
        <xdr:cNvSpPr>
          <a:spLocks/>
        </xdr:cNvSpPr>
      </xdr:nvSpPr>
      <xdr:spPr bwMode="auto">
        <a:xfrm>
          <a:off x="899160" y="123825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21" name="AutoShape 227">
          <a:extLst>
            <a:ext uri="{FF2B5EF4-FFF2-40B4-BE49-F238E27FC236}">
              <a16:creationId xmlns:a16="http://schemas.microsoft.com/office/drawing/2014/main" id="{9D48AC7A-94E3-4F4A-A841-C0B5554ADBDE}"/>
            </a:ext>
          </a:extLst>
        </xdr:cNvPr>
        <xdr:cNvSpPr>
          <a:spLocks/>
        </xdr:cNvSpPr>
      </xdr:nvSpPr>
      <xdr:spPr bwMode="auto">
        <a:xfrm>
          <a:off x="899160" y="133273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22" name="AutoShape 228">
          <a:extLst>
            <a:ext uri="{FF2B5EF4-FFF2-40B4-BE49-F238E27FC236}">
              <a16:creationId xmlns:a16="http://schemas.microsoft.com/office/drawing/2014/main" id="{3863A9B5-F646-4BF6-AB57-8AE9CF743F38}"/>
            </a:ext>
          </a:extLst>
        </xdr:cNvPr>
        <xdr:cNvSpPr>
          <a:spLocks/>
        </xdr:cNvSpPr>
      </xdr:nvSpPr>
      <xdr:spPr bwMode="auto">
        <a:xfrm>
          <a:off x="899160" y="128549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23" name="AutoShape 229">
          <a:extLst>
            <a:ext uri="{FF2B5EF4-FFF2-40B4-BE49-F238E27FC236}">
              <a16:creationId xmlns:a16="http://schemas.microsoft.com/office/drawing/2014/main" id="{43210627-48FF-4A3A-879C-B4E5CA5E9228}"/>
            </a:ext>
          </a:extLst>
        </xdr:cNvPr>
        <xdr:cNvSpPr>
          <a:spLocks/>
        </xdr:cNvSpPr>
      </xdr:nvSpPr>
      <xdr:spPr bwMode="auto">
        <a:xfrm>
          <a:off x="899160" y="86029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24" name="AutoShape 230">
          <a:extLst>
            <a:ext uri="{FF2B5EF4-FFF2-40B4-BE49-F238E27FC236}">
              <a16:creationId xmlns:a16="http://schemas.microsoft.com/office/drawing/2014/main" id="{C251F5A1-0248-426F-BD39-505901307B4D}"/>
            </a:ext>
          </a:extLst>
        </xdr:cNvPr>
        <xdr:cNvSpPr>
          <a:spLocks/>
        </xdr:cNvSpPr>
      </xdr:nvSpPr>
      <xdr:spPr bwMode="auto">
        <a:xfrm>
          <a:off x="899160" y="90754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11</xdr:row>
      <xdr:rowOff>38100</xdr:rowOff>
    </xdr:from>
    <xdr:to>
      <xdr:col>37</xdr:col>
      <xdr:colOff>142875</xdr:colOff>
      <xdr:row>12</xdr:row>
      <xdr:rowOff>219075</xdr:rowOff>
    </xdr:to>
    <xdr:sp macro="" textlink="">
      <xdr:nvSpPr>
        <xdr:cNvPr id="25" name="AutoShape 200">
          <a:extLst>
            <a:ext uri="{FF2B5EF4-FFF2-40B4-BE49-F238E27FC236}">
              <a16:creationId xmlns:a16="http://schemas.microsoft.com/office/drawing/2014/main" id="{331A92F9-10CA-41BD-9D63-A72639E262EE}"/>
            </a:ext>
          </a:extLst>
        </xdr:cNvPr>
        <xdr:cNvSpPr>
          <a:spLocks/>
        </xdr:cNvSpPr>
      </xdr:nvSpPr>
      <xdr:spPr bwMode="auto">
        <a:xfrm>
          <a:off x="23827740" y="29337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15</xdr:row>
      <xdr:rowOff>38100</xdr:rowOff>
    </xdr:from>
    <xdr:to>
      <xdr:col>37</xdr:col>
      <xdr:colOff>142875</xdr:colOff>
      <xdr:row>16</xdr:row>
      <xdr:rowOff>219075</xdr:rowOff>
    </xdr:to>
    <xdr:sp macro="" textlink="">
      <xdr:nvSpPr>
        <xdr:cNvPr id="26" name="AutoShape 201">
          <a:extLst>
            <a:ext uri="{FF2B5EF4-FFF2-40B4-BE49-F238E27FC236}">
              <a16:creationId xmlns:a16="http://schemas.microsoft.com/office/drawing/2014/main" id="{20D67756-CA34-47FA-8887-69323B823707}"/>
            </a:ext>
          </a:extLst>
        </xdr:cNvPr>
        <xdr:cNvSpPr>
          <a:spLocks/>
        </xdr:cNvSpPr>
      </xdr:nvSpPr>
      <xdr:spPr bwMode="auto">
        <a:xfrm>
          <a:off x="23827740" y="38785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23</xdr:row>
      <xdr:rowOff>38100</xdr:rowOff>
    </xdr:from>
    <xdr:to>
      <xdr:col>37</xdr:col>
      <xdr:colOff>142875</xdr:colOff>
      <xdr:row>24</xdr:row>
      <xdr:rowOff>219075</xdr:rowOff>
    </xdr:to>
    <xdr:sp macro="" textlink="">
      <xdr:nvSpPr>
        <xdr:cNvPr id="27" name="AutoShape 202">
          <a:extLst>
            <a:ext uri="{FF2B5EF4-FFF2-40B4-BE49-F238E27FC236}">
              <a16:creationId xmlns:a16="http://schemas.microsoft.com/office/drawing/2014/main" id="{5F080B68-2ACE-4055-950B-FA72B1E59D55}"/>
            </a:ext>
          </a:extLst>
        </xdr:cNvPr>
        <xdr:cNvSpPr>
          <a:spLocks/>
        </xdr:cNvSpPr>
      </xdr:nvSpPr>
      <xdr:spPr bwMode="auto">
        <a:xfrm>
          <a:off x="23827740" y="57683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13</xdr:row>
      <xdr:rowOff>38100</xdr:rowOff>
    </xdr:from>
    <xdr:to>
      <xdr:col>37</xdr:col>
      <xdr:colOff>142875</xdr:colOff>
      <xdr:row>14</xdr:row>
      <xdr:rowOff>219075</xdr:rowOff>
    </xdr:to>
    <xdr:sp macro="" textlink="">
      <xdr:nvSpPr>
        <xdr:cNvPr id="28" name="AutoShape 203">
          <a:extLst>
            <a:ext uri="{FF2B5EF4-FFF2-40B4-BE49-F238E27FC236}">
              <a16:creationId xmlns:a16="http://schemas.microsoft.com/office/drawing/2014/main" id="{6A9C8F18-0612-49D8-B93A-1CD9BA9F29AD}"/>
            </a:ext>
          </a:extLst>
        </xdr:cNvPr>
        <xdr:cNvSpPr>
          <a:spLocks/>
        </xdr:cNvSpPr>
      </xdr:nvSpPr>
      <xdr:spPr bwMode="auto">
        <a:xfrm>
          <a:off x="23827740" y="34061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25</xdr:row>
      <xdr:rowOff>38100</xdr:rowOff>
    </xdr:from>
    <xdr:to>
      <xdr:col>37</xdr:col>
      <xdr:colOff>142875</xdr:colOff>
      <xdr:row>26</xdr:row>
      <xdr:rowOff>219075</xdr:rowOff>
    </xdr:to>
    <xdr:sp macro="" textlink="">
      <xdr:nvSpPr>
        <xdr:cNvPr id="29" name="AutoShape 204">
          <a:extLst>
            <a:ext uri="{FF2B5EF4-FFF2-40B4-BE49-F238E27FC236}">
              <a16:creationId xmlns:a16="http://schemas.microsoft.com/office/drawing/2014/main" id="{9BA9ECF4-FC28-48FD-9005-EDB88E672527}"/>
            </a:ext>
          </a:extLst>
        </xdr:cNvPr>
        <xdr:cNvSpPr>
          <a:spLocks/>
        </xdr:cNvSpPr>
      </xdr:nvSpPr>
      <xdr:spPr bwMode="auto">
        <a:xfrm>
          <a:off x="23827740" y="62407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17</xdr:row>
      <xdr:rowOff>38100</xdr:rowOff>
    </xdr:from>
    <xdr:to>
      <xdr:col>37</xdr:col>
      <xdr:colOff>142875</xdr:colOff>
      <xdr:row>18</xdr:row>
      <xdr:rowOff>219075</xdr:rowOff>
    </xdr:to>
    <xdr:sp macro="" textlink="">
      <xdr:nvSpPr>
        <xdr:cNvPr id="30" name="AutoShape 205">
          <a:extLst>
            <a:ext uri="{FF2B5EF4-FFF2-40B4-BE49-F238E27FC236}">
              <a16:creationId xmlns:a16="http://schemas.microsoft.com/office/drawing/2014/main" id="{F058F0E6-96D8-4FDA-9E42-B6FEAD776363}"/>
            </a:ext>
          </a:extLst>
        </xdr:cNvPr>
        <xdr:cNvSpPr>
          <a:spLocks/>
        </xdr:cNvSpPr>
      </xdr:nvSpPr>
      <xdr:spPr bwMode="auto">
        <a:xfrm>
          <a:off x="23827740" y="43510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27</xdr:row>
      <xdr:rowOff>38100</xdr:rowOff>
    </xdr:from>
    <xdr:to>
      <xdr:col>37</xdr:col>
      <xdr:colOff>142875</xdr:colOff>
      <xdr:row>28</xdr:row>
      <xdr:rowOff>219075</xdr:rowOff>
    </xdr:to>
    <xdr:sp macro="" textlink="">
      <xdr:nvSpPr>
        <xdr:cNvPr id="31" name="AutoShape 206">
          <a:extLst>
            <a:ext uri="{FF2B5EF4-FFF2-40B4-BE49-F238E27FC236}">
              <a16:creationId xmlns:a16="http://schemas.microsoft.com/office/drawing/2014/main" id="{08376BC7-9635-4098-A456-4AE0123D5E6F}"/>
            </a:ext>
          </a:extLst>
        </xdr:cNvPr>
        <xdr:cNvSpPr>
          <a:spLocks/>
        </xdr:cNvSpPr>
      </xdr:nvSpPr>
      <xdr:spPr bwMode="auto">
        <a:xfrm>
          <a:off x="23827740" y="67132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29</xdr:row>
      <xdr:rowOff>38100</xdr:rowOff>
    </xdr:from>
    <xdr:to>
      <xdr:col>37</xdr:col>
      <xdr:colOff>142875</xdr:colOff>
      <xdr:row>30</xdr:row>
      <xdr:rowOff>219075</xdr:rowOff>
    </xdr:to>
    <xdr:sp macro="" textlink="">
      <xdr:nvSpPr>
        <xdr:cNvPr id="32" name="AutoShape 207">
          <a:extLst>
            <a:ext uri="{FF2B5EF4-FFF2-40B4-BE49-F238E27FC236}">
              <a16:creationId xmlns:a16="http://schemas.microsoft.com/office/drawing/2014/main" id="{BB4ED7A0-837B-4897-8D71-BB815AF4AFF8}"/>
            </a:ext>
          </a:extLst>
        </xdr:cNvPr>
        <xdr:cNvSpPr>
          <a:spLocks/>
        </xdr:cNvSpPr>
      </xdr:nvSpPr>
      <xdr:spPr bwMode="auto">
        <a:xfrm>
          <a:off x="23827740" y="71856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31</xdr:row>
      <xdr:rowOff>38100</xdr:rowOff>
    </xdr:from>
    <xdr:to>
      <xdr:col>37</xdr:col>
      <xdr:colOff>142875</xdr:colOff>
      <xdr:row>32</xdr:row>
      <xdr:rowOff>219075</xdr:rowOff>
    </xdr:to>
    <xdr:sp macro="" textlink="">
      <xdr:nvSpPr>
        <xdr:cNvPr id="33" name="AutoShape 209">
          <a:extLst>
            <a:ext uri="{FF2B5EF4-FFF2-40B4-BE49-F238E27FC236}">
              <a16:creationId xmlns:a16="http://schemas.microsoft.com/office/drawing/2014/main" id="{76852032-8E59-4F6F-92A0-A46583C6A507}"/>
            </a:ext>
          </a:extLst>
        </xdr:cNvPr>
        <xdr:cNvSpPr>
          <a:spLocks/>
        </xdr:cNvSpPr>
      </xdr:nvSpPr>
      <xdr:spPr bwMode="auto">
        <a:xfrm>
          <a:off x="23827740" y="76581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33</xdr:row>
      <xdr:rowOff>38100</xdr:rowOff>
    </xdr:from>
    <xdr:to>
      <xdr:col>37</xdr:col>
      <xdr:colOff>142875</xdr:colOff>
      <xdr:row>34</xdr:row>
      <xdr:rowOff>219075</xdr:rowOff>
    </xdr:to>
    <xdr:sp macro="" textlink="">
      <xdr:nvSpPr>
        <xdr:cNvPr id="34" name="AutoShape 210">
          <a:extLst>
            <a:ext uri="{FF2B5EF4-FFF2-40B4-BE49-F238E27FC236}">
              <a16:creationId xmlns:a16="http://schemas.microsoft.com/office/drawing/2014/main" id="{BEAEC52C-3643-4EE4-A19E-41DD53EC59B9}"/>
            </a:ext>
          </a:extLst>
        </xdr:cNvPr>
        <xdr:cNvSpPr>
          <a:spLocks/>
        </xdr:cNvSpPr>
      </xdr:nvSpPr>
      <xdr:spPr bwMode="auto">
        <a:xfrm>
          <a:off x="23827740" y="81305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19</xdr:row>
      <xdr:rowOff>38100</xdr:rowOff>
    </xdr:from>
    <xdr:to>
      <xdr:col>37</xdr:col>
      <xdr:colOff>142875</xdr:colOff>
      <xdr:row>20</xdr:row>
      <xdr:rowOff>219075</xdr:rowOff>
    </xdr:to>
    <xdr:sp macro="" textlink="">
      <xdr:nvSpPr>
        <xdr:cNvPr id="35" name="AutoShape 215">
          <a:extLst>
            <a:ext uri="{FF2B5EF4-FFF2-40B4-BE49-F238E27FC236}">
              <a16:creationId xmlns:a16="http://schemas.microsoft.com/office/drawing/2014/main" id="{B65B5A8C-4E6C-4AC6-B607-1ED7FC8B8E2E}"/>
            </a:ext>
          </a:extLst>
        </xdr:cNvPr>
        <xdr:cNvSpPr>
          <a:spLocks/>
        </xdr:cNvSpPr>
      </xdr:nvSpPr>
      <xdr:spPr bwMode="auto">
        <a:xfrm>
          <a:off x="23827740" y="48234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21</xdr:row>
      <xdr:rowOff>38100</xdr:rowOff>
    </xdr:from>
    <xdr:to>
      <xdr:col>37</xdr:col>
      <xdr:colOff>142875</xdr:colOff>
      <xdr:row>22</xdr:row>
      <xdr:rowOff>219075</xdr:rowOff>
    </xdr:to>
    <xdr:sp macro="" textlink="">
      <xdr:nvSpPr>
        <xdr:cNvPr id="36" name="AutoShape 216">
          <a:extLst>
            <a:ext uri="{FF2B5EF4-FFF2-40B4-BE49-F238E27FC236}">
              <a16:creationId xmlns:a16="http://schemas.microsoft.com/office/drawing/2014/main" id="{DDA9DB04-8DC2-41D6-96C2-9ABEE42D0CCD}"/>
            </a:ext>
          </a:extLst>
        </xdr:cNvPr>
        <xdr:cNvSpPr>
          <a:spLocks/>
        </xdr:cNvSpPr>
      </xdr:nvSpPr>
      <xdr:spPr bwMode="auto">
        <a:xfrm>
          <a:off x="23827740" y="52959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39</xdr:row>
      <xdr:rowOff>38100</xdr:rowOff>
    </xdr:from>
    <xdr:to>
      <xdr:col>37</xdr:col>
      <xdr:colOff>142875</xdr:colOff>
      <xdr:row>40</xdr:row>
      <xdr:rowOff>219075</xdr:rowOff>
    </xdr:to>
    <xdr:sp macro="" textlink="">
      <xdr:nvSpPr>
        <xdr:cNvPr id="37" name="AutoShape 220">
          <a:extLst>
            <a:ext uri="{FF2B5EF4-FFF2-40B4-BE49-F238E27FC236}">
              <a16:creationId xmlns:a16="http://schemas.microsoft.com/office/drawing/2014/main" id="{0CEA980C-3CC2-463E-8705-3946FB2C2AA0}"/>
            </a:ext>
          </a:extLst>
        </xdr:cNvPr>
        <xdr:cNvSpPr>
          <a:spLocks/>
        </xdr:cNvSpPr>
      </xdr:nvSpPr>
      <xdr:spPr bwMode="auto">
        <a:xfrm>
          <a:off x="23827740" y="95478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41</xdr:row>
      <xdr:rowOff>38100</xdr:rowOff>
    </xdr:from>
    <xdr:to>
      <xdr:col>37</xdr:col>
      <xdr:colOff>142875</xdr:colOff>
      <xdr:row>42</xdr:row>
      <xdr:rowOff>219075</xdr:rowOff>
    </xdr:to>
    <xdr:sp macro="" textlink="">
      <xdr:nvSpPr>
        <xdr:cNvPr id="38" name="AutoShape 221">
          <a:extLst>
            <a:ext uri="{FF2B5EF4-FFF2-40B4-BE49-F238E27FC236}">
              <a16:creationId xmlns:a16="http://schemas.microsoft.com/office/drawing/2014/main" id="{0438CF55-BDE9-4678-8FBE-BDAA6D2E823A}"/>
            </a:ext>
          </a:extLst>
        </xdr:cNvPr>
        <xdr:cNvSpPr>
          <a:spLocks/>
        </xdr:cNvSpPr>
      </xdr:nvSpPr>
      <xdr:spPr bwMode="auto">
        <a:xfrm>
          <a:off x="23827740" y="100203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43</xdr:row>
      <xdr:rowOff>38100</xdr:rowOff>
    </xdr:from>
    <xdr:to>
      <xdr:col>37</xdr:col>
      <xdr:colOff>142875</xdr:colOff>
      <xdr:row>44</xdr:row>
      <xdr:rowOff>219075</xdr:rowOff>
    </xdr:to>
    <xdr:sp macro="" textlink="">
      <xdr:nvSpPr>
        <xdr:cNvPr id="39" name="AutoShape 222">
          <a:extLst>
            <a:ext uri="{FF2B5EF4-FFF2-40B4-BE49-F238E27FC236}">
              <a16:creationId xmlns:a16="http://schemas.microsoft.com/office/drawing/2014/main" id="{E64C4580-4B10-49B0-AC10-76362E7EFC49}"/>
            </a:ext>
          </a:extLst>
        </xdr:cNvPr>
        <xdr:cNvSpPr>
          <a:spLocks/>
        </xdr:cNvSpPr>
      </xdr:nvSpPr>
      <xdr:spPr bwMode="auto">
        <a:xfrm>
          <a:off x="23827740" y="104927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45</xdr:row>
      <xdr:rowOff>38100</xdr:rowOff>
    </xdr:from>
    <xdr:to>
      <xdr:col>37</xdr:col>
      <xdr:colOff>142875</xdr:colOff>
      <xdr:row>46</xdr:row>
      <xdr:rowOff>219075</xdr:rowOff>
    </xdr:to>
    <xdr:sp macro="" textlink="">
      <xdr:nvSpPr>
        <xdr:cNvPr id="40" name="AutoShape 223">
          <a:extLst>
            <a:ext uri="{FF2B5EF4-FFF2-40B4-BE49-F238E27FC236}">
              <a16:creationId xmlns:a16="http://schemas.microsoft.com/office/drawing/2014/main" id="{C4FBD083-4706-4793-B46E-107CE8DB8930}"/>
            </a:ext>
          </a:extLst>
        </xdr:cNvPr>
        <xdr:cNvSpPr>
          <a:spLocks/>
        </xdr:cNvSpPr>
      </xdr:nvSpPr>
      <xdr:spPr bwMode="auto">
        <a:xfrm>
          <a:off x="23827740" y="109651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47</xdr:row>
      <xdr:rowOff>38100</xdr:rowOff>
    </xdr:from>
    <xdr:to>
      <xdr:col>37</xdr:col>
      <xdr:colOff>142875</xdr:colOff>
      <xdr:row>48</xdr:row>
      <xdr:rowOff>219075</xdr:rowOff>
    </xdr:to>
    <xdr:sp macro="" textlink="">
      <xdr:nvSpPr>
        <xdr:cNvPr id="41" name="AutoShape 224">
          <a:extLst>
            <a:ext uri="{FF2B5EF4-FFF2-40B4-BE49-F238E27FC236}">
              <a16:creationId xmlns:a16="http://schemas.microsoft.com/office/drawing/2014/main" id="{3E693A93-EC21-474D-B31A-DB7DB3DFA233}"/>
            </a:ext>
          </a:extLst>
        </xdr:cNvPr>
        <xdr:cNvSpPr>
          <a:spLocks/>
        </xdr:cNvSpPr>
      </xdr:nvSpPr>
      <xdr:spPr bwMode="auto">
        <a:xfrm>
          <a:off x="23827740" y="114376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49</xdr:row>
      <xdr:rowOff>38100</xdr:rowOff>
    </xdr:from>
    <xdr:to>
      <xdr:col>37</xdr:col>
      <xdr:colOff>142875</xdr:colOff>
      <xdr:row>50</xdr:row>
      <xdr:rowOff>219075</xdr:rowOff>
    </xdr:to>
    <xdr:sp macro="" textlink="">
      <xdr:nvSpPr>
        <xdr:cNvPr id="42" name="AutoShape 225">
          <a:extLst>
            <a:ext uri="{FF2B5EF4-FFF2-40B4-BE49-F238E27FC236}">
              <a16:creationId xmlns:a16="http://schemas.microsoft.com/office/drawing/2014/main" id="{364AE4D9-F6B3-4AF2-BCFF-BA7C1BDCC3AA}"/>
            </a:ext>
          </a:extLst>
        </xdr:cNvPr>
        <xdr:cNvSpPr>
          <a:spLocks/>
        </xdr:cNvSpPr>
      </xdr:nvSpPr>
      <xdr:spPr bwMode="auto">
        <a:xfrm>
          <a:off x="23827740" y="119100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51</xdr:row>
      <xdr:rowOff>38100</xdr:rowOff>
    </xdr:from>
    <xdr:to>
      <xdr:col>37</xdr:col>
      <xdr:colOff>142875</xdr:colOff>
      <xdr:row>52</xdr:row>
      <xdr:rowOff>219075</xdr:rowOff>
    </xdr:to>
    <xdr:sp macro="" textlink="">
      <xdr:nvSpPr>
        <xdr:cNvPr id="43" name="AutoShape 226">
          <a:extLst>
            <a:ext uri="{FF2B5EF4-FFF2-40B4-BE49-F238E27FC236}">
              <a16:creationId xmlns:a16="http://schemas.microsoft.com/office/drawing/2014/main" id="{5597A98D-7B89-4BE4-89D3-56845D8E57EC}"/>
            </a:ext>
          </a:extLst>
        </xdr:cNvPr>
        <xdr:cNvSpPr>
          <a:spLocks/>
        </xdr:cNvSpPr>
      </xdr:nvSpPr>
      <xdr:spPr bwMode="auto">
        <a:xfrm>
          <a:off x="23827740" y="123825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55</xdr:row>
      <xdr:rowOff>38100</xdr:rowOff>
    </xdr:from>
    <xdr:to>
      <xdr:col>37</xdr:col>
      <xdr:colOff>142875</xdr:colOff>
      <xdr:row>56</xdr:row>
      <xdr:rowOff>219075</xdr:rowOff>
    </xdr:to>
    <xdr:sp macro="" textlink="">
      <xdr:nvSpPr>
        <xdr:cNvPr id="44" name="AutoShape 227">
          <a:extLst>
            <a:ext uri="{FF2B5EF4-FFF2-40B4-BE49-F238E27FC236}">
              <a16:creationId xmlns:a16="http://schemas.microsoft.com/office/drawing/2014/main" id="{441DD082-41D3-4587-8094-8623BF83DCE1}"/>
            </a:ext>
          </a:extLst>
        </xdr:cNvPr>
        <xdr:cNvSpPr>
          <a:spLocks/>
        </xdr:cNvSpPr>
      </xdr:nvSpPr>
      <xdr:spPr bwMode="auto">
        <a:xfrm>
          <a:off x="23827740" y="133273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53</xdr:row>
      <xdr:rowOff>38100</xdr:rowOff>
    </xdr:from>
    <xdr:to>
      <xdr:col>37</xdr:col>
      <xdr:colOff>142875</xdr:colOff>
      <xdr:row>54</xdr:row>
      <xdr:rowOff>219075</xdr:rowOff>
    </xdr:to>
    <xdr:sp macro="" textlink="">
      <xdr:nvSpPr>
        <xdr:cNvPr id="45" name="AutoShape 228">
          <a:extLst>
            <a:ext uri="{FF2B5EF4-FFF2-40B4-BE49-F238E27FC236}">
              <a16:creationId xmlns:a16="http://schemas.microsoft.com/office/drawing/2014/main" id="{BCA74486-E51A-4967-B206-009390893FF0}"/>
            </a:ext>
          </a:extLst>
        </xdr:cNvPr>
        <xdr:cNvSpPr>
          <a:spLocks/>
        </xdr:cNvSpPr>
      </xdr:nvSpPr>
      <xdr:spPr bwMode="auto">
        <a:xfrm>
          <a:off x="23827740" y="128549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35</xdr:row>
      <xdr:rowOff>38100</xdr:rowOff>
    </xdr:from>
    <xdr:to>
      <xdr:col>37</xdr:col>
      <xdr:colOff>142875</xdr:colOff>
      <xdr:row>36</xdr:row>
      <xdr:rowOff>219075</xdr:rowOff>
    </xdr:to>
    <xdr:sp macro="" textlink="">
      <xdr:nvSpPr>
        <xdr:cNvPr id="46" name="AutoShape 229">
          <a:extLst>
            <a:ext uri="{FF2B5EF4-FFF2-40B4-BE49-F238E27FC236}">
              <a16:creationId xmlns:a16="http://schemas.microsoft.com/office/drawing/2014/main" id="{48AC8D0C-031E-42B4-B4D9-BBF66DF1736C}"/>
            </a:ext>
          </a:extLst>
        </xdr:cNvPr>
        <xdr:cNvSpPr>
          <a:spLocks/>
        </xdr:cNvSpPr>
      </xdr:nvSpPr>
      <xdr:spPr bwMode="auto">
        <a:xfrm>
          <a:off x="23827740" y="86029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37</xdr:row>
      <xdr:rowOff>38100</xdr:rowOff>
    </xdr:from>
    <xdr:to>
      <xdr:col>37</xdr:col>
      <xdr:colOff>142875</xdr:colOff>
      <xdr:row>38</xdr:row>
      <xdr:rowOff>219075</xdr:rowOff>
    </xdr:to>
    <xdr:sp macro="" textlink="">
      <xdr:nvSpPr>
        <xdr:cNvPr id="47" name="AutoShape 230">
          <a:extLst>
            <a:ext uri="{FF2B5EF4-FFF2-40B4-BE49-F238E27FC236}">
              <a16:creationId xmlns:a16="http://schemas.microsoft.com/office/drawing/2014/main" id="{17A719E7-0BEC-4CEA-B88F-11D992A8D19C}"/>
            </a:ext>
          </a:extLst>
        </xdr:cNvPr>
        <xdr:cNvSpPr>
          <a:spLocks/>
        </xdr:cNvSpPr>
      </xdr:nvSpPr>
      <xdr:spPr bwMode="auto">
        <a:xfrm>
          <a:off x="23827740" y="90754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2</xdr:col>
      <xdr:colOff>0</xdr:colOff>
      <xdr:row>12</xdr:row>
      <xdr:rowOff>219075</xdr:rowOff>
    </xdr:to>
    <xdr:sp macro="" textlink="">
      <xdr:nvSpPr>
        <xdr:cNvPr id="2" name="AutoShape 200">
          <a:extLst>
            <a:ext uri="{FF2B5EF4-FFF2-40B4-BE49-F238E27FC236}">
              <a16:creationId xmlns:a16="http://schemas.microsoft.com/office/drawing/2014/main" id="{21A29C4E-8441-4899-B269-6D7D3AF69FD2}"/>
            </a:ext>
          </a:extLst>
        </xdr:cNvPr>
        <xdr:cNvSpPr>
          <a:spLocks/>
        </xdr:cNvSpPr>
      </xdr:nvSpPr>
      <xdr:spPr bwMode="auto">
        <a:xfrm>
          <a:off x="899160" y="29337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3" name="AutoShape 201">
          <a:extLst>
            <a:ext uri="{FF2B5EF4-FFF2-40B4-BE49-F238E27FC236}">
              <a16:creationId xmlns:a16="http://schemas.microsoft.com/office/drawing/2014/main" id="{115E10AA-4C59-4FDA-B5F5-B7228AE4B1AC}"/>
            </a:ext>
          </a:extLst>
        </xdr:cNvPr>
        <xdr:cNvSpPr>
          <a:spLocks/>
        </xdr:cNvSpPr>
      </xdr:nvSpPr>
      <xdr:spPr bwMode="auto">
        <a:xfrm>
          <a:off x="899160" y="38785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4" name="AutoShape 202">
          <a:extLst>
            <a:ext uri="{FF2B5EF4-FFF2-40B4-BE49-F238E27FC236}">
              <a16:creationId xmlns:a16="http://schemas.microsoft.com/office/drawing/2014/main" id="{0226D755-6051-44A9-A078-72E4C3F4D664}"/>
            </a:ext>
          </a:extLst>
        </xdr:cNvPr>
        <xdr:cNvSpPr>
          <a:spLocks/>
        </xdr:cNvSpPr>
      </xdr:nvSpPr>
      <xdr:spPr bwMode="auto">
        <a:xfrm>
          <a:off x="899160" y="57683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2</xdr:col>
      <xdr:colOff>0</xdr:colOff>
      <xdr:row>14</xdr:row>
      <xdr:rowOff>219075</xdr:rowOff>
    </xdr:to>
    <xdr:sp macro="" textlink="">
      <xdr:nvSpPr>
        <xdr:cNvPr id="5" name="AutoShape 203">
          <a:extLst>
            <a:ext uri="{FF2B5EF4-FFF2-40B4-BE49-F238E27FC236}">
              <a16:creationId xmlns:a16="http://schemas.microsoft.com/office/drawing/2014/main" id="{65E196B3-CD3E-48FC-9B71-27883C12EBBD}"/>
            </a:ext>
          </a:extLst>
        </xdr:cNvPr>
        <xdr:cNvSpPr>
          <a:spLocks/>
        </xdr:cNvSpPr>
      </xdr:nvSpPr>
      <xdr:spPr bwMode="auto">
        <a:xfrm>
          <a:off x="899160" y="3406140"/>
          <a:ext cx="60960" cy="417195"/>
        </a:xfrm>
        <a:prstGeom prst="leftBrace">
          <a:avLst>
            <a:gd name="adj1" fmla="val 5150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6" name="AutoShape 204">
          <a:extLst>
            <a:ext uri="{FF2B5EF4-FFF2-40B4-BE49-F238E27FC236}">
              <a16:creationId xmlns:a16="http://schemas.microsoft.com/office/drawing/2014/main" id="{87D6DA12-83E7-443E-AB40-A6761DD9FE4B}"/>
            </a:ext>
          </a:extLst>
        </xdr:cNvPr>
        <xdr:cNvSpPr>
          <a:spLocks/>
        </xdr:cNvSpPr>
      </xdr:nvSpPr>
      <xdr:spPr bwMode="auto">
        <a:xfrm>
          <a:off x="899160" y="62407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7" name="AutoShape 205">
          <a:extLst>
            <a:ext uri="{FF2B5EF4-FFF2-40B4-BE49-F238E27FC236}">
              <a16:creationId xmlns:a16="http://schemas.microsoft.com/office/drawing/2014/main" id="{0AC315A9-9E0A-47BA-B98E-248EBF808970}"/>
            </a:ext>
          </a:extLst>
        </xdr:cNvPr>
        <xdr:cNvSpPr>
          <a:spLocks/>
        </xdr:cNvSpPr>
      </xdr:nvSpPr>
      <xdr:spPr bwMode="auto">
        <a:xfrm>
          <a:off x="899160" y="43510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8" name="AutoShape 206">
          <a:extLst>
            <a:ext uri="{FF2B5EF4-FFF2-40B4-BE49-F238E27FC236}">
              <a16:creationId xmlns:a16="http://schemas.microsoft.com/office/drawing/2014/main" id="{8A63F390-FD81-4CC6-839C-D1260A738956}"/>
            </a:ext>
          </a:extLst>
        </xdr:cNvPr>
        <xdr:cNvSpPr>
          <a:spLocks/>
        </xdr:cNvSpPr>
      </xdr:nvSpPr>
      <xdr:spPr bwMode="auto">
        <a:xfrm>
          <a:off x="899160" y="67132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9" name="AutoShape 207">
          <a:extLst>
            <a:ext uri="{FF2B5EF4-FFF2-40B4-BE49-F238E27FC236}">
              <a16:creationId xmlns:a16="http://schemas.microsoft.com/office/drawing/2014/main" id="{14BAD3E7-1032-473E-B421-24DCA1B6EDD9}"/>
            </a:ext>
          </a:extLst>
        </xdr:cNvPr>
        <xdr:cNvSpPr>
          <a:spLocks/>
        </xdr:cNvSpPr>
      </xdr:nvSpPr>
      <xdr:spPr bwMode="auto">
        <a:xfrm>
          <a:off x="899160" y="71856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0" name="AutoShape 209">
          <a:extLst>
            <a:ext uri="{FF2B5EF4-FFF2-40B4-BE49-F238E27FC236}">
              <a16:creationId xmlns:a16="http://schemas.microsoft.com/office/drawing/2014/main" id="{6EED5E2E-30EA-4584-9256-7639A785D1E9}"/>
            </a:ext>
          </a:extLst>
        </xdr:cNvPr>
        <xdr:cNvSpPr>
          <a:spLocks/>
        </xdr:cNvSpPr>
      </xdr:nvSpPr>
      <xdr:spPr bwMode="auto">
        <a:xfrm>
          <a:off x="899160" y="76581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1" name="AutoShape 210">
          <a:extLst>
            <a:ext uri="{FF2B5EF4-FFF2-40B4-BE49-F238E27FC236}">
              <a16:creationId xmlns:a16="http://schemas.microsoft.com/office/drawing/2014/main" id="{AD6AEE93-625F-4051-B3F7-701D1B3B1B40}"/>
            </a:ext>
          </a:extLst>
        </xdr:cNvPr>
        <xdr:cNvSpPr>
          <a:spLocks/>
        </xdr:cNvSpPr>
      </xdr:nvSpPr>
      <xdr:spPr bwMode="auto">
        <a:xfrm>
          <a:off x="899160" y="81305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2" name="AutoShape 215">
          <a:extLst>
            <a:ext uri="{FF2B5EF4-FFF2-40B4-BE49-F238E27FC236}">
              <a16:creationId xmlns:a16="http://schemas.microsoft.com/office/drawing/2014/main" id="{0BDD03C2-01D3-4078-96AF-4248861D0955}"/>
            </a:ext>
          </a:extLst>
        </xdr:cNvPr>
        <xdr:cNvSpPr>
          <a:spLocks/>
        </xdr:cNvSpPr>
      </xdr:nvSpPr>
      <xdr:spPr bwMode="auto">
        <a:xfrm>
          <a:off x="899160" y="48234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3" name="AutoShape 216">
          <a:extLst>
            <a:ext uri="{FF2B5EF4-FFF2-40B4-BE49-F238E27FC236}">
              <a16:creationId xmlns:a16="http://schemas.microsoft.com/office/drawing/2014/main" id="{0800B847-B9B4-4CA9-A5A9-7A451A958F18}"/>
            </a:ext>
          </a:extLst>
        </xdr:cNvPr>
        <xdr:cNvSpPr>
          <a:spLocks/>
        </xdr:cNvSpPr>
      </xdr:nvSpPr>
      <xdr:spPr bwMode="auto">
        <a:xfrm>
          <a:off x="899160" y="52959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4" name="AutoShape 220">
          <a:extLst>
            <a:ext uri="{FF2B5EF4-FFF2-40B4-BE49-F238E27FC236}">
              <a16:creationId xmlns:a16="http://schemas.microsoft.com/office/drawing/2014/main" id="{358FB169-DADC-4C88-B2BE-C4A828CE868D}"/>
            </a:ext>
          </a:extLst>
        </xdr:cNvPr>
        <xdr:cNvSpPr>
          <a:spLocks/>
        </xdr:cNvSpPr>
      </xdr:nvSpPr>
      <xdr:spPr bwMode="auto">
        <a:xfrm>
          <a:off x="899160" y="95478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5" name="AutoShape 221">
          <a:extLst>
            <a:ext uri="{FF2B5EF4-FFF2-40B4-BE49-F238E27FC236}">
              <a16:creationId xmlns:a16="http://schemas.microsoft.com/office/drawing/2014/main" id="{E2F7D26D-387E-4092-8641-EEABA9C80E7A}"/>
            </a:ext>
          </a:extLst>
        </xdr:cNvPr>
        <xdr:cNvSpPr>
          <a:spLocks/>
        </xdr:cNvSpPr>
      </xdr:nvSpPr>
      <xdr:spPr bwMode="auto">
        <a:xfrm>
          <a:off x="899160" y="100203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6" name="AutoShape 222">
          <a:extLst>
            <a:ext uri="{FF2B5EF4-FFF2-40B4-BE49-F238E27FC236}">
              <a16:creationId xmlns:a16="http://schemas.microsoft.com/office/drawing/2014/main" id="{C587EFB8-D259-47B8-8F76-C07BC1D61A52}"/>
            </a:ext>
          </a:extLst>
        </xdr:cNvPr>
        <xdr:cNvSpPr>
          <a:spLocks/>
        </xdr:cNvSpPr>
      </xdr:nvSpPr>
      <xdr:spPr bwMode="auto">
        <a:xfrm>
          <a:off x="899160" y="104927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7" name="AutoShape 223">
          <a:extLst>
            <a:ext uri="{FF2B5EF4-FFF2-40B4-BE49-F238E27FC236}">
              <a16:creationId xmlns:a16="http://schemas.microsoft.com/office/drawing/2014/main" id="{113F475E-917E-476F-99E4-93BE98D595BC}"/>
            </a:ext>
          </a:extLst>
        </xdr:cNvPr>
        <xdr:cNvSpPr>
          <a:spLocks/>
        </xdr:cNvSpPr>
      </xdr:nvSpPr>
      <xdr:spPr bwMode="auto">
        <a:xfrm>
          <a:off x="899160" y="109651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8" name="AutoShape 224">
          <a:extLst>
            <a:ext uri="{FF2B5EF4-FFF2-40B4-BE49-F238E27FC236}">
              <a16:creationId xmlns:a16="http://schemas.microsoft.com/office/drawing/2014/main" id="{764EBC00-A770-4DCC-954E-C182F7EA0428}"/>
            </a:ext>
          </a:extLst>
        </xdr:cNvPr>
        <xdr:cNvSpPr>
          <a:spLocks/>
        </xdr:cNvSpPr>
      </xdr:nvSpPr>
      <xdr:spPr bwMode="auto">
        <a:xfrm>
          <a:off x="899160" y="114376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9" name="AutoShape 225">
          <a:extLst>
            <a:ext uri="{FF2B5EF4-FFF2-40B4-BE49-F238E27FC236}">
              <a16:creationId xmlns:a16="http://schemas.microsoft.com/office/drawing/2014/main" id="{B2C36C13-BC74-45A4-AD29-FEC66387EB0A}"/>
            </a:ext>
          </a:extLst>
        </xdr:cNvPr>
        <xdr:cNvSpPr>
          <a:spLocks/>
        </xdr:cNvSpPr>
      </xdr:nvSpPr>
      <xdr:spPr bwMode="auto">
        <a:xfrm>
          <a:off x="899160" y="119100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20" name="AutoShape 226">
          <a:extLst>
            <a:ext uri="{FF2B5EF4-FFF2-40B4-BE49-F238E27FC236}">
              <a16:creationId xmlns:a16="http://schemas.microsoft.com/office/drawing/2014/main" id="{5658322C-B0EA-49E5-8337-FF56828B1477}"/>
            </a:ext>
          </a:extLst>
        </xdr:cNvPr>
        <xdr:cNvSpPr>
          <a:spLocks/>
        </xdr:cNvSpPr>
      </xdr:nvSpPr>
      <xdr:spPr bwMode="auto">
        <a:xfrm>
          <a:off x="899160" y="123825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21" name="AutoShape 227">
          <a:extLst>
            <a:ext uri="{FF2B5EF4-FFF2-40B4-BE49-F238E27FC236}">
              <a16:creationId xmlns:a16="http://schemas.microsoft.com/office/drawing/2014/main" id="{A1DF20A9-F545-4999-A6EF-AB58AD1721DB}"/>
            </a:ext>
          </a:extLst>
        </xdr:cNvPr>
        <xdr:cNvSpPr>
          <a:spLocks/>
        </xdr:cNvSpPr>
      </xdr:nvSpPr>
      <xdr:spPr bwMode="auto">
        <a:xfrm>
          <a:off x="899160" y="133273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22" name="AutoShape 228">
          <a:extLst>
            <a:ext uri="{FF2B5EF4-FFF2-40B4-BE49-F238E27FC236}">
              <a16:creationId xmlns:a16="http://schemas.microsoft.com/office/drawing/2014/main" id="{00C8C2D5-783E-469E-9255-426DE6A8112E}"/>
            </a:ext>
          </a:extLst>
        </xdr:cNvPr>
        <xdr:cNvSpPr>
          <a:spLocks/>
        </xdr:cNvSpPr>
      </xdr:nvSpPr>
      <xdr:spPr bwMode="auto">
        <a:xfrm>
          <a:off x="899160" y="128549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23" name="AutoShape 229">
          <a:extLst>
            <a:ext uri="{FF2B5EF4-FFF2-40B4-BE49-F238E27FC236}">
              <a16:creationId xmlns:a16="http://schemas.microsoft.com/office/drawing/2014/main" id="{4EAD1B71-EA41-42D4-B09A-5401FA2C7B7B}"/>
            </a:ext>
          </a:extLst>
        </xdr:cNvPr>
        <xdr:cNvSpPr>
          <a:spLocks/>
        </xdr:cNvSpPr>
      </xdr:nvSpPr>
      <xdr:spPr bwMode="auto">
        <a:xfrm>
          <a:off x="899160" y="86029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24" name="AutoShape 230">
          <a:extLst>
            <a:ext uri="{FF2B5EF4-FFF2-40B4-BE49-F238E27FC236}">
              <a16:creationId xmlns:a16="http://schemas.microsoft.com/office/drawing/2014/main" id="{93C142D4-0CCF-4534-ADA5-1101D67E1394}"/>
            </a:ext>
          </a:extLst>
        </xdr:cNvPr>
        <xdr:cNvSpPr>
          <a:spLocks/>
        </xdr:cNvSpPr>
      </xdr:nvSpPr>
      <xdr:spPr bwMode="auto">
        <a:xfrm>
          <a:off x="899160" y="90754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11</xdr:row>
      <xdr:rowOff>38100</xdr:rowOff>
    </xdr:from>
    <xdr:to>
      <xdr:col>37</xdr:col>
      <xdr:colOff>142875</xdr:colOff>
      <xdr:row>12</xdr:row>
      <xdr:rowOff>219075</xdr:rowOff>
    </xdr:to>
    <xdr:sp macro="" textlink="">
      <xdr:nvSpPr>
        <xdr:cNvPr id="25" name="AutoShape 200">
          <a:extLst>
            <a:ext uri="{FF2B5EF4-FFF2-40B4-BE49-F238E27FC236}">
              <a16:creationId xmlns:a16="http://schemas.microsoft.com/office/drawing/2014/main" id="{A2EE6767-B5AD-4A84-A5D5-6ABA260CABBB}"/>
            </a:ext>
          </a:extLst>
        </xdr:cNvPr>
        <xdr:cNvSpPr>
          <a:spLocks/>
        </xdr:cNvSpPr>
      </xdr:nvSpPr>
      <xdr:spPr bwMode="auto">
        <a:xfrm>
          <a:off x="23827740" y="29337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15</xdr:row>
      <xdr:rowOff>38100</xdr:rowOff>
    </xdr:from>
    <xdr:to>
      <xdr:col>37</xdr:col>
      <xdr:colOff>142875</xdr:colOff>
      <xdr:row>16</xdr:row>
      <xdr:rowOff>219075</xdr:rowOff>
    </xdr:to>
    <xdr:sp macro="" textlink="">
      <xdr:nvSpPr>
        <xdr:cNvPr id="26" name="AutoShape 201">
          <a:extLst>
            <a:ext uri="{FF2B5EF4-FFF2-40B4-BE49-F238E27FC236}">
              <a16:creationId xmlns:a16="http://schemas.microsoft.com/office/drawing/2014/main" id="{1B78B1AA-AF72-4F25-9C2D-47277C114D97}"/>
            </a:ext>
          </a:extLst>
        </xdr:cNvPr>
        <xdr:cNvSpPr>
          <a:spLocks/>
        </xdr:cNvSpPr>
      </xdr:nvSpPr>
      <xdr:spPr bwMode="auto">
        <a:xfrm>
          <a:off x="23827740" y="38785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23</xdr:row>
      <xdr:rowOff>38100</xdr:rowOff>
    </xdr:from>
    <xdr:to>
      <xdr:col>37</xdr:col>
      <xdr:colOff>142875</xdr:colOff>
      <xdr:row>24</xdr:row>
      <xdr:rowOff>219075</xdr:rowOff>
    </xdr:to>
    <xdr:sp macro="" textlink="">
      <xdr:nvSpPr>
        <xdr:cNvPr id="27" name="AutoShape 202">
          <a:extLst>
            <a:ext uri="{FF2B5EF4-FFF2-40B4-BE49-F238E27FC236}">
              <a16:creationId xmlns:a16="http://schemas.microsoft.com/office/drawing/2014/main" id="{821DB586-E566-4E85-8D6A-AD25495DB1A5}"/>
            </a:ext>
          </a:extLst>
        </xdr:cNvPr>
        <xdr:cNvSpPr>
          <a:spLocks/>
        </xdr:cNvSpPr>
      </xdr:nvSpPr>
      <xdr:spPr bwMode="auto">
        <a:xfrm>
          <a:off x="23827740" y="57683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13</xdr:row>
      <xdr:rowOff>38100</xdr:rowOff>
    </xdr:from>
    <xdr:to>
      <xdr:col>37</xdr:col>
      <xdr:colOff>142875</xdr:colOff>
      <xdr:row>14</xdr:row>
      <xdr:rowOff>219075</xdr:rowOff>
    </xdr:to>
    <xdr:sp macro="" textlink="">
      <xdr:nvSpPr>
        <xdr:cNvPr id="28" name="AutoShape 203">
          <a:extLst>
            <a:ext uri="{FF2B5EF4-FFF2-40B4-BE49-F238E27FC236}">
              <a16:creationId xmlns:a16="http://schemas.microsoft.com/office/drawing/2014/main" id="{33578478-3E71-4EF8-A2E1-EA6893E43A54}"/>
            </a:ext>
          </a:extLst>
        </xdr:cNvPr>
        <xdr:cNvSpPr>
          <a:spLocks/>
        </xdr:cNvSpPr>
      </xdr:nvSpPr>
      <xdr:spPr bwMode="auto">
        <a:xfrm>
          <a:off x="23827740" y="34061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25</xdr:row>
      <xdr:rowOff>38100</xdr:rowOff>
    </xdr:from>
    <xdr:to>
      <xdr:col>37</xdr:col>
      <xdr:colOff>142875</xdr:colOff>
      <xdr:row>26</xdr:row>
      <xdr:rowOff>219075</xdr:rowOff>
    </xdr:to>
    <xdr:sp macro="" textlink="">
      <xdr:nvSpPr>
        <xdr:cNvPr id="29" name="AutoShape 204">
          <a:extLst>
            <a:ext uri="{FF2B5EF4-FFF2-40B4-BE49-F238E27FC236}">
              <a16:creationId xmlns:a16="http://schemas.microsoft.com/office/drawing/2014/main" id="{5A33F6AD-085D-4C84-8A55-DE48290EED06}"/>
            </a:ext>
          </a:extLst>
        </xdr:cNvPr>
        <xdr:cNvSpPr>
          <a:spLocks/>
        </xdr:cNvSpPr>
      </xdr:nvSpPr>
      <xdr:spPr bwMode="auto">
        <a:xfrm>
          <a:off x="23827740" y="62407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17</xdr:row>
      <xdr:rowOff>38100</xdr:rowOff>
    </xdr:from>
    <xdr:to>
      <xdr:col>37</xdr:col>
      <xdr:colOff>142875</xdr:colOff>
      <xdr:row>18</xdr:row>
      <xdr:rowOff>219075</xdr:rowOff>
    </xdr:to>
    <xdr:sp macro="" textlink="">
      <xdr:nvSpPr>
        <xdr:cNvPr id="30" name="AutoShape 205">
          <a:extLst>
            <a:ext uri="{FF2B5EF4-FFF2-40B4-BE49-F238E27FC236}">
              <a16:creationId xmlns:a16="http://schemas.microsoft.com/office/drawing/2014/main" id="{CC1EFB9A-D08C-4B60-A8D6-756134CDF010}"/>
            </a:ext>
          </a:extLst>
        </xdr:cNvPr>
        <xdr:cNvSpPr>
          <a:spLocks/>
        </xdr:cNvSpPr>
      </xdr:nvSpPr>
      <xdr:spPr bwMode="auto">
        <a:xfrm>
          <a:off x="23827740" y="43510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27</xdr:row>
      <xdr:rowOff>38100</xdr:rowOff>
    </xdr:from>
    <xdr:to>
      <xdr:col>37</xdr:col>
      <xdr:colOff>142875</xdr:colOff>
      <xdr:row>28</xdr:row>
      <xdr:rowOff>219075</xdr:rowOff>
    </xdr:to>
    <xdr:sp macro="" textlink="">
      <xdr:nvSpPr>
        <xdr:cNvPr id="31" name="AutoShape 206">
          <a:extLst>
            <a:ext uri="{FF2B5EF4-FFF2-40B4-BE49-F238E27FC236}">
              <a16:creationId xmlns:a16="http://schemas.microsoft.com/office/drawing/2014/main" id="{8FF7BFD5-CA3B-4C6C-BE52-B3511130CB9E}"/>
            </a:ext>
          </a:extLst>
        </xdr:cNvPr>
        <xdr:cNvSpPr>
          <a:spLocks/>
        </xdr:cNvSpPr>
      </xdr:nvSpPr>
      <xdr:spPr bwMode="auto">
        <a:xfrm>
          <a:off x="23827740" y="67132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29</xdr:row>
      <xdr:rowOff>38100</xdr:rowOff>
    </xdr:from>
    <xdr:to>
      <xdr:col>37</xdr:col>
      <xdr:colOff>142875</xdr:colOff>
      <xdr:row>30</xdr:row>
      <xdr:rowOff>219075</xdr:rowOff>
    </xdr:to>
    <xdr:sp macro="" textlink="">
      <xdr:nvSpPr>
        <xdr:cNvPr id="32" name="AutoShape 207">
          <a:extLst>
            <a:ext uri="{FF2B5EF4-FFF2-40B4-BE49-F238E27FC236}">
              <a16:creationId xmlns:a16="http://schemas.microsoft.com/office/drawing/2014/main" id="{8E17C889-5197-402C-AF36-DBE16DCEC7D1}"/>
            </a:ext>
          </a:extLst>
        </xdr:cNvPr>
        <xdr:cNvSpPr>
          <a:spLocks/>
        </xdr:cNvSpPr>
      </xdr:nvSpPr>
      <xdr:spPr bwMode="auto">
        <a:xfrm>
          <a:off x="23827740" y="71856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31</xdr:row>
      <xdr:rowOff>38100</xdr:rowOff>
    </xdr:from>
    <xdr:to>
      <xdr:col>37</xdr:col>
      <xdr:colOff>142875</xdr:colOff>
      <xdr:row>32</xdr:row>
      <xdr:rowOff>219075</xdr:rowOff>
    </xdr:to>
    <xdr:sp macro="" textlink="">
      <xdr:nvSpPr>
        <xdr:cNvPr id="33" name="AutoShape 209">
          <a:extLst>
            <a:ext uri="{FF2B5EF4-FFF2-40B4-BE49-F238E27FC236}">
              <a16:creationId xmlns:a16="http://schemas.microsoft.com/office/drawing/2014/main" id="{E1D71E67-FFC0-48BF-A592-23FF8EF20B1F}"/>
            </a:ext>
          </a:extLst>
        </xdr:cNvPr>
        <xdr:cNvSpPr>
          <a:spLocks/>
        </xdr:cNvSpPr>
      </xdr:nvSpPr>
      <xdr:spPr bwMode="auto">
        <a:xfrm>
          <a:off x="23827740" y="76581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33</xdr:row>
      <xdr:rowOff>38100</xdr:rowOff>
    </xdr:from>
    <xdr:to>
      <xdr:col>37</xdr:col>
      <xdr:colOff>142875</xdr:colOff>
      <xdr:row>34</xdr:row>
      <xdr:rowOff>219075</xdr:rowOff>
    </xdr:to>
    <xdr:sp macro="" textlink="">
      <xdr:nvSpPr>
        <xdr:cNvPr id="34" name="AutoShape 210">
          <a:extLst>
            <a:ext uri="{FF2B5EF4-FFF2-40B4-BE49-F238E27FC236}">
              <a16:creationId xmlns:a16="http://schemas.microsoft.com/office/drawing/2014/main" id="{7EA9D141-8323-494A-A9F7-B6BECDC7AA5A}"/>
            </a:ext>
          </a:extLst>
        </xdr:cNvPr>
        <xdr:cNvSpPr>
          <a:spLocks/>
        </xdr:cNvSpPr>
      </xdr:nvSpPr>
      <xdr:spPr bwMode="auto">
        <a:xfrm>
          <a:off x="23827740" y="81305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19</xdr:row>
      <xdr:rowOff>38100</xdr:rowOff>
    </xdr:from>
    <xdr:to>
      <xdr:col>37</xdr:col>
      <xdr:colOff>142875</xdr:colOff>
      <xdr:row>20</xdr:row>
      <xdr:rowOff>219075</xdr:rowOff>
    </xdr:to>
    <xdr:sp macro="" textlink="">
      <xdr:nvSpPr>
        <xdr:cNvPr id="35" name="AutoShape 215">
          <a:extLst>
            <a:ext uri="{FF2B5EF4-FFF2-40B4-BE49-F238E27FC236}">
              <a16:creationId xmlns:a16="http://schemas.microsoft.com/office/drawing/2014/main" id="{D84696FC-44D1-4120-B4C7-735E17DA1908}"/>
            </a:ext>
          </a:extLst>
        </xdr:cNvPr>
        <xdr:cNvSpPr>
          <a:spLocks/>
        </xdr:cNvSpPr>
      </xdr:nvSpPr>
      <xdr:spPr bwMode="auto">
        <a:xfrm>
          <a:off x="23827740" y="48234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21</xdr:row>
      <xdr:rowOff>38100</xdr:rowOff>
    </xdr:from>
    <xdr:to>
      <xdr:col>37</xdr:col>
      <xdr:colOff>142875</xdr:colOff>
      <xdr:row>22</xdr:row>
      <xdr:rowOff>219075</xdr:rowOff>
    </xdr:to>
    <xdr:sp macro="" textlink="">
      <xdr:nvSpPr>
        <xdr:cNvPr id="36" name="AutoShape 216">
          <a:extLst>
            <a:ext uri="{FF2B5EF4-FFF2-40B4-BE49-F238E27FC236}">
              <a16:creationId xmlns:a16="http://schemas.microsoft.com/office/drawing/2014/main" id="{7374EB73-0E25-4E2A-A30C-287943C80D16}"/>
            </a:ext>
          </a:extLst>
        </xdr:cNvPr>
        <xdr:cNvSpPr>
          <a:spLocks/>
        </xdr:cNvSpPr>
      </xdr:nvSpPr>
      <xdr:spPr bwMode="auto">
        <a:xfrm>
          <a:off x="23827740" y="52959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39</xdr:row>
      <xdr:rowOff>38100</xdr:rowOff>
    </xdr:from>
    <xdr:to>
      <xdr:col>37</xdr:col>
      <xdr:colOff>142875</xdr:colOff>
      <xdr:row>40</xdr:row>
      <xdr:rowOff>219075</xdr:rowOff>
    </xdr:to>
    <xdr:sp macro="" textlink="">
      <xdr:nvSpPr>
        <xdr:cNvPr id="37" name="AutoShape 220">
          <a:extLst>
            <a:ext uri="{FF2B5EF4-FFF2-40B4-BE49-F238E27FC236}">
              <a16:creationId xmlns:a16="http://schemas.microsoft.com/office/drawing/2014/main" id="{195553EF-7B57-46D8-B70F-B0B548EFB9A1}"/>
            </a:ext>
          </a:extLst>
        </xdr:cNvPr>
        <xdr:cNvSpPr>
          <a:spLocks/>
        </xdr:cNvSpPr>
      </xdr:nvSpPr>
      <xdr:spPr bwMode="auto">
        <a:xfrm>
          <a:off x="23827740" y="95478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41</xdr:row>
      <xdr:rowOff>38100</xdr:rowOff>
    </xdr:from>
    <xdr:to>
      <xdr:col>37</xdr:col>
      <xdr:colOff>142875</xdr:colOff>
      <xdr:row>42</xdr:row>
      <xdr:rowOff>219075</xdr:rowOff>
    </xdr:to>
    <xdr:sp macro="" textlink="">
      <xdr:nvSpPr>
        <xdr:cNvPr id="38" name="AutoShape 221">
          <a:extLst>
            <a:ext uri="{FF2B5EF4-FFF2-40B4-BE49-F238E27FC236}">
              <a16:creationId xmlns:a16="http://schemas.microsoft.com/office/drawing/2014/main" id="{B65FFEE3-51F0-4D63-9EEE-A292A7BE19B1}"/>
            </a:ext>
          </a:extLst>
        </xdr:cNvPr>
        <xdr:cNvSpPr>
          <a:spLocks/>
        </xdr:cNvSpPr>
      </xdr:nvSpPr>
      <xdr:spPr bwMode="auto">
        <a:xfrm>
          <a:off x="23827740" y="100203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43</xdr:row>
      <xdr:rowOff>38100</xdr:rowOff>
    </xdr:from>
    <xdr:to>
      <xdr:col>37</xdr:col>
      <xdr:colOff>142875</xdr:colOff>
      <xdr:row>44</xdr:row>
      <xdr:rowOff>219075</xdr:rowOff>
    </xdr:to>
    <xdr:sp macro="" textlink="">
      <xdr:nvSpPr>
        <xdr:cNvPr id="39" name="AutoShape 222">
          <a:extLst>
            <a:ext uri="{FF2B5EF4-FFF2-40B4-BE49-F238E27FC236}">
              <a16:creationId xmlns:a16="http://schemas.microsoft.com/office/drawing/2014/main" id="{2FD3947F-06D0-4A46-89E1-2D9694685CE8}"/>
            </a:ext>
          </a:extLst>
        </xdr:cNvPr>
        <xdr:cNvSpPr>
          <a:spLocks/>
        </xdr:cNvSpPr>
      </xdr:nvSpPr>
      <xdr:spPr bwMode="auto">
        <a:xfrm>
          <a:off x="23827740" y="104927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45</xdr:row>
      <xdr:rowOff>38100</xdr:rowOff>
    </xdr:from>
    <xdr:to>
      <xdr:col>37</xdr:col>
      <xdr:colOff>142875</xdr:colOff>
      <xdr:row>46</xdr:row>
      <xdr:rowOff>219075</xdr:rowOff>
    </xdr:to>
    <xdr:sp macro="" textlink="">
      <xdr:nvSpPr>
        <xdr:cNvPr id="40" name="AutoShape 223">
          <a:extLst>
            <a:ext uri="{FF2B5EF4-FFF2-40B4-BE49-F238E27FC236}">
              <a16:creationId xmlns:a16="http://schemas.microsoft.com/office/drawing/2014/main" id="{B07062AA-94D4-46DB-A77A-F010A1C9AB11}"/>
            </a:ext>
          </a:extLst>
        </xdr:cNvPr>
        <xdr:cNvSpPr>
          <a:spLocks/>
        </xdr:cNvSpPr>
      </xdr:nvSpPr>
      <xdr:spPr bwMode="auto">
        <a:xfrm>
          <a:off x="23827740" y="109651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47</xdr:row>
      <xdr:rowOff>38100</xdr:rowOff>
    </xdr:from>
    <xdr:to>
      <xdr:col>37</xdr:col>
      <xdr:colOff>142875</xdr:colOff>
      <xdr:row>48</xdr:row>
      <xdr:rowOff>219075</xdr:rowOff>
    </xdr:to>
    <xdr:sp macro="" textlink="">
      <xdr:nvSpPr>
        <xdr:cNvPr id="41" name="AutoShape 224">
          <a:extLst>
            <a:ext uri="{FF2B5EF4-FFF2-40B4-BE49-F238E27FC236}">
              <a16:creationId xmlns:a16="http://schemas.microsoft.com/office/drawing/2014/main" id="{D393FB51-3B12-4642-A237-E9FDE8FD8DF8}"/>
            </a:ext>
          </a:extLst>
        </xdr:cNvPr>
        <xdr:cNvSpPr>
          <a:spLocks/>
        </xdr:cNvSpPr>
      </xdr:nvSpPr>
      <xdr:spPr bwMode="auto">
        <a:xfrm>
          <a:off x="23827740" y="114376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49</xdr:row>
      <xdr:rowOff>38100</xdr:rowOff>
    </xdr:from>
    <xdr:to>
      <xdr:col>37</xdr:col>
      <xdr:colOff>142875</xdr:colOff>
      <xdr:row>50</xdr:row>
      <xdr:rowOff>219075</xdr:rowOff>
    </xdr:to>
    <xdr:sp macro="" textlink="">
      <xdr:nvSpPr>
        <xdr:cNvPr id="42" name="AutoShape 225">
          <a:extLst>
            <a:ext uri="{FF2B5EF4-FFF2-40B4-BE49-F238E27FC236}">
              <a16:creationId xmlns:a16="http://schemas.microsoft.com/office/drawing/2014/main" id="{AA9EBBEA-C9B3-4F8D-9E1A-00786FAC9B51}"/>
            </a:ext>
          </a:extLst>
        </xdr:cNvPr>
        <xdr:cNvSpPr>
          <a:spLocks/>
        </xdr:cNvSpPr>
      </xdr:nvSpPr>
      <xdr:spPr bwMode="auto">
        <a:xfrm>
          <a:off x="23827740" y="119100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51</xdr:row>
      <xdr:rowOff>38100</xdr:rowOff>
    </xdr:from>
    <xdr:to>
      <xdr:col>37</xdr:col>
      <xdr:colOff>142875</xdr:colOff>
      <xdr:row>52</xdr:row>
      <xdr:rowOff>219075</xdr:rowOff>
    </xdr:to>
    <xdr:sp macro="" textlink="">
      <xdr:nvSpPr>
        <xdr:cNvPr id="43" name="AutoShape 226">
          <a:extLst>
            <a:ext uri="{FF2B5EF4-FFF2-40B4-BE49-F238E27FC236}">
              <a16:creationId xmlns:a16="http://schemas.microsoft.com/office/drawing/2014/main" id="{66E9C7FE-6909-4A1D-BA1E-3701F42522E1}"/>
            </a:ext>
          </a:extLst>
        </xdr:cNvPr>
        <xdr:cNvSpPr>
          <a:spLocks/>
        </xdr:cNvSpPr>
      </xdr:nvSpPr>
      <xdr:spPr bwMode="auto">
        <a:xfrm>
          <a:off x="23827740" y="123825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55</xdr:row>
      <xdr:rowOff>38100</xdr:rowOff>
    </xdr:from>
    <xdr:to>
      <xdr:col>37</xdr:col>
      <xdr:colOff>142875</xdr:colOff>
      <xdr:row>56</xdr:row>
      <xdr:rowOff>219075</xdr:rowOff>
    </xdr:to>
    <xdr:sp macro="" textlink="">
      <xdr:nvSpPr>
        <xdr:cNvPr id="44" name="AutoShape 227">
          <a:extLst>
            <a:ext uri="{FF2B5EF4-FFF2-40B4-BE49-F238E27FC236}">
              <a16:creationId xmlns:a16="http://schemas.microsoft.com/office/drawing/2014/main" id="{0F366CED-7C2C-47A3-AA88-EA8DA3629E19}"/>
            </a:ext>
          </a:extLst>
        </xdr:cNvPr>
        <xdr:cNvSpPr>
          <a:spLocks/>
        </xdr:cNvSpPr>
      </xdr:nvSpPr>
      <xdr:spPr bwMode="auto">
        <a:xfrm>
          <a:off x="23827740" y="133273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53</xdr:row>
      <xdr:rowOff>38100</xdr:rowOff>
    </xdr:from>
    <xdr:to>
      <xdr:col>37</xdr:col>
      <xdr:colOff>142875</xdr:colOff>
      <xdr:row>54</xdr:row>
      <xdr:rowOff>219075</xdr:rowOff>
    </xdr:to>
    <xdr:sp macro="" textlink="">
      <xdr:nvSpPr>
        <xdr:cNvPr id="45" name="AutoShape 228">
          <a:extLst>
            <a:ext uri="{FF2B5EF4-FFF2-40B4-BE49-F238E27FC236}">
              <a16:creationId xmlns:a16="http://schemas.microsoft.com/office/drawing/2014/main" id="{FA230430-963F-443A-9F75-9855D09E62FA}"/>
            </a:ext>
          </a:extLst>
        </xdr:cNvPr>
        <xdr:cNvSpPr>
          <a:spLocks/>
        </xdr:cNvSpPr>
      </xdr:nvSpPr>
      <xdr:spPr bwMode="auto">
        <a:xfrm>
          <a:off x="23827740" y="128549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35</xdr:row>
      <xdr:rowOff>38100</xdr:rowOff>
    </xdr:from>
    <xdr:to>
      <xdr:col>37</xdr:col>
      <xdr:colOff>142875</xdr:colOff>
      <xdr:row>36</xdr:row>
      <xdr:rowOff>219075</xdr:rowOff>
    </xdr:to>
    <xdr:sp macro="" textlink="">
      <xdr:nvSpPr>
        <xdr:cNvPr id="46" name="AutoShape 229">
          <a:extLst>
            <a:ext uri="{FF2B5EF4-FFF2-40B4-BE49-F238E27FC236}">
              <a16:creationId xmlns:a16="http://schemas.microsoft.com/office/drawing/2014/main" id="{D0D85559-9DBC-4D11-B8F5-90D0C5FFB950}"/>
            </a:ext>
          </a:extLst>
        </xdr:cNvPr>
        <xdr:cNvSpPr>
          <a:spLocks/>
        </xdr:cNvSpPr>
      </xdr:nvSpPr>
      <xdr:spPr bwMode="auto">
        <a:xfrm>
          <a:off x="23827740" y="86029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37</xdr:row>
      <xdr:rowOff>38100</xdr:rowOff>
    </xdr:from>
    <xdr:to>
      <xdr:col>37</xdr:col>
      <xdr:colOff>142875</xdr:colOff>
      <xdr:row>38</xdr:row>
      <xdr:rowOff>219075</xdr:rowOff>
    </xdr:to>
    <xdr:sp macro="" textlink="">
      <xdr:nvSpPr>
        <xdr:cNvPr id="47" name="AutoShape 230">
          <a:extLst>
            <a:ext uri="{FF2B5EF4-FFF2-40B4-BE49-F238E27FC236}">
              <a16:creationId xmlns:a16="http://schemas.microsoft.com/office/drawing/2014/main" id="{4204E6A4-5487-4ED7-A457-2C1662CA56FB}"/>
            </a:ext>
          </a:extLst>
        </xdr:cNvPr>
        <xdr:cNvSpPr>
          <a:spLocks/>
        </xdr:cNvSpPr>
      </xdr:nvSpPr>
      <xdr:spPr bwMode="auto">
        <a:xfrm>
          <a:off x="23827740" y="90754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2</xdr:col>
      <xdr:colOff>0</xdr:colOff>
      <xdr:row>12</xdr:row>
      <xdr:rowOff>219075</xdr:rowOff>
    </xdr:to>
    <xdr:sp macro="" textlink="">
      <xdr:nvSpPr>
        <xdr:cNvPr id="2" name="AutoShape 200">
          <a:extLst>
            <a:ext uri="{FF2B5EF4-FFF2-40B4-BE49-F238E27FC236}">
              <a16:creationId xmlns:a16="http://schemas.microsoft.com/office/drawing/2014/main" id="{3B3EA471-131E-4078-8DA3-C4006B048C5A}"/>
            </a:ext>
          </a:extLst>
        </xdr:cNvPr>
        <xdr:cNvSpPr>
          <a:spLocks/>
        </xdr:cNvSpPr>
      </xdr:nvSpPr>
      <xdr:spPr bwMode="auto">
        <a:xfrm>
          <a:off x="899160" y="29337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3" name="AutoShape 201">
          <a:extLst>
            <a:ext uri="{FF2B5EF4-FFF2-40B4-BE49-F238E27FC236}">
              <a16:creationId xmlns:a16="http://schemas.microsoft.com/office/drawing/2014/main" id="{C1049130-C8D5-4492-B19C-098CD9BFFC29}"/>
            </a:ext>
          </a:extLst>
        </xdr:cNvPr>
        <xdr:cNvSpPr>
          <a:spLocks/>
        </xdr:cNvSpPr>
      </xdr:nvSpPr>
      <xdr:spPr bwMode="auto">
        <a:xfrm>
          <a:off x="899160" y="38785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4" name="AutoShape 202">
          <a:extLst>
            <a:ext uri="{FF2B5EF4-FFF2-40B4-BE49-F238E27FC236}">
              <a16:creationId xmlns:a16="http://schemas.microsoft.com/office/drawing/2014/main" id="{DBF87D9D-8020-497C-B92A-8187043E2AA9}"/>
            </a:ext>
          </a:extLst>
        </xdr:cNvPr>
        <xdr:cNvSpPr>
          <a:spLocks/>
        </xdr:cNvSpPr>
      </xdr:nvSpPr>
      <xdr:spPr bwMode="auto">
        <a:xfrm>
          <a:off x="899160" y="57683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2</xdr:col>
      <xdr:colOff>0</xdr:colOff>
      <xdr:row>14</xdr:row>
      <xdr:rowOff>219075</xdr:rowOff>
    </xdr:to>
    <xdr:sp macro="" textlink="">
      <xdr:nvSpPr>
        <xdr:cNvPr id="5" name="AutoShape 203">
          <a:extLst>
            <a:ext uri="{FF2B5EF4-FFF2-40B4-BE49-F238E27FC236}">
              <a16:creationId xmlns:a16="http://schemas.microsoft.com/office/drawing/2014/main" id="{2F525BD6-F28D-455C-B20E-8EA51E4590A2}"/>
            </a:ext>
          </a:extLst>
        </xdr:cNvPr>
        <xdr:cNvSpPr>
          <a:spLocks/>
        </xdr:cNvSpPr>
      </xdr:nvSpPr>
      <xdr:spPr bwMode="auto">
        <a:xfrm>
          <a:off x="899160" y="3406140"/>
          <a:ext cx="60960" cy="417195"/>
        </a:xfrm>
        <a:prstGeom prst="leftBrace">
          <a:avLst>
            <a:gd name="adj1" fmla="val 5150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6" name="AutoShape 204">
          <a:extLst>
            <a:ext uri="{FF2B5EF4-FFF2-40B4-BE49-F238E27FC236}">
              <a16:creationId xmlns:a16="http://schemas.microsoft.com/office/drawing/2014/main" id="{2A5EDA09-AEE4-4FA2-81E4-F57F309AA807}"/>
            </a:ext>
          </a:extLst>
        </xdr:cNvPr>
        <xdr:cNvSpPr>
          <a:spLocks/>
        </xdr:cNvSpPr>
      </xdr:nvSpPr>
      <xdr:spPr bwMode="auto">
        <a:xfrm>
          <a:off x="899160" y="62407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7" name="AutoShape 205">
          <a:extLst>
            <a:ext uri="{FF2B5EF4-FFF2-40B4-BE49-F238E27FC236}">
              <a16:creationId xmlns:a16="http://schemas.microsoft.com/office/drawing/2014/main" id="{5EB2C2B4-6538-420C-9B2B-9166D31214C2}"/>
            </a:ext>
          </a:extLst>
        </xdr:cNvPr>
        <xdr:cNvSpPr>
          <a:spLocks/>
        </xdr:cNvSpPr>
      </xdr:nvSpPr>
      <xdr:spPr bwMode="auto">
        <a:xfrm>
          <a:off x="899160" y="43510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8" name="AutoShape 206">
          <a:extLst>
            <a:ext uri="{FF2B5EF4-FFF2-40B4-BE49-F238E27FC236}">
              <a16:creationId xmlns:a16="http://schemas.microsoft.com/office/drawing/2014/main" id="{69968221-2C58-468A-8E2F-F8E6E0645247}"/>
            </a:ext>
          </a:extLst>
        </xdr:cNvPr>
        <xdr:cNvSpPr>
          <a:spLocks/>
        </xdr:cNvSpPr>
      </xdr:nvSpPr>
      <xdr:spPr bwMode="auto">
        <a:xfrm>
          <a:off x="899160" y="67132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9" name="AutoShape 207">
          <a:extLst>
            <a:ext uri="{FF2B5EF4-FFF2-40B4-BE49-F238E27FC236}">
              <a16:creationId xmlns:a16="http://schemas.microsoft.com/office/drawing/2014/main" id="{C3CD3966-AA1D-46CE-A46E-6517261E2A21}"/>
            </a:ext>
          </a:extLst>
        </xdr:cNvPr>
        <xdr:cNvSpPr>
          <a:spLocks/>
        </xdr:cNvSpPr>
      </xdr:nvSpPr>
      <xdr:spPr bwMode="auto">
        <a:xfrm>
          <a:off x="899160" y="71856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0" name="AutoShape 209">
          <a:extLst>
            <a:ext uri="{FF2B5EF4-FFF2-40B4-BE49-F238E27FC236}">
              <a16:creationId xmlns:a16="http://schemas.microsoft.com/office/drawing/2014/main" id="{2976B3AA-1CA8-4EE5-BAC9-29384F4320DF}"/>
            </a:ext>
          </a:extLst>
        </xdr:cNvPr>
        <xdr:cNvSpPr>
          <a:spLocks/>
        </xdr:cNvSpPr>
      </xdr:nvSpPr>
      <xdr:spPr bwMode="auto">
        <a:xfrm>
          <a:off x="899160" y="76581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1" name="AutoShape 210">
          <a:extLst>
            <a:ext uri="{FF2B5EF4-FFF2-40B4-BE49-F238E27FC236}">
              <a16:creationId xmlns:a16="http://schemas.microsoft.com/office/drawing/2014/main" id="{8EE00EEA-7B41-4118-B20D-A1F7EC1808B5}"/>
            </a:ext>
          </a:extLst>
        </xdr:cNvPr>
        <xdr:cNvSpPr>
          <a:spLocks/>
        </xdr:cNvSpPr>
      </xdr:nvSpPr>
      <xdr:spPr bwMode="auto">
        <a:xfrm>
          <a:off x="899160" y="81305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2" name="AutoShape 215">
          <a:extLst>
            <a:ext uri="{FF2B5EF4-FFF2-40B4-BE49-F238E27FC236}">
              <a16:creationId xmlns:a16="http://schemas.microsoft.com/office/drawing/2014/main" id="{90298256-E0EB-4256-9A11-8F11443F8F7C}"/>
            </a:ext>
          </a:extLst>
        </xdr:cNvPr>
        <xdr:cNvSpPr>
          <a:spLocks/>
        </xdr:cNvSpPr>
      </xdr:nvSpPr>
      <xdr:spPr bwMode="auto">
        <a:xfrm>
          <a:off x="899160" y="48234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3" name="AutoShape 216">
          <a:extLst>
            <a:ext uri="{FF2B5EF4-FFF2-40B4-BE49-F238E27FC236}">
              <a16:creationId xmlns:a16="http://schemas.microsoft.com/office/drawing/2014/main" id="{F92D1A7F-267A-4496-889F-CAC3FE2F6F19}"/>
            </a:ext>
          </a:extLst>
        </xdr:cNvPr>
        <xdr:cNvSpPr>
          <a:spLocks/>
        </xdr:cNvSpPr>
      </xdr:nvSpPr>
      <xdr:spPr bwMode="auto">
        <a:xfrm>
          <a:off x="899160" y="52959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4" name="AutoShape 220">
          <a:extLst>
            <a:ext uri="{FF2B5EF4-FFF2-40B4-BE49-F238E27FC236}">
              <a16:creationId xmlns:a16="http://schemas.microsoft.com/office/drawing/2014/main" id="{38C59E8A-DEDA-4EB6-B858-630D3691AA7F}"/>
            </a:ext>
          </a:extLst>
        </xdr:cNvPr>
        <xdr:cNvSpPr>
          <a:spLocks/>
        </xdr:cNvSpPr>
      </xdr:nvSpPr>
      <xdr:spPr bwMode="auto">
        <a:xfrm>
          <a:off x="899160" y="95478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5" name="AutoShape 221">
          <a:extLst>
            <a:ext uri="{FF2B5EF4-FFF2-40B4-BE49-F238E27FC236}">
              <a16:creationId xmlns:a16="http://schemas.microsoft.com/office/drawing/2014/main" id="{E1FB2C7A-D913-4C9B-98B4-63513A8ECCB6}"/>
            </a:ext>
          </a:extLst>
        </xdr:cNvPr>
        <xdr:cNvSpPr>
          <a:spLocks/>
        </xdr:cNvSpPr>
      </xdr:nvSpPr>
      <xdr:spPr bwMode="auto">
        <a:xfrm>
          <a:off x="899160" y="100203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6" name="AutoShape 222">
          <a:extLst>
            <a:ext uri="{FF2B5EF4-FFF2-40B4-BE49-F238E27FC236}">
              <a16:creationId xmlns:a16="http://schemas.microsoft.com/office/drawing/2014/main" id="{42ECD3B9-3F1D-4A94-AFF6-4648B87BB22B}"/>
            </a:ext>
          </a:extLst>
        </xdr:cNvPr>
        <xdr:cNvSpPr>
          <a:spLocks/>
        </xdr:cNvSpPr>
      </xdr:nvSpPr>
      <xdr:spPr bwMode="auto">
        <a:xfrm>
          <a:off x="899160" y="104927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7" name="AutoShape 223">
          <a:extLst>
            <a:ext uri="{FF2B5EF4-FFF2-40B4-BE49-F238E27FC236}">
              <a16:creationId xmlns:a16="http://schemas.microsoft.com/office/drawing/2014/main" id="{1121F399-FAB1-4750-AA27-9A0C0DF73DB7}"/>
            </a:ext>
          </a:extLst>
        </xdr:cNvPr>
        <xdr:cNvSpPr>
          <a:spLocks/>
        </xdr:cNvSpPr>
      </xdr:nvSpPr>
      <xdr:spPr bwMode="auto">
        <a:xfrm>
          <a:off x="899160" y="109651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8" name="AutoShape 224">
          <a:extLst>
            <a:ext uri="{FF2B5EF4-FFF2-40B4-BE49-F238E27FC236}">
              <a16:creationId xmlns:a16="http://schemas.microsoft.com/office/drawing/2014/main" id="{8B2341AD-CB7B-49A2-A4A5-2BCA9CB4152C}"/>
            </a:ext>
          </a:extLst>
        </xdr:cNvPr>
        <xdr:cNvSpPr>
          <a:spLocks/>
        </xdr:cNvSpPr>
      </xdr:nvSpPr>
      <xdr:spPr bwMode="auto">
        <a:xfrm>
          <a:off x="899160" y="114376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9" name="AutoShape 225">
          <a:extLst>
            <a:ext uri="{FF2B5EF4-FFF2-40B4-BE49-F238E27FC236}">
              <a16:creationId xmlns:a16="http://schemas.microsoft.com/office/drawing/2014/main" id="{04A424ED-1B31-45E5-B17C-C6AD81551E33}"/>
            </a:ext>
          </a:extLst>
        </xdr:cNvPr>
        <xdr:cNvSpPr>
          <a:spLocks/>
        </xdr:cNvSpPr>
      </xdr:nvSpPr>
      <xdr:spPr bwMode="auto">
        <a:xfrm>
          <a:off x="899160" y="1191006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20" name="AutoShape 226">
          <a:extLst>
            <a:ext uri="{FF2B5EF4-FFF2-40B4-BE49-F238E27FC236}">
              <a16:creationId xmlns:a16="http://schemas.microsoft.com/office/drawing/2014/main" id="{B512322B-7707-4D8B-AE24-AD56B994CE23}"/>
            </a:ext>
          </a:extLst>
        </xdr:cNvPr>
        <xdr:cNvSpPr>
          <a:spLocks/>
        </xdr:cNvSpPr>
      </xdr:nvSpPr>
      <xdr:spPr bwMode="auto">
        <a:xfrm>
          <a:off x="899160" y="1238250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21" name="AutoShape 227">
          <a:extLst>
            <a:ext uri="{FF2B5EF4-FFF2-40B4-BE49-F238E27FC236}">
              <a16:creationId xmlns:a16="http://schemas.microsoft.com/office/drawing/2014/main" id="{BA8BEFC9-DF24-4667-B585-AB66E5915B6E}"/>
            </a:ext>
          </a:extLst>
        </xdr:cNvPr>
        <xdr:cNvSpPr>
          <a:spLocks/>
        </xdr:cNvSpPr>
      </xdr:nvSpPr>
      <xdr:spPr bwMode="auto">
        <a:xfrm>
          <a:off x="899160" y="133273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22" name="AutoShape 228">
          <a:extLst>
            <a:ext uri="{FF2B5EF4-FFF2-40B4-BE49-F238E27FC236}">
              <a16:creationId xmlns:a16="http://schemas.microsoft.com/office/drawing/2014/main" id="{D8CEFEB8-931E-487A-A013-899864115657}"/>
            </a:ext>
          </a:extLst>
        </xdr:cNvPr>
        <xdr:cNvSpPr>
          <a:spLocks/>
        </xdr:cNvSpPr>
      </xdr:nvSpPr>
      <xdr:spPr bwMode="auto">
        <a:xfrm>
          <a:off x="899160" y="1285494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23" name="AutoShape 229">
          <a:extLst>
            <a:ext uri="{FF2B5EF4-FFF2-40B4-BE49-F238E27FC236}">
              <a16:creationId xmlns:a16="http://schemas.microsoft.com/office/drawing/2014/main" id="{B897EF6D-2500-4253-859C-5B0986A51CE6}"/>
            </a:ext>
          </a:extLst>
        </xdr:cNvPr>
        <xdr:cNvSpPr>
          <a:spLocks/>
        </xdr:cNvSpPr>
      </xdr:nvSpPr>
      <xdr:spPr bwMode="auto">
        <a:xfrm>
          <a:off x="899160" y="860298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24" name="AutoShape 230">
          <a:extLst>
            <a:ext uri="{FF2B5EF4-FFF2-40B4-BE49-F238E27FC236}">
              <a16:creationId xmlns:a16="http://schemas.microsoft.com/office/drawing/2014/main" id="{E7F27AE5-8628-4757-B121-F0DA9B683E1F}"/>
            </a:ext>
          </a:extLst>
        </xdr:cNvPr>
        <xdr:cNvSpPr>
          <a:spLocks/>
        </xdr:cNvSpPr>
      </xdr:nvSpPr>
      <xdr:spPr bwMode="auto">
        <a:xfrm>
          <a:off x="899160" y="9075420"/>
          <a:ext cx="60960" cy="41719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11</xdr:row>
      <xdr:rowOff>38100</xdr:rowOff>
    </xdr:from>
    <xdr:to>
      <xdr:col>37</xdr:col>
      <xdr:colOff>142875</xdr:colOff>
      <xdr:row>12</xdr:row>
      <xdr:rowOff>219075</xdr:rowOff>
    </xdr:to>
    <xdr:sp macro="" textlink="">
      <xdr:nvSpPr>
        <xdr:cNvPr id="25" name="AutoShape 200">
          <a:extLst>
            <a:ext uri="{FF2B5EF4-FFF2-40B4-BE49-F238E27FC236}">
              <a16:creationId xmlns:a16="http://schemas.microsoft.com/office/drawing/2014/main" id="{6C906791-31EC-4158-A8E5-D2D49BAC952D}"/>
            </a:ext>
          </a:extLst>
        </xdr:cNvPr>
        <xdr:cNvSpPr>
          <a:spLocks/>
        </xdr:cNvSpPr>
      </xdr:nvSpPr>
      <xdr:spPr bwMode="auto">
        <a:xfrm>
          <a:off x="23827740" y="29337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15</xdr:row>
      <xdr:rowOff>38100</xdr:rowOff>
    </xdr:from>
    <xdr:to>
      <xdr:col>37</xdr:col>
      <xdr:colOff>142875</xdr:colOff>
      <xdr:row>16</xdr:row>
      <xdr:rowOff>219075</xdr:rowOff>
    </xdr:to>
    <xdr:sp macro="" textlink="">
      <xdr:nvSpPr>
        <xdr:cNvPr id="26" name="AutoShape 201">
          <a:extLst>
            <a:ext uri="{FF2B5EF4-FFF2-40B4-BE49-F238E27FC236}">
              <a16:creationId xmlns:a16="http://schemas.microsoft.com/office/drawing/2014/main" id="{82308ABE-DD97-433F-8E71-F1DA5C81790E}"/>
            </a:ext>
          </a:extLst>
        </xdr:cNvPr>
        <xdr:cNvSpPr>
          <a:spLocks/>
        </xdr:cNvSpPr>
      </xdr:nvSpPr>
      <xdr:spPr bwMode="auto">
        <a:xfrm>
          <a:off x="23827740" y="38785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23</xdr:row>
      <xdr:rowOff>38100</xdr:rowOff>
    </xdr:from>
    <xdr:to>
      <xdr:col>37</xdr:col>
      <xdr:colOff>142875</xdr:colOff>
      <xdr:row>24</xdr:row>
      <xdr:rowOff>219075</xdr:rowOff>
    </xdr:to>
    <xdr:sp macro="" textlink="">
      <xdr:nvSpPr>
        <xdr:cNvPr id="27" name="AutoShape 202">
          <a:extLst>
            <a:ext uri="{FF2B5EF4-FFF2-40B4-BE49-F238E27FC236}">
              <a16:creationId xmlns:a16="http://schemas.microsoft.com/office/drawing/2014/main" id="{69C1240E-CEC0-47DA-86A5-A5C55341C232}"/>
            </a:ext>
          </a:extLst>
        </xdr:cNvPr>
        <xdr:cNvSpPr>
          <a:spLocks/>
        </xdr:cNvSpPr>
      </xdr:nvSpPr>
      <xdr:spPr bwMode="auto">
        <a:xfrm>
          <a:off x="23827740" y="57683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13</xdr:row>
      <xdr:rowOff>38100</xdr:rowOff>
    </xdr:from>
    <xdr:to>
      <xdr:col>37</xdr:col>
      <xdr:colOff>142875</xdr:colOff>
      <xdr:row>14</xdr:row>
      <xdr:rowOff>219075</xdr:rowOff>
    </xdr:to>
    <xdr:sp macro="" textlink="">
      <xdr:nvSpPr>
        <xdr:cNvPr id="28" name="AutoShape 203">
          <a:extLst>
            <a:ext uri="{FF2B5EF4-FFF2-40B4-BE49-F238E27FC236}">
              <a16:creationId xmlns:a16="http://schemas.microsoft.com/office/drawing/2014/main" id="{32BE8726-E3F9-4D9B-AD53-3A6201A0D419}"/>
            </a:ext>
          </a:extLst>
        </xdr:cNvPr>
        <xdr:cNvSpPr>
          <a:spLocks/>
        </xdr:cNvSpPr>
      </xdr:nvSpPr>
      <xdr:spPr bwMode="auto">
        <a:xfrm>
          <a:off x="23827740" y="34061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25</xdr:row>
      <xdr:rowOff>38100</xdr:rowOff>
    </xdr:from>
    <xdr:to>
      <xdr:col>37</xdr:col>
      <xdr:colOff>142875</xdr:colOff>
      <xdr:row>26</xdr:row>
      <xdr:rowOff>219075</xdr:rowOff>
    </xdr:to>
    <xdr:sp macro="" textlink="">
      <xdr:nvSpPr>
        <xdr:cNvPr id="29" name="AutoShape 204">
          <a:extLst>
            <a:ext uri="{FF2B5EF4-FFF2-40B4-BE49-F238E27FC236}">
              <a16:creationId xmlns:a16="http://schemas.microsoft.com/office/drawing/2014/main" id="{742214F6-F932-404A-A1A4-843FC8C45077}"/>
            </a:ext>
          </a:extLst>
        </xdr:cNvPr>
        <xdr:cNvSpPr>
          <a:spLocks/>
        </xdr:cNvSpPr>
      </xdr:nvSpPr>
      <xdr:spPr bwMode="auto">
        <a:xfrm>
          <a:off x="23827740" y="62407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17</xdr:row>
      <xdr:rowOff>38100</xdr:rowOff>
    </xdr:from>
    <xdr:to>
      <xdr:col>37</xdr:col>
      <xdr:colOff>142875</xdr:colOff>
      <xdr:row>18</xdr:row>
      <xdr:rowOff>219075</xdr:rowOff>
    </xdr:to>
    <xdr:sp macro="" textlink="">
      <xdr:nvSpPr>
        <xdr:cNvPr id="30" name="AutoShape 205">
          <a:extLst>
            <a:ext uri="{FF2B5EF4-FFF2-40B4-BE49-F238E27FC236}">
              <a16:creationId xmlns:a16="http://schemas.microsoft.com/office/drawing/2014/main" id="{F7EA2080-D8EA-4990-8A10-7F680145A8ED}"/>
            </a:ext>
          </a:extLst>
        </xdr:cNvPr>
        <xdr:cNvSpPr>
          <a:spLocks/>
        </xdr:cNvSpPr>
      </xdr:nvSpPr>
      <xdr:spPr bwMode="auto">
        <a:xfrm>
          <a:off x="23827740" y="43510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27</xdr:row>
      <xdr:rowOff>38100</xdr:rowOff>
    </xdr:from>
    <xdr:to>
      <xdr:col>37</xdr:col>
      <xdr:colOff>142875</xdr:colOff>
      <xdr:row>28</xdr:row>
      <xdr:rowOff>219075</xdr:rowOff>
    </xdr:to>
    <xdr:sp macro="" textlink="">
      <xdr:nvSpPr>
        <xdr:cNvPr id="31" name="AutoShape 206">
          <a:extLst>
            <a:ext uri="{FF2B5EF4-FFF2-40B4-BE49-F238E27FC236}">
              <a16:creationId xmlns:a16="http://schemas.microsoft.com/office/drawing/2014/main" id="{E836E92F-FD95-4822-BDF4-6D606AF8A5FB}"/>
            </a:ext>
          </a:extLst>
        </xdr:cNvPr>
        <xdr:cNvSpPr>
          <a:spLocks/>
        </xdr:cNvSpPr>
      </xdr:nvSpPr>
      <xdr:spPr bwMode="auto">
        <a:xfrm>
          <a:off x="23827740" y="67132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29</xdr:row>
      <xdr:rowOff>38100</xdr:rowOff>
    </xdr:from>
    <xdr:to>
      <xdr:col>37</xdr:col>
      <xdr:colOff>142875</xdr:colOff>
      <xdr:row>30</xdr:row>
      <xdr:rowOff>219075</xdr:rowOff>
    </xdr:to>
    <xdr:sp macro="" textlink="">
      <xdr:nvSpPr>
        <xdr:cNvPr id="32" name="AutoShape 207">
          <a:extLst>
            <a:ext uri="{FF2B5EF4-FFF2-40B4-BE49-F238E27FC236}">
              <a16:creationId xmlns:a16="http://schemas.microsoft.com/office/drawing/2014/main" id="{D9F047EF-C504-4C9A-AC11-BBA47D42B081}"/>
            </a:ext>
          </a:extLst>
        </xdr:cNvPr>
        <xdr:cNvSpPr>
          <a:spLocks/>
        </xdr:cNvSpPr>
      </xdr:nvSpPr>
      <xdr:spPr bwMode="auto">
        <a:xfrm>
          <a:off x="23827740" y="71856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31</xdr:row>
      <xdr:rowOff>38100</xdr:rowOff>
    </xdr:from>
    <xdr:to>
      <xdr:col>37</xdr:col>
      <xdr:colOff>142875</xdr:colOff>
      <xdr:row>32</xdr:row>
      <xdr:rowOff>219075</xdr:rowOff>
    </xdr:to>
    <xdr:sp macro="" textlink="">
      <xdr:nvSpPr>
        <xdr:cNvPr id="33" name="AutoShape 209">
          <a:extLst>
            <a:ext uri="{FF2B5EF4-FFF2-40B4-BE49-F238E27FC236}">
              <a16:creationId xmlns:a16="http://schemas.microsoft.com/office/drawing/2014/main" id="{65567591-1439-4D47-9CFC-1847ABFD1519}"/>
            </a:ext>
          </a:extLst>
        </xdr:cNvPr>
        <xdr:cNvSpPr>
          <a:spLocks/>
        </xdr:cNvSpPr>
      </xdr:nvSpPr>
      <xdr:spPr bwMode="auto">
        <a:xfrm>
          <a:off x="23827740" y="76581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33</xdr:row>
      <xdr:rowOff>38100</xdr:rowOff>
    </xdr:from>
    <xdr:to>
      <xdr:col>37</xdr:col>
      <xdr:colOff>142875</xdr:colOff>
      <xdr:row>34</xdr:row>
      <xdr:rowOff>219075</xdr:rowOff>
    </xdr:to>
    <xdr:sp macro="" textlink="">
      <xdr:nvSpPr>
        <xdr:cNvPr id="34" name="AutoShape 210">
          <a:extLst>
            <a:ext uri="{FF2B5EF4-FFF2-40B4-BE49-F238E27FC236}">
              <a16:creationId xmlns:a16="http://schemas.microsoft.com/office/drawing/2014/main" id="{DC2A327C-9D7A-4355-A6A1-BA57BC357FA3}"/>
            </a:ext>
          </a:extLst>
        </xdr:cNvPr>
        <xdr:cNvSpPr>
          <a:spLocks/>
        </xdr:cNvSpPr>
      </xdr:nvSpPr>
      <xdr:spPr bwMode="auto">
        <a:xfrm>
          <a:off x="23827740" y="81305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19</xdr:row>
      <xdr:rowOff>38100</xdr:rowOff>
    </xdr:from>
    <xdr:to>
      <xdr:col>37</xdr:col>
      <xdr:colOff>142875</xdr:colOff>
      <xdr:row>20</xdr:row>
      <xdr:rowOff>219075</xdr:rowOff>
    </xdr:to>
    <xdr:sp macro="" textlink="">
      <xdr:nvSpPr>
        <xdr:cNvPr id="35" name="AutoShape 215">
          <a:extLst>
            <a:ext uri="{FF2B5EF4-FFF2-40B4-BE49-F238E27FC236}">
              <a16:creationId xmlns:a16="http://schemas.microsoft.com/office/drawing/2014/main" id="{78D2538D-A757-4DBC-AA4C-E2070A684122}"/>
            </a:ext>
          </a:extLst>
        </xdr:cNvPr>
        <xdr:cNvSpPr>
          <a:spLocks/>
        </xdr:cNvSpPr>
      </xdr:nvSpPr>
      <xdr:spPr bwMode="auto">
        <a:xfrm>
          <a:off x="23827740" y="48234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21</xdr:row>
      <xdr:rowOff>38100</xdr:rowOff>
    </xdr:from>
    <xdr:to>
      <xdr:col>37</xdr:col>
      <xdr:colOff>142875</xdr:colOff>
      <xdr:row>22</xdr:row>
      <xdr:rowOff>219075</xdr:rowOff>
    </xdr:to>
    <xdr:sp macro="" textlink="">
      <xdr:nvSpPr>
        <xdr:cNvPr id="36" name="AutoShape 216">
          <a:extLst>
            <a:ext uri="{FF2B5EF4-FFF2-40B4-BE49-F238E27FC236}">
              <a16:creationId xmlns:a16="http://schemas.microsoft.com/office/drawing/2014/main" id="{57808DF4-9D22-4F46-BBB1-3856A9F0FD26}"/>
            </a:ext>
          </a:extLst>
        </xdr:cNvPr>
        <xdr:cNvSpPr>
          <a:spLocks/>
        </xdr:cNvSpPr>
      </xdr:nvSpPr>
      <xdr:spPr bwMode="auto">
        <a:xfrm>
          <a:off x="23827740" y="52959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39</xdr:row>
      <xdr:rowOff>38100</xdr:rowOff>
    </xdr:from>
    <xdr:to>
      <xdr:col>37</xdr:col>
      <xdr:colOff>142875</xdr:colOff>
      <xdr:row>40</xdr:row>
      <xdr:rowOff>219075</xdr:rowOff>
    </xdr:to>
    <xdr:sp macro="" textlink="">
      <xdr:nvSpPr>
        <xdr:cNvPr id="37" name="AutoShape 220">
          <a:extLst>
            <a:ext uri="{FF2B5EF4-FFF2-40B4-BE49-F238E27FC236}">
              <a16:creationId xmlns:a16="http://schemas.microsoft.com/office/drawing/2014/main" id="{CCFF0F52-D5E9-454E-AA1B-78A28FDBC7EA}"/>
            </a:ext>
          </a:extLst>
        </xdr:cNvPr>
        <xdr:cNvSpPr>
          <a:spLocks/>
        </xdr:cNvSpPr>
      </xdr:nvSpPr>
      <xdr:spPr bwMode="auto">
        <a:xfrm>
          <a:off x="23827740" y="95478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41</xdr:row>
      <xdr:rowOff>38100</xdr:rowOff>
    </xdr:from>
    <xdr:to>
      <xdr:col>37</xdr:col>
      <xdr:colOff>142875</xdr:colOff>
      <xdr:row>42</xdr:row>
      <xdr:rowOff>219075</xdr:rowOff>
    </xdr:to>
    <xdr:sp macro="" textlink="">
      <xdr:nvSpPr>
        <xdr:cNvPr id="38" name="AutoShape 221">
          <a:extLst>
            <a:ext uri="{FF2B5EF4-FFF2-40B4-BE49-F238E27FC236}">
              <a16:creationId xmlns:a16="http://schemas.microsoft.com/office/drawing/2014/main" id="{F41F34A4-2A6F-422A-888B-E1E866AC17BF}"/>
            </a:ext>
          </a:extLst>
        </xdr:cNvPr>
        <xdr:cNvSpPr>
          <a:spLocks/>
        </xdr:cNvSpPr>
      </xdr:nvSpPr>
      <xdr:spPr bwMode="auto">
        <a:xfrm>
          <a:off x="23827740" y="100203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43</xdr:row>
      <xdr:rowOff>38100</xdr:rowOff>
    </xdr:from>
    <xdr:to>
      <xdr:col>37</xdr:col>
      <xdr:colOff>142875</xdr:colOff>
      <xdr:row>44</xdr:row>
      <xdr:rowOff>219075</xdr:rowOff>
    </xdr:to>
    <xdr:sp macro="" textlink="">
      <xdr:nvSpPr>
        <xdr:cNvPr id="39" name="AutoShape 222">
          <a:extLst>
            <a:ext uri="{FF2B5EF4-FFF2-40B4-BE49-F238E27FC236}">
              <a16:creationId xmlns:a16="http://schemas.microsoft.com/office/drawing/2014/main" id="{5ACCC16D-6B45-4A75-8E55-83FE219CE996}"/>
            </a:ext>
          </a:extLst>
        </xdr:cNvPr>
        <xdr:cNvSpPr>
          <a:spLocks/>
        </xdr:cNvSpPr>
      </xdr:nvSpPr>
      <xdr:spPr bwMode="auto">
        <a:xfrm>
          <a:off x="23827740" y="104927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45</xdr:row>
      <xdr:rowOff>38100</xdr:rowOff>
    </xdr:from>
    <xdr:to>
      <xdr:col>37</xdr:col>
      <xdr:colOff>142875</xdr:colOff>
      <xdr:row>46</xdr:row>
      <xdr:rowOff>219075</xdr:rowOff>
    </xdr:to>
    <xdr:sp macro="" textlink="">
      <xdr:nvSpPr>
        <xdr:cNvPr id="40" name="AutoShape 223">
          <a:extLst>
            <a:ext uri="{FF2B5EF4-FFF2-40B4-BE49-F238E27FC236}">
              <a16:creationId xmlns:a16="http://schemas.microsoft.com/office/drawing/2014/main" id="{3406A34F-69A5-44F2-8DBC-1BDD87A57A88}"/>
            </a:ext>
          </a:extLst>
        </xdr:cNvPr>
        <xdr:cNvSpPr>
          <a:spLocks/>
        </xdr:cNvSpPr>
      </xdr:nvSpPr>
      <xdr:spPr bwMode="auto">
        <a:xfrm>
          <a:off x="23827740" y="109651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47</xdr:row>
      <xdr:rowOff>38100</xdr:rowOff>
    </xdr:from>
    <xdr:to>
      <xdr:col>37</xdr:col>
      <xdr:colOff>142875</xdr:colOff>
      <xdr:row>48</xdr:row>
      <xdr:rowOff>219075</xdr:rowOff>
    </xdr:to>
    <xdr:sp macro="" textlink="">
      <xdr:nvSpPr>
        <xdr:cNvPr id="41" name="AutoShape 224">
          <a:extLst>
            <a:ext uri="{FF2B5EF4-FFF2-40B4-BE49-F238E27FC236}">
              <a16:creationId xmlns:a16="http://schemas.microsoft.com/office/drawing/2014/main" id="{C908374E-5209-49F0-84AD-5D28088D3A18}"/>
            </a:ext>
          </a:extLst>
        </xdr:cNvPr>
        <xdr:cNvSpPr>
          <a:spLocks/>
        </xdr:cNvSpPr>
      </xdr:nvSpPr>
      <xdr:spPr bwMode="auto">
        <a:xfrm>
          <a:off x="23827740" y="114376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49</xdr:row>
      <xdr:rowOff>38100</xdr:rowOff>
    </xdr:from>
    <xdr:to>
      <xdr:col>37</xdr:col>
      <xdr:colOff>142875</xdr:colOff>
      <xdr:row>50</xdr:row>
      <xdr:rowOff>219075</xdr:rowOff>
    </xdr:to>
    <xdr:sp macro="" textlink="">
      <xdr:nvSpPr>
        <xdr:cNvPr id="42" name="AutoShape 225">
          <a:extLst>
            <a:ext uri="{FF2B5EF4-FFF2-40B4-BE49-F238E27FC236}">
              <a16:creationId xmlns:a16="http://schemas.microsoft.com/office/drawing/2014/main" id="{487D48FD-AD95-40B1-80F2-BDB786352893}"/>
            </a:ext>
          </a:extLst>
        </xdr:cNvPr>
        <xdr:cNvSpPr>
          <a:spLocks/>
        </xdr:cNvSpPr>
      </xdr:nvSpPr>
      <xdr:spPr bwMode="auto">
        <a:xfrm>
          <a:off x="23827740" y="1191006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51</xdr:row>
      <xdr:rowOff>38100</xdr:rowOff>
    </xdr:from>
    <xdr:to>
      <xdr:col>37</xdr:col>
      <xdr:colOff>142875</xdr:colOff>
      <xdr:row>52</xdr:row>
      <xdr:rowOff>219075</xdr:rowOff>
    </xdr:to>
    <xdr:sp macro="" textlink="">
      <xdr:nvSpPr>
        <xdr:cNvPr id="43" name="AutoShape 226">
          <a:extLst>
            <a:ext uri="{FF2B5EF4-FFF2-40B4-BE49-F238E27FC236}">
              <a16:creationId xmlns:a16="http://schemas.microsoft.com/office/drawing/2014/main" id="{AA735E9C-1577-4FA0-B178-0D83389A57D5}"/>
            </a:ext>
          </a:extLst>
        </xdr:cNvPr>
        <xdr:cNvSpPr>
          <a:spLocks/>
        </xdr:cNvSpPr>
      </xdr:nvSpPr>
      <xdr:spPr bwMode="auto">
        <a:xfrm>
          <a:off x="23827740" y="1238250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55</xdr:row>
      <xdr:rowOff>38100</xdr:rowOff>
    </xdr:from>
    <xdr:to>
      <xdr:col>37</xdr:col>
      <xdr:colOff>142875</xdr:colOff>
      <xdr:row>56</xdr:row>
      <xdr:rowOff>219075</xdr:rowOff>
    </xdr:to>
    <xdr:sp macro="" textlink="">
      <xdr:nvSpPr>
        <xdr:cNvPr id="44" name="AutoShape 227">
          <a:extLst>
            <a:ext uri="{FF2B5EF4-FFF2-40B4-BE49-F238E27FC236}">
              <a16:creationId xmlns:a16="http://schemas.microsoft.com/office/drawing/2014/main" id="{3A37E420-1E03-494D-91A4-BC390807696E}"/>
            </a:ext>
          </a:extLst>
        </xdr:cNvPr>
        <xdr:cNvSpPr>
          <a:spLocks/>
        </xdr:cNvSpPr>
      </xdr:nvSpPr>
      <xdr:spPr bwMode="auto">
        <a:xfrm>
          <a:off x="23827740" y="133273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53</xdr:row>
      <xdr:rowOff>38100</xdr:rowOff>
    </xdr:from>
    <xdr:to>
      <xdr:col>37</xdr:col>
      <xdr:colOff>142875</xdr:colOff>
      <xdr:row>54</xdr:row>
      <xdr:rowOff>219075</xdr:rowOff>
    </xdr:to>
    <xdr:sp macro="" textlink="">
      <xdr:nvSpPr>
        <xdr:cNvPr id="45" name="AutoShape 228">
          <a:extLst>
            <a:ext uri="{FF2B5EF4-FFF2-40B4-BE49-F238E27FC236}">
              <a16:creationId xmlns:a16="http://schemas.microsoft.com/office/drawing/2014/main" id="{4E9FC0DC-EC67-4E39-B085-9F876895E181}"/>
            </a:ext>
          </a:extLst>
        </xdr:cNvPr>
        <xdr:cNvSpPr>
          <a:spLocks/>
        </xdr:cNvSpPr>
      </xdr:nvSpPr>
      <xdr:spPr bwMode="auto">
        <a:xfrm>
          <a:off x="23827740" y="1285494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35</xdr:row>
      <xdr:rowOff>38100</xdr:rowOff>
    </xdr:from>
    <xdr:to>
      <xdr:col>37</xdr:col>
      <xdr:colOff>142875</xdr:colOff>
      <xdr:row>36</xdr:row>
      <xdr:rowOff>219075</xdr:rowOff>
    </xdr:to>
    <xdr:sp macro="" textlink="">
      <xdr:nvSpPr>
        <xdr:cNvPr id="46" name="AutoShape 229">
          <a:extLst>
            <a:ext uri="{FF2B5EF4-FFF2-40B4-BE49-F238E27FC236}">
              <a16:creationId xmlns:a16="http://schemas.microsoft.com/office/drawing/2014/main" id="{0B55F815-997D-4F99-AD7E-F2BE788DF03A}"/>
            </a:ext>
          </a:extLst>
        </xdr:cNvPr>
        <xdr:cNvSpPr>
          <a:spLocks/>
        </xdr:cNvSpPr>
      </xdr:nvSpPr>
      <xdr:spPr bwMode="auto">
        <a:xfrm>
          <a:off x="23827740" y="860298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37</xdr:row>
      <xdr:rowOff>38100</xdr:rowOff>
    </xdr:from>
    <xdr:to>
      <xdr:col>37</xdr:col>
      <xdr:colOff>142875</xdr:colOff>
      <xdr:row>38</xdr:row>
      <xdr:rowOff>219075</xdr:rowOff>
    </xdr:to>
    <xdr:sp macro="" textlink="">
      <xdr:nvSpPr>
        <xdr:cNvPr id="47" name="AutoShape 230">
          <a:extLst>
            <a:ext uri="{FF2B5EF4-FFF2-40B4-BE49-F238E27FC236}">
              <a16:creationId xmlns:a16="http://schemas.microsoft.com/office/drawing/2014/main" id="{D741AAE0-9D99-4F1F-BD8E-979EA1308311}"/>
            </a:ext>
          </a:extLst>
        </xdr:cNvPr>
        <xdr:cNvSpPr>
          <a:spLocks/>
        </xdr:cNvSpPr>
      </xdr:nvSpPr>
      <xdr:spPr bwMode="auto">
        <a:xfrm>
          <a:off x="23827740" y="9075420"/>
          <a:ext cx="59055" cy="41719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2</xdr:col>
      <xdr:colOff>0</xdr:colOff>
      <xdr:row>12</xdr:row>
      <xdr:rowOff>219075</xdr:rowOff>
    </xdr:to>
    <xdr:sp macro="" textlink="">
      <xdr:nvSpPr>
        <xdr:cNvPr id="180535" name="AutoShape 200">
          <a:extLst>
            <a:ext uri="{FF2B5EF4-FFF2-40B4-BE49-F238E27FC236}">
              <a16:creationId xmlns:a16="http://schemas.microsoft.com/office/drawing/2014/main" id="{B50491E1-FD23-49D6-9667-E16BA6F66772}"/>
            </a:ext>
          </a:extLst>
        </xdr:cNvPr>
        <xdr:cNvSpPr>
          <a:spLocks/>
        </xdr:cNvSpPr>
      </xdr:nvSpPr>
      <xdr:spPr bwMode="auto">
        <a:xfrm>
          <a:off x="933450" y="2907506"/>
          <a:ext cx="66675" cy="407194"/>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180536" name="AutoShape 201">
          <a:extLst>
            <a:ext uri="{FF2B5EF4-FFF2-40B4-BE49-F238E27FC236}">
              <a16:creationId xmlns:a16="http://schemas.microsoft.com/office/drawing/2014/main" id="{6282B99F-E777-4AFB-9DBA-A230ED195460}"/>
            </a:ext>
          </a:extLst>
        </xdr:cNvPr>
        <xdr:cNvSpPr>
          <a:spLocks/>
        </xdr:cNvSpPr>
      </xdr:nvSpPr>
      <xdr:spPr bwMode="auto">
        <a:xfrm>
          <a:off x="933450" y="38576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180537" name="AutoShape 202">
          <a:extLst>
            <a:ext uri="{FF2B5EF4-FFF2-40B4-BE49-F238E27FC236}">
              <a16:creationId xmlns:a16="http://schemas.microsoft.com/office/drawing/2014/main" id="{5EEE9D0A-F7C1-48D5-BE21-128920DE2900}"/>
            </a:ext>
          </a:extLst>
        </xdr:cNvPr>
        <xdr:cNvSpPr>
          <a:spLocks/>
        </xdr:cNvSpPr>
      </xdr:nvSpPr>
      <xdr:spPr bwMode="auto">
        <a:xfrm>
          <a:off x="933450" y="56864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2</xdr:col>
      <xdr:colOff>0</xdr:colOff>
      <xdr:row>14</xdr:row>
      <xdr:rowOff>219075</xdr:rowOff>
    </xdr:to>
    <xdr:sp macro="" textlink="">
      <xdr:nvSpPr>
        <xdr:cNvPr id="180538" name="AutoShape 203">
          <a:extLst>
            <a:ext uri="{FF2B5EF4-FFF2-40B4-BE49-F238E27FC236}">
              <a16:creationId xmlns:a16="http://schemas.microsoft.com/office/drawing/2014/main" id="{9E706ACF-12B0-4E29-8FDF-D9D3C7BDF609}"/>
            </a:ext>
          </a:extLst>
        </xdr:cNvPr>
        <xdr:cNvSpPr>
          <a:spLocks/>
        </xdr:cNvSpPr>
      </xdr:nvSpPr>
      <xdr:spPr bwMode="auto">
        <a:xfrm>
          <a:off x="933450" y="3359944"/>
          <a:ext cx="66675" cy="407194"/>
        </a:xfrm>
        <a:prstGeom prst="leftBrace">
          <a:avLst>
            <a:gd name="adj1" fmla="val 5150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180539" name="AutoShape 204">
          <a:extLst>
            <a:ext uri="{FF2B5EF4-FFF2-40B4-BE49-F238E27FC236}">
              <a16:creationId xmlns:a16="http://schemas.microsoft.com/office/drawing/2014/main" id="{A8EA168C-E975-41C4-AA73-E8895ACABC7E}"/>
            </a:ext>
          </a:extLst>
        </xdr:cNvPr>
        <xdr:cNvSpPr>
          <a:spLocks/>
        </xdr:cNvSpPr>
      </xdr:nvSpPr>
      <xdr:spPr bwMode="auto">
        <a:xfrm>
          <a:off x="933450" y="61436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180540" name="AutoShape 205">
          <a:extLst>
            <a:ext uri="{FF2B5EF4-FFF2-40B4-BE49-F238E27FC236}">
              <a16:creationId xmlns:a16="http://schemas.microsoft.com/office/drawing/2014/main" id="{F7324E5C-88A7-4C42-BFAA-B86267C21ABF}"/>
            </a:ext>
          </a:extLst>
        </xdr:cNvPr>
        <xdr:cNvSpPr>
          <a:spLocks/>
        </xdr:cNvSpPr>
      </xdr:nvSpPr>
      <xdr:spPr bwMode="auto">
        <a:xfrm>
          <a:off x="933450" y="43148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180541" name="AutoShape 206">
          <a:extLst>
            <a:ext uri="{FF2B5EF4-FFF2-40B4-BE49-F238E27FC236}">
              <a16:creationId xmlns:a16="http://schemas.microsoft.com/office/drawing/2014/main" id="{6D532E7C-1B65-490A-8784-CE517669D1B1}"/>
            </a:ext>
          </a:extLst>
        </xdr:cNvPr>
        <xdr:cNvSpPr>
          <a:spLocks/>
        </xdr:cNvSpPr>
      </xdr:nvSpPr>
      <xdr:spPr bwMode="auto">
        <a:xfrm>
          <a:off x="933450" y="66008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180542" name="AutoShape 207">
          <a:extLst>
            <a:ext uri="{FF2B5EF4-FFF2-40B4-BE49-F238E27FC236}">
              <a16:creationId xmlns:a16="http://schemas.microsoft.com/office/drawing/2014/main" id="{01FD94CF-7FFA-485A-88E9-57C38B9CF769}"/>
            </a:ext>
          </a:extLst>
        </xdr:cNvPr>
        <xdr:cNvSpPr>
          <a:spLocks/>
        </xdr:cNvSpPr>
      </xdr:nvSpPr>
      <xdr:spPr bwMode="auto">
        <a:xfrm>
          <a:off x="933450" y="70580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80543" name="AutoShape 209">
          <a:extLst>
            <a:ext uri="{FF2B5EF4-FFF2-40B4-BE49-F238E27FC236}">
              <a16:creationId xmlns:a16="http://schemas.microsoft.com/office/drawing/2014/main" id="{6C32C3FB-EEC9-4B7E-ABF6-87B316BA32F7}"/>
            </a:ext>
          </a:extLst>
        </xdr:cNvPr>
        <xdr:cNvSpPr>
          <a:spLocks/>
        </xdr:cNvSpPr>
      </xdr:nvSpPr>
      <xdr:spPr bwMode="auto">
        <a:xfrm>
          <a:off x="933450" y="75152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80544" name="AutoShape 210">
          <a:extLst>
            <a:ext uri="{FF2B5EF4-FFF2-40B4-BE49-F238E27FC236}">
              <a16:creationId xmlns:a16="http://schemas.microsoft.com/office/drawing/2014/main" id="{F6F25B30-60D7-49DB-A53D-6ADA537AB193}"/>
            </a:ext>
          </a:extLst>
        </xdr:cNvPr>
        <xdr:cNvSpPr>
          <a:spLocks/>
        </xdr:cNvSpPr>
      </xdr:nvSpPr>
      <xdr:spPr bwMode="auto">
        <a:xfrm>
          <a:off x="933450" y="79724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80545" name="AutoShape 215">
          <a:extLst>
            <a:ext uri="{FF2B5EF4-FFF2-40B4-BE49-F238E27FC236}">
              <a16:creationId xmlns:a16="http://schemas.microsoft.com/office/drawing/2014/main" id="{FD645D3B-7181-4E20-BD94-614F5A0A3D4E}"/>
            </a:ext>
          </a:extLst>
        </xdr:cNvPr>
        <xdr:cNvSpPr>
          <a:spLocks/>
        </xdr:cNvSpPr>
      </xdr:nvSpPr>
      <xdr:spPr bwMode="auto">
        <a:xfrm>
          <a:off x="933450" y="47720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80546" name="AutoShape 216">
          <a:extLst>
            <a:ext uri="{FF2B5EF4-FFF2-40B4-BE49-F238E27FC236}">
              <a16:creationId xmlns:a16="http://schemas.microsoft.com/office/drawing/2014/main" id="{6D1A9154-ACDB-41FC-9F5C-6ABFE664A90C}"/>
            </a:ext>
          </a:extLst>
        </xdr:cNvPr>
        <xdr:cNvSpPr>
          <a:spLocks/>
        </xdr:cNvSpPr>
      </xdr:nvSpPr>
      <xdr:spPr bwMode="auto">
        <a:xfrm>
          <a:off x="933450" y="52292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80547" name="AutoShape 220">
          <a:extLst>
            <a:ext uri="{FF2B5EF4-FFF2-40B4-BE49-F238E27FC236}">
              <a16:creationId xmlns:a16="http://schemas.microsoft.com/office/drawing/2014/main" id="{BB1C2F86-CF03-45BA-A57B-D19519E8C390}"/>
            </a:ext>
          </a:extLst>
        </xdr:cNvPr>
        <xdr:cNvSpPr>
          <a:spLocks/>
        </xdr:cNvSpPr>
      </xdr:nvSpPr>
      <xdr:spPr bwMode="auto">
        <a:xfrm>
          <a:off x="933450" y="93440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80548" name="AutoShape 221">
          <a:extLst>
            <a:ext uri="{FF2B5EF4-FFF2-40B4-BE49-F238E27FC236}">
              <a16:creationId xmlns:a16="http://schemas.microsoft.com/office/drawing/2014/main" id="{0BE5A27A-E98C-423F-A231-777C9C5B271D}"/>
            </a:ext>
          </a:extLst>
        </xdr:cNvPr>
        <xdr:cNvSpPr>
          <a:spLocks/>
        </xdr:cNvSpPr>
      </xdr:nvSpPr>
      <xdr:spPr bwMode="auto">
        <a:xfrm>
          <a:off x="933450" y="98012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80549" name="AutoShape 222">
          <a:extLst>
            <a:ext uri="{FF2B5EF4-FFF2-40B4-BE49-F238E27FC236}">
              <a16:creationId xmlns:a16="http://schemas.microsoft.com/office/drawing/2014/main" id="{0EFCB779-521F-4439-9490-8E4231EFA8F1}"/>
            </a:ext>
          </a:extLst>
        </xdr:cNvPr>
        <xdr:cNvSpPr>
          <a:spLocks/>
        </xdr:cNvSpPr>
      </xdr:nvSpPr>
      <xdr:spPr bwMode="auto">
        <a:xfrm>
          <a:off x="933450" y="102584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80550" name="AutoShape 223">
          <a:extLst>
            <a:ext uri="{FF2B5EF4-FFF2-40B4-BE49-F238E27FC236}">
              <a16:creationId xmlns:a16="http://schemas.microsoft.com/office/drawing/2014/main" id="{D82FD6FB-820E-47EF-B079-E641853C0058}"/>
            </a:ext>
          </a:extLst>
        </xdr:cNvPr>
        <xdr:cNvSpPr>
          <a:spLocks/>
        </xdr:cNvSpPr>
      </xdr:nvSpPr>
      <xdr:spPr bwMode="auto">
        <a:xfrm>
          <a:off x="933450" y="107156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80551" name="AutoShape 224">
          <a:extLst>
            <a:ext uri="{FF2B5EF4-FFF2-40B4-BE49-F238E27FC236}">
              <a16:creationId xmlns:a16="http://schemas.microsoft.com/office/drawing/2014/main" id="{C0A58B39-67DC-4C69-B5F2-DE329A5B0B46}"/>
            </a:ext>
          </a:extLst>
        </xdr:cNvPr>
        <xdr:cNvSpPr>
          <a:spLocks/>
        </xdr:cNvSpPr>
      </xdr:nvSpPr>
      <xdr:spPr bwMode="auto">
        <a:xfrm>
          <a:off x="933450" y="111728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80552" name="AutoShape 225">
          <a:extLst>
            <a:ext uri="{FF2B5EF4-FFF2-40B4-BE49-F238E27FC236}">
              <a16:creationId xmlns:a16="http://schemas.microsoft.com/office/drawing/2014/main" id="{2E72801C-2C69-498B-8E04-32B6AA1A6C6B}"/>
            </a:ext>
          </a:extLst>
        </xdr:cNvPr>
        <xdr:cNvSpPr>
          <a:spLocks/>
        </xdr:cNvSpPr>
      </xdr:nvSpPr>
      <xdr:spPr bwMode="auto">
        <a:xfrm>
          <a:off x="933450" y="116300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180553" name="AutoShape 226">
          <a:extLst>
            <a:ext uri="{FF2B5EF4-FFF2-40B4-BE49-F238E27FC236}">
              <a16:creationId xmlns:a16="http://schemas.microsoft.com/office/drawing/2014/main" id="{116F8D0C-4003-46BF-939C-B3C3AC3D29BE}"/>
            </a:ext>
          </a:extLst>
        </xdr:cNvPr>
        <xdr:cNvSpPr>
          <a:spLocks/>
        </xdr:cNvSpPr>
      </xdr:nvSpPr>
      <xdr:spPr bwMode="auto">
        <a:xfrm>
          <a:off x="933450" y="120872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180554" name="AutoShape 227">
          <a:extLst>
            <a:ext uri="{FF2B5EF4-FFF2-40B4-BE49-F238E27FC236}">
              <a16:creationId xmlns:a16="http://schemas.microsoft.com/office/drawing/2014/main" id="{CA7D95DA-7F97-464F-8736-4C0C1F84304D}"/>
            </a:ext>
          </a:extLst>
        </xdr:cNvPr>
        <xdr:cNvSpPr>
          <a:spLocks/>
        </xdr:cNvSpPr>
      </xdr:nvSpPr>
      <xdr:spPr bwMode="auto">
        <a:xfrm>
          <a:off x="933450" y="130016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180555" name="AutoShape 228">
          <a:extLst>
            <a:ext uri="{FF2B5EF4-FFF2-40B4-BE49-F238E27FC236}">
              <a16:creationId xmlns:a16="http://schemas.microsoft.com/office/drawing/2014/main" id="{E669DEDA-DB59-4879-907C-F9334B0821E7}"/>
            </a:ext>
          </a:extLst>
        </xdr:cNvPr>
        <xdr:cNvSpPr>
          <a:spLocks/>
        </xdr:cNvSpPr>
      </xdr:nvSpPr>
      <xdr:spPr bwMode="auto">
        <a:xfrm>
          <a:off x="933450" y="125444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180556" name="AutoShape 229">
          <a:extLst>
            <a:ext uri="{FF2B5EF4-FFF2-40B4-BE49-F238E27FC236}">
              <a16:creationId xmlns:a16="http://schemas.microsoft.com/office/drawing/2014/main" id="{B5B03EC6-AFEB-4176-B59E-0358FC077E33}"/>
            </a:ext>
          </a:extLst>
        </xdr:cNvPr>
        <xdr:cNvSpPr>
          <a:spLocks/>
        </xdr:cNvSpPr>
      </xdr:nvSpPr>
      <xdr:spPr bwMode="auto">
        <a:xfrm>
          <a:off x="933450" y="84296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180557" name="AutoShape 230">
          <a:extLst>
            <a:ext uri="{FF2B5EF4-FFF2-40B4-BE49-F238E27FC236}">
              <a16:creationId xmlns:a16="http://schemas.microsoft.com/office/drawing/2014/main" id="{9D951795-B497-4DD0-913F-64828A96393C}"/>
            </a:ext>
          </a:extLst>
        </xdr:cNvPr>
        <xdr:cNvSpPr>
          <a:spLocks/>
        </xdr:cNvSpPr>
      </xdr:nvSpPr>
      <xdr:spPr bwMode="auto">
        <a:xfrm>
          <a:off x="933450" y="888682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11</xdr:row>
      <xdr:rowOff>38100</xdr:rowOff>
    </xdr:from>
    <xdr:to>
      <xdr:col>37</xdr:col>
      <xdr:colOff>142875</xdr:colOff>
      <xdr:row>12</xdr:row>
      <xdr:rowOff>219075</xdr:rowOff>
    </xdr:to>
    <xdr:sp macro="" textlink="">
      <xdr:nvSpPr>
        <xdr:cNvPr id="180558" name="AutoShape 200">
          <a:extLst>
            <a:ext uri="{FF2B5EF4-FFF2-40B4-BE49-F238E27FC236}">
              <a16:creationId xmlns:a16="http://schemas.microsoft.com/office/drawing/2014/main" id="{55E7FBB7-0639-49EF-BF06-F85F2960BE22}"/>
            </a:ext>
          </a:extLst>
        </xdr:cNvPr>
        <xdr:cNvSpPr>
          <a:spLocks/>
        </xdr:cNvSpPr>
      </xdr:nvSpPr>
      <xdr:spPr bwMode="auto">
        <a:xfrm>
          <a:off x="24812625" y="29432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15</xdr:row>
      <xdr:rowOff>38100</xdr:rowOff>
    </xdr:from>
    <xdr:to>
      <xdr:col>37</xdr:col>
      <xdr:colOff>142875</xdr:colOff>
      <xdr:row>16</xdr:row>
      <xdr:rowOff>219075</xdr:rowOff>
    </xdr:to>
    <xdr:sp macro="" textlink="">
      <xdr:nvSpPr>
        <xdr:cNvPr id="180559" name="AutoShape 201">
          <a:extLst>
            <a:ext uri="{FF2B5EF4-FFF2-40B4-BE49-F238E27FC236}">
              <a16:creationId xmlns:a16="http://schemas.microsoft.com/office/drawing/2014/main" id="{9A07FB13-EC1F-4D17-BED9-8CF78CF16B6D}"/>
            </a:ext>
          </a:extLst>
        </xdr:cNvPr>
        <xdr:cNvSpPr>
          <a:spLocks/>
        </xdr:cNvSpPr>
      </xdr:nvSpPr>
      <xdr:spPr bwMode="auto">
        <a:xfrm>
          <a:off x="24812625" y="38576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23</xdr:row>
      <xdr:rowOff>38100</xdr:rowOff>
    </xdr:from>
    <xdr:to>
      <xdr:col>37</xdr:col>
      <xdr:colOff>142875</xdr:colOff>
      <xdr:row>24</xdr:row>
      <xdr:rowOff>219075</xdr:rowOff>
    </xdr:to>
    <xdr:sp macro="" textlink="">
      <xdr:nvSpPr>
        <xdr:cNvPr id="180560" name="AutoShape 202">
          <a:extLst>
            <a:ext uri="{FF2B5EF4-FFF2-40B4-BE49-F238E27FC236}">
              <a16:creationId xmlns:a16="http://schemas.microsoft.com/office/drawing/2014/main" id="{C2BB0719-CABB-45DD-BAAF-25872AA27C43}"/>
            </a:ext>
          </a:extLst>
        </xdr:cNvPr>
        <xdr:cNvSpPr>
          <a:spLocks/>
        </xdr:cNvSpPr>
      </xdr:nvSpPr>
      <xdr:spPr bwMode="auto">
        <a:xfrm>
          <a:off x="24812625" y="56864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13</xdr:row>
      <xdr:rowOff>38100</xdr:rowOff>
    </xdr:from>
    <xdr:to>
      <xdr:col>37</xdr:col>
      <xdr:colOff>142875</xdr:colOff>
      <xdr:row>14</xdr:row>
      <xdr:rowOff>219075</xdr:rowOff>
    </xdr:to>
    <xdr:sp macro="" textlink="">
      <xdr:nvSpPr>
        <xdr:cNvPr id="180561" name="AutoShape 203">
          <a:extLst>
            <a:ext uri="{FF2B5EF4-FFF2-40B4-BE49-F238E27FC236}">
              <a16:creationId xmlns:a16="http://schemas.microsoft.com/office/drawing/2014/main" id="{6D7BA2F1-4E23-4651-9F8D-9C9DA91E4F7E}"/>
            </a:ext>
          </a:extLst>
        </xdr:cNvPr>
        <xdr:cNvSpPr>
          <a:spLocks/>
        </xdr:cNvSpPr>
      </xdr:nvSpPr>
      <xdr:spPr bwMode="auto">
        <a:xfrm>
          <a:off x="24812625" y="34004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25</xdr:row>
      <xdr:rowOff>38100</xdr:rowOff>
    </xdr:from>
    <xdr:to>
      <xdr:col>37</xdr:col>
      <xdr:colOff>142875</xdr:colOff>
      <xdr:row>26</xdr:row>
      <xdr:rowOff>219075</xdr:rowOff>
    </xdr:to>
    <xdr:sp macro="" textlink="">
      <xdr:nvSpPr>
        <xdr:cNvPr id="180562" name="AutoShape 204">
          <a:extLst>
            <a:ext uri="{FF2B5EF4-FFF2-40B4-BE49-F238E27FC236}">
              <a16:creationId xmlns:a16="http://schemas.microsoft.com/office/drawing/2014/main" id="{214C9ACF-D77D-4469-A0B0-0BAA3145C3DD}"/>
            </a:ext>
          </a:extLst>
        </xdr:cNvPr>
        <xdr:cNvSpPr>
          <a:spLocks/>
        </xdr:cNvSpPr>
      </xdr:nvSpPr>
      <xdr:spPr bwMode="auto">
        <a:xfrm>
          <a:off x="24812625" y="61436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17</xdr:row>
      <xdr:rowOff>38100</xdr:rowOff>
    </xdr:from>
    <xdr:to>
      <xdr:col>37</xdr:col>
      <xdr:colOff>142875</xdr:colOff>
      <xdr:row>18</xdr:row>
      <xdr:rowOff>219075</xdr:rowOff>
    </xdr:to>
    <xdr:sp macro="" textlink="">
      <xdr:nvSpPr>
        <xdr:cNvPr id="180563" name="AutoShape 205">
          <a:extLst>
            <a:ext uri="{FF2B5EF4-FFF2-40B4-BE49-F238E27FC236}">
              <a16:creationId xmlns:a16="http://schemas.microsoft.com/office/drawing/2014/main" id="{37BA979B-8A44-4A55-AE0D-7036D13A2D89}"/>
            </a:ext>
          </a:extLst>
        </xdr:cNvPr>
        <xdr:cNvSpPr>
          <a:spLocks/>
        </xdr:cNvSpPr>
      </xdr:nvSpPr>
      <xdr:spPr bwMode="auto">
        <a:xfrm>
          <a:off x="24812625" y="43148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27</xdr:row>
      <xdr:rowOff>38100</xdr:rowOff>
    </xdr:from>
    <xdr:to>
      <xdr:col>37</xdr:col>
      <xdr:colOff>142875</xdr:colOff>
      <xdr:row>28</xdr:row>
      <xdr:rowOff>219075</xdr:rowOff>
    </xdr:to>
    <xdr:sp macro="" textlink="">
      <xdr:nvSpPr>
        <xdr:cNvPr id="180564" name="AutoShape 206">
          <a:extLst>
            <a:ext uri="{FF2B5EF4-FFF2-40B4-BE49-F238E27FC236}">
              <a16:creationId xmlns:a16="http://schemas.microsoft.com/office/drawing/2014/main" id="{2B61B2A5-0DEE-45F1-A9CF-394953ADF615}"/>
            </a:ext>
          </a:extLst>
        </xdr:cNvPr>
        <xdr:cNvSpPr>
          <a:spLocks/>
        </xdr:cNvSpPr>
      </xdr:nvSpPr>
      <xdr:spPr bwMode="auto">
        <a:xfrm>
          <a:off x="24812625" y="66008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29</xdr:row>
      <xdr:rowOff>38100</xdr:rowOff>
    </xdr:from>
    <xdr:to>
      <xdr:col>37</xdr:col>
      <xdr:colOff>142875</xdr:colOff>
      <xdr:row>30</xdr:row>
      <xdr:rowOff>219075</xdr:rowOff>
    </xdr:to>
    <xdr:sp macro="" textlink="">
      <xdr:nvSpPr>
        <xdr:cNvPr id="180565" name="AutoShape 207">
          <a:extLst>
            <a:ext uri="{FF2B5EF4-FFF2-40B4-BE49-F238E27FC236}">
              <a16:creationId xmlns:a16="http://schemas.microsoft.com/office/drawing/2014/main" id="{DE9A5155-87BA-47CF-8EB9-A3C62ED7405E}"/>
            </a:ext>
          </a:extLst>
        </xdr:cNvPr>
        <xdr:cNvSpPr>
          <a:spLocks/>
        </xdr:cNvSpPr>
      </xdr:nvSpPr>
      <xdr:spPr bwMode="auto">
        <a:xfrm>
          <a:off x="24812625" y="70580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31</xdr:row>
      <xdr:rowOff>38100</xdr:rowOff>
    </xdr:from>
    <xdr:to>
      <xdr:col>37</xdr:col>
      <xdr:colOff>142875</xdr:colOff>
      <xdr:row>32</xdr:row>
      <xdr:rowOff>219075</xdr:rowOff>
    </xdr:to>
    <xdr:sp macro="" textlink="">
      <xdr:nvSpPr>
        <xdr:cNvPr id="180566" name="AutoShape 209">
          <a:extLst>
            <a:ext uri="{FF2B5EF4-FFF2-40B4-BE49-F238E27FC236}">
              <a16:creationId xmlns:a16="http://schemas.microsoft.com/office/drawing/2014/main" id="{A27ED8D9-058C-4E96-9A88-E23939305332}"/>
            </a:ext>
          </a:extLst>
        </xdr:cNvPr>
        <xdr:cNvSpPr>
          <a:spLocks/>
        </xdr:cNvSpPr>
      </xdr:nvSpPr>
      <xdr:spPr bwMode="auto">
        <a:xfrm>
          <a:off x="24812625" y="75152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33</xdr:row>
      <xdr:rowOff>38100</xdr:rowOff>
    </xdr:from>
    <xdr:to>
      <xdr:col>37</xdr:col>
      <xdr:colOff>142875</xdr:colOff>
      <xdr:row>34</xdr:row>
      <xdr:rowOff>219075</xdr:rowOff>
    </xdr:to>
    <xdr:sp macro="" textlink="">
      <xdr:nvSpPr>
        <xdr:cNvPr id="180567" name="AutoShape 210">
          <a:extLst>
            <a:ext uri="{FF2B5EF4-FFF2-40B4-BE49-F238E27FC236}">
              <a16:creationId xmlns:a16="http://schemas.microsoft.com/office/drawing/2014/main" id="{B8B330D4-F555-4DC5-B78E-5CD5BC59020B}"/>
            </a:ext>
          </a:extLst>
        </xdr:cNvPr>
        <xdr:cNvSpPr>
          <a:spLocks/>
        </xdr:cNvSpPr>
      </xdr:nvSpPr>
      <xdr:spPr bwMode="auto">
        <a:xfrm>
          <a:off x="24812625" y="79724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19</xdr:row>
      <xdr:rowOff>38100</xdr:rowOff>
    </xdr:from>
    <xdr:to>
      <xdr:col>37</xdr:col>
      <xdr:colOff>142875</xdr:colOff>
      <xdr:row>20</xdr:row>
      <xdr:rowOff>219075</xdr:rowOff>
    </xdr:to>
    <xdr:sp macro="" textlink="">
      <xdr:nvSpPr>
        <xdr:cNvPr id="180568" name="AutoShape 215">
          <a:extLst>
            <a:ext uri="{FF2B5EF4-FFF2-40B4-BE49-F238E27FC236}">
              <a16:creationId xmlns:a16="http://schemas.microsoft.com/office/drawing/2014/main" id="{9F45A757-8344-4BF6-8E30-2DC01924CE48}"/>
            </a:ext>
          </a:extLst>
        </xdr:cNvPr>
        <xdr:cNvSpPr>
          <a:spLocks/>
        </xdr:cNvSpPr>
      </xdr:nvSpPr>
      <xdr:spPr bwMode="auto">
        <a:xfrm>
          <a:off x="24812625" y="47720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21</xdr:row>
      <xdr:rowOff>38100</xdr:rowOff>
    </xdr:from>
    <xdr:to>
      <xdr:col>37</xdr:col>
      <xdr:colOff>142875</xdr:colOff>
      <xdr:row>22</xdr:row>
      <xdr:rowOff>219075</xdr:rowOff>
    </xdr:to>
    <xdr:sp macro="" textlink="">
      <xdr:nvSpPr>
        <xdr:cNvPr id="180569" name="AutoShape 216">
          <a:extLst>
            <a:ext uri="{FF2B5EF4-FFF2-40B4-BE49-F238E27FC236}">
              <a16:creationId xmlns:a16="http://schemas.microsoft.com/office/drawing/2014/main" id="{BFF70F7F-81B3-4804-83E5-0AF4566974AB}"/>
            </a:ext>
          </a:extLst>
        </xdr:cNvPr>
        <xdr:cNvSpPr>
          <a:spLocks/>
        </xdr:cNvSpPr>
      </xdr:nvSpPr>
      <xdr:spPr bwMode="auto">
        <a:xfrm>
          <a:off x="24812625" y="52292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39</xdr:row>
      <xdr:rowOff>38100</xdr:rowOff>
    </xdr:from>
    <xdr:to>
      <xdr:col>37</xdr:col>
      <xdr:colOff>142875</xdr:colOff>
      <xdr:row>40</xdr:row>
      <xdr:rowOff>219075</xdr:rowOff>
    </xdr:to>
    <xdr:sp macro="" textlink="">
      <xdr:nvSpPr>
        <xdr:cNvPr id="180570" name="AutoShape 220">
          <a:extLst>
            <a:ext uri="{FF2B5EF4-FFF2-40B4-BE49-F238E27FC236}">
              <a16:creationId xmlns:a16="http://schemas.microsoft.com/office/drawing/2014/main" id="{B6EB2522-DFF8-496D-A713-2487D2BD9977}"/>
            </a:ext>
          </a:extLst>
        </xdr:cNvPr>
        <xdr:cNvSpPr>
          <a:spLocks/>
        </xdr:cNvSpPr>
      </xdr:nvSpPr>
      <xdr:spPr bwMode="auto">
        <a:xfrm>
          <a:off x="24812625" y="93440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41</xdr:row>
      <xdr:rowOff>38100</xdr:rowOff>
    </xdr:from>
    <xdr:to>
      <xdr:col>37</xdr:col>
      <xdr:colOff>142875</xdr:colOff>
      <xdr:row>42</xdr:row>
      <xdr:rowOff>219075</xdr:rowOff>
    </xdr:to>
    <xdr:sp macro="" textlink="">
      <xdr:nvSpPr>
        <xdr:cNvPr id="180571" name="AutoShape 221">
          <a:extLst>
            <a:ext uri="{FF2B5EF4-FFF2-40B4-BE49-F238E27FC236}">
              <a16:creationId xmlns:a16="http://schemas.microsoft.com/office/drawing/2014/main" id="{C583E50A-C1FC-488A-8B4C-56F8F95F3DA1}"/>
            </a:ext>
          </a:extLst>
        </xdr:cNvPr>
        <xdr:cNvSpPr>
          <a:spLocks/>
        </xdr:cNvSpPr>
      </xdr:nvSpPr>
      <xdr:spPr bwMode="auto">
        <a:xfrm>
          <a:off x="24812625" y="98012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43</xdr:row>
      <xdr:rowOff>38100</xdr:rowOff>
    </xdr:from>
    <xdr:to>
      <xdr:col>37</xdr:col>
      <xdr:colOff>142875</xdr:colOff>
      <xdr:row>44</xdr:row>
      <xdr:rowOff>219075</xdr:rowOff>
    </xdr:to>
    <xdr:sp macro="" textlink="">
      <xdr:nvSpPr>
        <xdr:cNvPr id="180572" name="AutoShape 222">
          <a:extLst>
            <a:ext uri="{FF2B5EF4-FFF2-40B4-BE49-F238E27FC236}">
              <a16:creationId xmlns:a16="http://schemas.microsoft.com/office/drawing/2014/main" id="{C13B4243-04C1-416D-B760-5F09EBA06DB7}"/>
            </a:ext>
          </a:extLst>
        </xdr:cNvPr>
        <xdr:cNvSpPr>
          <a:spLocks/>
        </xdr:cNvSpPr>
      </xdr:nvSpPr>
      <xdr:spPr bwMode="auto">
        <a:xfrm>
          <a:off x="24812625" y="102584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45</xdr:row>
      <xdr:rowOff>38100</xdr:rowOff>
    </xdr:from>
    <xdr:to>
      <xdr:col>37</xdr:col>
      <xdr:colOff>142875</xdr:colOff>
      <xdr:row>46</xdr:row>
      <xdr:rowOff>219075</xdr:rowOff>
    </xdr:to>
    <xdr:sp macro="" textlink="">
      <xdr:nvSpPr>
        <xdr:cNvPr id="180573" name="AutoShape 223">
          <a:extLst>
            <a:ext uri="{FF2B5EF4-FFF2-40B4-BE49-F238E27FC236}">
              <a16:creationId xmlns:a16="http://schemas.microsoft.com/office/drawing/2014/main" id="{D6D9832F-D915-4A71-B4A7-DFAE13381B1C}"/>
            </a:ext>
          </a:extLst>
        </xdr:cNvPr>
        <xdr:cNvSpPr>
          <a:spLocks/>
        </xdr:cNvSpPr>
      </xdr:nvSpPr>
      <xdr:spPr bwMode="auto">
        <a:xfrm>
          <a:off x="24812625" y="107156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47</xdr:row>
      <xdr:rowOff>38100</xdr:rowOff>
    </xdr:from>
    <xdr:to>
      <xdr:col>37</xdr:col>
      <xdr:colOff>142875</xdr:colOff>
      <xdr:row>48</xdr:row>
      <xdr:rowOff>219075</xdr:rowOff>
    </xdr:to>
    <xdr:sp macro="" textlink="">
      <xdr:nvSpPr>
        <xdr:cNvPr id="180574" name="AutoShape 224">
          <a:extLst>
            <a:ext uri="{FF2B5EF4-FFF2-40B4-BE49-F238E27FC236}">
              <a16:creationId xmlns:a16="http://schemas.microsoft.com/office/drawing/2014/main" id="{B679239A-D3D3-45BB-9A1D-98396A19CB21}"/>
            </a:ext>
          </a:extLst>
        </xdr:cNvPr>
        <xdr:cNvSpPr>
          <a:spLocks/>
        </xdr:cNvSpPr>
      </xdr:nvSpPr>
      <xdr:spPr bwMode="auto">
        <a:xfrm>
          <a:off x="24812625" y="111728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49</xdr:row>
      <xdr:rowOff>38100</xdr:rowOff>
    </xdr:from>
    <xdr:to>
      <xdr:col>37</xdr:col>
      <xdr:colOff>142875</xdr:colOff>
      <xdr:row>50</xdr:row>
      <xdr:rowOff>219075</xdr:rowOff>
    </xdr:to>
    <xdr:sp macro="" textlink="">
      <xdr:nvSpPr>
        <xdr:cNvPr id="180575" name="AutoShape 225">
          <a:extLst>
            <a:ext uri="{FF2B5EF4-FFF2-40B4-BE49-F238E27FC236}">
              <a16:creationId xmlns:a16="http://schemas.microsoft.com/office/drawing/2014/main" id="{4175C65B-AD47-43C0-B90E-83C78EF6345E}"/>
            </a:ext>
          </a:extLst>
        </xdr:cNvPr>
        <xdr:cNvSpPr>
          <a:spLocks/>
        </xdr:cNvSpPr>
      </xdr:nvSpPr>
      <xdr:spPr bwMode="auto">
        <a:xfrm>
          <a:off x="24812625" y="116300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51</xdr:row>
      <xdr:rowOff>38100</xdr:rowOff>
    </xdr:from>
    <xdr:to>
      <xdr:col>37</xdr:col>
      <xdr:colOff>142875</xdr:colOff>
      <xdr:row>52</xdr:row>
      <xdr:rowOff>219075</xdr:rowOff>
    </xdr:to>
    <xdr:sp macro="" textlink="">
      <xdr:nvSpPr>
        <xdr:cNvPr id="180576" name="AutoShape 226">
          <a:extLst>
            <a:ext uri="{FF2B5EF4-FFF2-40B4-BE49-F238E27FC236}">
              <a16:creationId xmlns:a16="http://schemas.microsoft.com/office/drawing/2014/main" id="{9ED886F0-2C36-46A0-A289-3246902D8888}"/>
            </a:ext>
          </a:extLst>
        </xdr:cNvPr>
        <xdr:cNvSpPr>
          <a:spLocks/>
        </xdr:cNvSpPr>
      </xdr:nvSpPr>
      <xdr:spPr bwMode="auto">
        <a:xfrm>
          <a:off x="24812625" y="120872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55</xdr:row>
      <xdr:rowOff>38100</xdr:rowOff>
    </xdr:from>
    <xdr:to>
      <xdr:col>37</xdr:col>
      <xdr:colOff>142875</xdr:colOff>
      <xdr:row>56</xdr:row>
      <xdr:rowOff>219075</xdr:rowOff>
    </xdr:to>
    <xdr:sp macro="" textlink="">
      <xdr:nvSpPr>
        <xdr:cNvPr id="180577" name="AutoShape 227">
          <a:extLst>
            <a:ext uri="{FF2B5EF4-FFF2-40B4-BE49-F238E27FC236}">
              <a16:creationId xmlns:a16="http://schemas.microsoft.com/office/drawing/2014/main" id="{943C6C22-8C75-4B6B-B850-91619090AB6F}"/>
            </a:ext>
          </a:extLst>
        </xdr:cNvPr>
        <xdr:cNvSpPr>
          <a:spLocks/>
        </xdr:cNvSpPr>
      </xdr:nvSpPr>
      <xdr:spPr bwMode="auto">
        <a:xfrm>
          <a:off x="24812625" y="130016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53</xdr:row>
      <xdr:rowOff>38100</xdr:rowOff>
    </xdr:from>
    <xdr:to>
      <xdr:col>37</xdr:col>
      <xdr:colOff>142875</xdr:colOff>
      <xdr:row>54</xdr:row>
      <xdr:rowOff>219075</xdr:rowOff>
    </xdr:to>
    <xdr:sp macro="" textlink="">
      <xdr:nvSpPr>
        <xdr:cNvPr id="180578" name="AutoShape 228">
          <a:extLst>
            <a:ext uri="{FF2B5EF4-FFF2-40B4-BE49-F238E27FC236}">
              <a16:creationId xmlns:a16="http://schemas.microsoft.com/office/drawing/2014/main" id="{E5A8B694-A827-4BDC-98D2-498976B02D5E}"/>
            </a:ext>
          </a:extLst>
        </xdr:cNvPr>
        <xdr:cNvSpPr>
          <a:spLocks/>
        </xdr:cNvSpPr>
      </xdr:nvSpPr>
      <xdr:spPr bwMode="auto">
        <a:xfrm>
          <a:off x="24812625" y="125444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35</xdr:row>
      <xdr:rowOff>38100</xdr:rowOff>
    </xdr:from>
    <xdr:to>
      <xdr:col>37</xdr:col>
      <xdr:colOff>142875</xdr:colOff>
      <xdr:row>36</xdr:row>
      <xdr:rowOff>219075</xdr:rowOff>
    </xdr:to>
    <xdr:sp macro="" textlink="">
      <xdr:nvSpPr>
        <xdr:cNvPr id="180579" name="AutoShape 229">
          <a:extLst>
            <a:ext uri="{FF2B5EF4-FFF2-40B4-BE49-F238E27FC236}">
              <a16:creationId xmlns:a16="http://schemas.microsoft.com/office/drawing/2014/main" id="{C92C448B-236F-41C2-AA9D-4BEAF06E6408}"/>
            </a:ext>
          </a:extLst>
        </xdr:cNvPr>
        <xdr:cNvSpPr>
          <a:spLocks/>
        </xdr:cNvSpPr>
      </xdr:nvSpPr>
      <xdr:spPr bwMode="auto">
        <a:xfrm>
          <a:off x="24812625" y="84296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37</xdr:row>
      <xdr:rowOff>38100</xdr:rowOff>
    </xdr:from>
    <xdr:to>
      <xdr:col>37</xdr:col>
      <xdr:colOff>142875</xdr:colOff>
      <xdr:row>38</xdr:row>
      <xdr:rowOff>219075</xdr:rowOff>
    </xdr:to>
    <xdr:sp macro="" textlink="">
      <xdr:nvSpPr>
        <xdr:cNvPr id="180580" name="AutoShape 230">
          <a:extLst>
            <a:ext uri="{FF2B5EF4-FFF2-40B4-BE49-F238E27FC236}">
              <a16:creationId xmlns:a16="http://schemas.microsoft.com/office/drawing/2014/main" id="{B216DB9B-FB84-43F9-94DF-E23C8A164B3E}"/>
            </a:ext>
          </a:extLst>
        </xdr:cNvPr>
        <xdr:cNvSpPr>
          <a:spLocks/>
        </xdr:cNvSpPr>
      </xdr:nvSpPr>
      <xdr:spPr bwMode="auto">
        <a:xfrm>
          <a:off x="24812625" y="888682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1</xdr:col>
      <xdr:colOff>152400</xdr:colOff>
      <xdr:row>12</xdr:row>
      <xdr:rowOff>219075</xdr:rowOff>
    </xdr:to>
    <xdr:sp macro="" textlink="">
      <xdr:nvSpPr>
        <xdr:cNvPr id="182525" name="AutoShape 200">
          <a:extLst>
            <a:ext uri="{FF2B5EF4-FFF2-40B4-BE49-F238E27FC236}">
              <a16:creationId xmlns:a16="http://schemas.microsoft.com/office/drawing/2014/main" id="{1C762FF7-D039-4457-9BE2-5585538F19BC}"/>
            </a:ext>
          </a:extLst>
        </xdr:cNvPr>
        <xdr:cNvSpPr>
          <a:spLocks/>
        </xdr:cNvSpPr>
      </xdr:nvSpPr>
      <xdr:spPr bwMode="auto">
        <a:xfrm>
          <a:off x="933450" y="2962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182526" name="AutoShape 201">
          <a:extLst>
            <a:ext uri="{FF2B5EF4-FFF2-40B4-BE49-F238E27FC236}">
              <a16:creationId xmlns:a16="http://schemas.microsoft.com/office/drawing/2014/main" id="{529F70D3-1DB7-4C15-AA20-2F0F5339CF87}"/>
            </a:ext>
          </a:extLst>
        </xdr:cNvPr>
        <xdr:cNvSpPr>
          <a:spLocks/>
        </xdr:cNvSpPr>
      </xdr:nvSpPr>
      <xdr:spPr bwMode="auto">
        <a:xfrm>
          <a:off x="933450" y="3876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182527" name="AutoShape 202">
          <a:extLst>
            <a:ext uri="{FF2B5EF4-FFF2-40B4-BE49-F238E27FC236}">
              <a16:creationId xmlns:a16="http://schemas.microsoft.com/office/drawing/2014/main" id="{FB838804-4952-4892-AD38-8161D290F2A7}"/>
            </a:ext>
          </a:extLst>
        </xdr:cNvPr>
        <xdr:cNvSpPr>
          <a:spLocks/>
        </xdr:cNvSpPr>
      </xdr:nvSpPr>
      <xdr:spPr bwMode="auto">
        <a:xfrm>
          <a:off x="933450" y="5705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1</xdr:col>
      <xdr:colOff>152400</xdr:colOff>
      <xdr:row>14</xdr:row>
      <xdr:rowOff>219075</xdr:rowOff>
    </xdr:to>
    <xdr:sp macro="" textlink="">
      <xdr:nvSpPr>
        <xdr:cNvPr id="182528" name="AutoShape 203">
          <a:extLst>
            <a:ext uri="{FF2B5EF4-FFF2-40B4-BE49-F238E27FC236}">
              <a16:creationId xmlns:a16="http://schemas.microsoft.com/office/drawing/2014/main" id="{780C271F-33ED-448F-B8F9-53B8A05A4502}"/>
            </a:ext>
          </a:extLst>
        </xdr:cNvPr>
        <xdr:cNvSpPr>
          <a:spLocks/>
        </xdr:cNvSpPr>
      </xdr:nvSpPr>
      <xdr:spPr bwMode="auto">
        <a:xfrm>
          <a:off x="933450" y="3419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182529" name="AutoShape 204">
          <a:extLst>
            <a:ext uri="{FF2B5EF4-FFF2-40B4-BE49-F238E27FC236}">
              <a16:creationId xmlns:a16="http://schemas.microsoft.com/office/drawing/2014/main" id="{4163740D-D1C6-46E1-81E4-A89A4358304C}"/>
            </a:ext>
          </a:extLst>
        </xdr:cNvPr>
        <xdr:cNvSpPr>
          <a:spLocks/>
        </xdr:cNvSpPr>
      </xdr:nvSpPr>
      <xdr:spPr bwMode="auto">
        <a:xfrm>
          <a:off x="933450" y="6162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182530" name="AutoShape 205">
          <a:extLst>
            <a:ext uri="{FF2B5EF4-FFF2-40B4-BE49-F238E27FC236}">
              <a16:creationId xmlns:a16="http://schemas.microsoft.com/office/drawing/2014/main" id="{18A33329-BD5F-4201-A997-4C19593E8554}"/>
            </a:ext>
          </a:extLst>
        </xdr:cNvPr>
        <xdr:cNvSpPr>
          <a:spLocks/>
        </xdr:cNvSpPr>
      </xdr:nvSpPr>
      <xdr:spPr bwMode="auto">
        <a:xfrm>
          <a:off x="933450" y="4333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182531" name="AutoShape 206">
          <a:extLst>
            <a:ext uri="{FF2B5EF4-FFF2-40B4-BE49-F238E27FC236}">
              <a16:creationId xmlns:a16="http://schemas.microsoft.com/office/drawing/2014/main" id="{08ABCB0C-B5ED-45FF-8998-96D5E62D8BAA}"/>
            </a:ext>
          </a:extLst>
        </xdr:cNvPr>
        <xdr:cNvSpPr>
          <a:spLocks/>
        </xdr:cNvSpPr>
      </xdr:nvSpPr>
      <xdr:spPr bwMode="auto">
        <a:xfrm>
          <a:off x="933450" y="6619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182532" name="AutoShape 207">
          <a:extLst>
            <a:ext uri="{FF2B5EF4-FFF2-40B4-BE49-F238E27FC236}">
              <a16:creationId xmlns:a16="http://schemas.microsoft.com/office/drawing/2014/main" id="{AF861FA6-A2DE-482C-8A98-765521578D9C}"/>
            </a:ext>
          </a:extLst>
        </xdr:cNvPr>
        <xdr:cNvSpPr>
          <a:spLocks/>
        </xdr:cNvSpPr>
      </xdr:nvSpPr>
      <xdr:spPr bwMode="auto">
        <a:xfrm>
          <a:off x="933450" y="7077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82533" name="AutoShape 209">
          <a:extLst>
            <a:ext uri="{FF2B5EF4-FFF2-40B4-BE49-F238E27FC236}">
              <a16:creationId xmlns:a16="http://schemas.microsoft.com/office/drawing/2014/main" id="{640B8F01-C0A0-420A-AF4F-8B3E1DBB73C7}"/>
            </a:ext>
          </a:extLst>
        </xdr:cNvPr>
        <xdr:cNvSpPr>
          <a:spLocks/>
        </xdr:cNvSpPr>
      </xdr:nvSpPr>
      <xdr:spPr bwMode="auto">
        <a:xfrm>
          <a:off x="933450" y="7534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82534" name="AutoShape 210">
          <a:extLst>
            <a:ext uri="{FF2B5EF4-FFF2-40B4-BE49-F238E27FC236}">
              <a16:creationId xmlns:a16="http://schemas.microsoft.com/office/drawing/2014/main" id="{A9BB4A3F-686B-4718-94F3-A246BBA82311}"/>
            </a:ext>
          </a:extLst>
        </xdr:cNvPr>
        <xdr:cNvSpPr>
          <a:spLocks/>
        </xdr:cNvSpPr>
      </xdr:nvSpPr>
      <xdr:spPr bwMode="auto">
        <a:xfrm>
          <a:off x="933450" y="7991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82535" name="AutoShape 215">
          <a:extLst>
            <a:ext uri="{FF2B5EF4-FFF2-40B4-BE49-F238E27FC236}">
              <a16:creationId xmlns:a16="http://schemas.microsoft.com/office/drawing/2014/main" id="{EB05A729-087F-42FF-A209-B502739B630C}"/>
            </a:ext>
          </a:extLst>
        </xdr:cNvPr>
        <xdr:cNvSpPr>
          <a:spLocks/>
        </xdr:cNvSpPr>
      </xdr:nvSpPr>
      <xdr:spPr bwMode="auto">
        <a:xfrm>
          <a:off x="933450" y="4791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82536" name="AutoShape 216">
          <a:extLst>
            <a:ext uri="{FF2B5EF4-FFF2-40B4-BE49-F238E27FC236}">
              <a16:creationId xmlns:a16="http://schemas.microsoft.com/office/drawing/2014/main" id="{4E38440E-9FD6-48E8-88F3-FF684AE80333}"/>
            </a:ext>
          </a:extLst>
        </xdr:cNvPr>
        <xdr:cNvSpPr>
          <a:spLocks/>
        </xdr:cNvSpPr>
      </xdr:nvSpPr>
      <xdr:spPr bwMode="auto">
        <a:xfrm>
          <a:off x="933450" y="5248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82537" name="AutoShape 220">
          <a:extLst>
            <a:ext uri="{FF2B5EF4-FFF2-40B4-BE49-F238E27FC236}">
              <a16:creationId xmlns:a16="http://schemas.microsoft.com/office/drawing/2014/main" id="{F4B2A8D4-19C5-4940-9E4C-F18AA2AD117E}"/>
            </a:ext>
          </a:extLst>
        </xdr:cNvPr>
        <xdr:cNvSpPr>
          <a:spLocks/>
        </xdr:cNvSpPr>
      </xdr:nvSpPr>
      <xdr:spPr bwMode="auto">
        <a:xfrm>
          <a:off x="933450" y="9363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82538" name="AutoShape 221">
          <a:extLst>
            <a:ext uri="{FF2B5EF4-FFF2-40B4-BE49-F238E27FC236}">
              <a16:creationId xmlns:a16="http://schemas.microsoft.com/office/drawing/2014/main" id="{E95C1E10-FBF4-41B3-A95A-E3803D18AC0A}"/>
            </a:ext>
          </a:extLst>
        </xdr:cNvPr>
        <xdr:cNvSpPr>
          <a:spLocks/>
        </xdr:cNvSpPr>
      </xdr:nvSpPr>
      <xdr:spPr bwMode="auto">
        <a:xfrm>
          <a:off x="933450" y="9820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82539" name="AutoShape 222">
          <a:extLst>
            <a:ext uri="{FF2B5EF4-FFF2-40B4-BE49-F238E27FC236}">
              <a16:creationId xmlns:a16="http://schemas.microsoft.com/office/drawing/2014/main" id="{A36FFFD2-B349-4D0E-AC75-F18A298A3165}"/>
            </a:ext>
          </a:extLst>
        </xdr:cNvPr>
        <xdr:cNvSpPr>
          <a:spLocks/>
        </xdr:cNvSpPr>
      </xdr:nvSpPr>
      <xdr:spPr bwMode="auto">
        <a:xfrm>
          <a:off x="933450" y="10277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82540" name="AutoShape 223">
          <a:extLst>
            <a:ext uri="{FF2B5EF4-FFF2-40B4-BE49-F238E27FC236}">
              <a16:creationId xmlns:a16="http://schemas.microsoft.com/office/drawing/2014/main" id="{407D720E-FDBB-4BF6-994D-8F4C42AD3445}"/>
            </a:ext>
          </a:extLst>
        </xdr:cNvPr>
        <xdr:cNvSpPr>
          <a:spLocks/>
        </xdr:cNvSpPr>
      </xdr:nvSpPr>
      <xdr:spPr bwMode="auto">
        <a:xfrm>
          <a:off x="933450" y="10734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82541" name="AutoShape 224">
          <a:extLst>
            <a:ext uri="{FF2B5EF4-FFF2-40B4-BE49-F238E27FC236}">
              <a16:creationId xmlns:a16="http://schemas.microsoft.com/office/drawing/2014/main" id="{9D6C13F5-82EC-48B4-BF45-44A3E86596EB}"/>
            </a:ext>
          </a:extLst>
        </xdr:cNvPr>
        <xdr:cNvSpPr>
          <a:spLocks/>
        </xdr:cNvSpPr>
      </xdr:nvSpPr>
      <xdr:spPr bwMode="auto">
        <a:xfrm>
          <a:off x="933450" y="11191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82542" name="AutoShape 225">
          <a:extLst>
            <a:ext uri="{FF2B5EF4-FFF2-40B4-BE49-F238E27FC236}">
              <a16:creationId xmlns:a16="http://schemas.microsoft.com/office/drawing/2014/main" id="{79459099-2AEE-4C5E-ABFE-624BD1864867}"/>
            </a:ext>
          </a:extLst>
        </xdr:cNvPr>
        <xdr:cNvSpPr>
          <a:spLocks/>
        </xdr:cNvSpPr>
      </xdr:nvSpPr>
      <xdr:spPr bwMode="auto">
        <a:xfrm>
          <a:off x="933450" y="11649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182543" name="AutoShape 226">
          <a:extLst>
            <a:ext uri="{FF2B5EF4-FFF2-40B4-BE49-F238E27FC236}">
              <a16:creationId xmlns:a16="http://schemas.microsoft.com/office/drawing/2014/main" id="{11F06E51-FBA6-4CB4-8B4F-274FC5A45A8E}"/>
            </a:ext>
          </a:extLst>
        </xdr:cNvPr>
        <xdr:cNvSpPr>
          <a:spLocks/>
        </xdr:cNvSpPr>
      </xdr:nvSpPr>
      <xdr:spPr bwMode="auto">
        <a:xfrm>
          <a:off x="933450" y="12106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182544" name="AutoShape 227">
          <a:extLst>
            <a:ext uri="{FF2B5EF4-FFF2-40B4-BE49-F238E27FC236}">
              <a16:creationId xmlns:a16="http://schemas.microsoft.com/office/drawing/2014/main" id="{79FCB714-1C84-478B-878F-F6FA45159625}"/>
            </a:ext>
          </a:extLst>
        </xdr:cNvPr>
        <xdr:cNvSpPr>
          <a:spLocks/>
        </xdr:cNvSpPr>
      </xdr:nvSpPr>
      <xdr:spPr bwMode="auto">
        <a:xfrm>
          <a:off x="933450" y="13020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182545" name="AutoShape 228">
          <a:extLst>
            <a:ext uri="{FF2B5EF4-FFF2-40B4-BE49-F238E27FC236}">
              <a16:creationId xmlns:a16="http://schemas.microsoft.com/office/drawing/2014/main" id="{91A8A197-B85F-4446-86F3-285F98A06D50}"/>
            </a:ext>
          </a:extLst>
        </xdr:cNvPr>
        <xdr:cNvSpPr>
          <a:spLocks/>
        </xdr:cNvSpPr>
      </xdr:nvSpPr>
      <xdr:spPr bwMode="auto">
        <a:xfrm>
          <a:off x="933450" y="12563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182546" name="AutoShape 229">
          <a:extLst>
            <a:ext uri="{FF2B5EF4-FFF2-40B4-BE49-F238E27FC236}">
              <a16:creationId xmlns:a16="http://schemas.microsoft.com/office/drawing/2014/main" id="{D158CA3A-C9C8-4AA0-9D06-C78299193FD4}"/>
            </a:ext>
          </a:extLst>
        </xdr:cNvPr>
        <xdr:cNvSpPr>
          <a:spLocks/>
        </xdr:cNvSpPr>
      </xdr:nvSpPr>
      <xdr:spPr bwMode="auto">
        <a:xfrm>
          <a:off x="933450" y="8448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182547" name="AutoShape 230">
          <a:extLst>
            <a:ext uri="{FF2B5EF4-FFF2-40B4-BE49-F238E27FC236}">
              <a16:creationId xmlns:a16="http://schemas.microsoft.com/office/drawing/2014/main" id="{3C35B71A-B3B3-4FC7-8C8D-80AC9054E49D}"/>
            </a:ext>
          </a:extLst>
        </xdr:cNvPr>
        <xdr:cNvSpPr>
          <a:spLocks/>
        </xdr:cNvSpPr>
      </xdr:nvSpPr>
      <xdr:spPr bwMode="auto">
        <a:xfrm>
          <a:off x="933450" y="8905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11</xdr:row>
      <xdr:rowOff>38100</xdr:rowOff>
    </xdr:from>
    <xdr:to>
      <xdr:col>37</xdr:col>
      <xdr:colOff>142875</xdr:colOff>
      <xdr:row>12</xdr:row>
      <xdr:rowOff>219075</xdr:rowOff>
    </xdr:to>
    <xdr:sp macro="" textlink="">
      <xdr:nvSpPr>
        <xdr:cNvPr id="182548" name="AutoShape 200">
          <a:extLst>
            <a:ext uri="{FF2B5EF4-FFF2-40B4-BE49-F238E27FC236}">
              <a16:creationId xmlns:a16="http://schemas.microsoft.com/office/drawing/2014/main" id="{8D10B1E9-0523-4DEA-9206-E8B12008D636}"/>
            </a:ext>
          </a:extLst>
        </xdr:cNvPr>
        <xdr:cNvSpPr>
          <a:spLocks/>
        </xdr:cNvSpPr>
      </xdr:nvSpPr>
      <xdr:spPr bwMode="auto">
        <a:xfrm>
          <a:off x="24784050" y="29622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15</xdr:row>
      <xdr:rowOff>38100</xdr:rowOff>
    </xdr:from>
    <xdr:to>
      <xdr:col>37</xdr:col>
      <xdr:colOff>142875</xdr:colOff>
      <xdr:row>16</xdr:row>
      <xdr:rowOff>219075</xdr:rowOff>
    </xdr:to>
    <xdr:sp macro="" textlink="">
      <xdr:nvSpPr>
        <xdr:cNvPr id="182549" name="AutoShape 201">
          <a:extLst>
            <a:ext uri="{FF2B5EF4-FFF2-40B4-BE49-F238E27FC236}">
              <a16:creationId xmlns:a16="http://schemas.microsoft.com/office/drawing/2014/main" id="{59D9F973-362D-477E-B30C-BFD3C0F9A925}"/>
            </a:ext>
          </a:extLst>
        </xdr:cNvPr>
        <xdr:cNvSpPr>
          <a:spLocks/>
        </xdr:cNvSpPr>
      </xdr:nvSpPr>
      <xdr:spPr bwMode="auto">
        <a:xfrm>
          <a:off x="24784050" y="38766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23</xdr:row>
      <xdr:rowOff>38100</xdr:rowOff>
    </xdr:from>
    <xdr:to>
      <xdr:col>37</xdr:col>
      <xdr:colOff>142875</xdr:colOff>
      <xdr:row>24</xdr:row>
      <xdr:rowOff>219075</xdr:rowOff>
    </xdr:to>
    <xdr:sp macro="" textlink="">
      <xdr:nvSpPr>
        <xdr:cNvPr id="182550" name="AutoShape 202">
          <a:extLst>
            <a:ext uri="{FF2B5EF4-FFF2-40B4-BE49-F238E27FC236}">
              <a16:creationId xmlns:a16="http://schemas.microsoft.com/office/drawing/2014/main" id="{C34D330D-78E9-46DC-A441-4CC7E4EC887B}"/>
            </a:ext>
          </a:extLst>
        </xdr:cNvPr>
        <xdr:cNvSpPr>
          <a:spLocks/>
        </xdr:cNvSpPr>
      </xdr:nvSpPr>
      <xdr:spPr bwMode="auto">
        <a:xfrm>
          <a:off x="24784050" y="57054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13</xdr:row>
      <xdr:rowOff>38100</xdr:rowOff>
    </xdr:from>
    <xdr:to>
      <xdr:col>37</xdr:col>
      <xdr:colOff>142875</xdr:colOff>
      <xdr:row>14</xdr:row>
      <xdr:rowOff>219075</xdr:rowOff>
    </xdr:to>
    <xdr:sp macro="" textlink="">
      <xdr:nvSpPr>
        <xdr:cNvPr id="182551" name="AutoShape 203">
          <a:extLst>
            <a:ext uri="{FF2B5EF4-FFF2-40B4-BE49-F238E27FC236}">
              <a16:creationId xmlns:a16="http://schemas.microsoft.com/office/drawing/2014/main" id="{2A9777A4-EDE4-45EE-8755-EED414F79A5E}"/>
            </a:ext>
          </a:extLst>
        </xdr:cNvPr>
        <xdr:cNvSpPr>
          <a:spLocks/>
        </xdr:cNvSpPr>
      </xdr:nvSpPr>
      <xdr:spPr bwMode="auto">
        <a:xfrm>
          <a:off x="24784050" y="34194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25</xdr:row>
      <xdr:rowOff>38100</xdr:rowOff>
    </xdr:from>
    <xdr:to>
      <xdr:col>37</xdr:col>
      <xdr:colOff>142875</xdr:colOff>
      <xdr:row>26</xdr:row>
      <xdr:rowOff>219075</xdr:rowOff>
    </xdr:to>
    <xdr:sp macro="" textlink="">
      <xdr:nvSpPr>
        <xdr:cNvPr id="182552" name="AutoShape 204">
          <a:extLst>
            <a:ext uri="{FF2B5EF4-FFF2-40B4-BE49-F238E27FC236}">
              <a16:creationId xmlns:a16="http://schemas.microsoft.com/office/drawing/2014/main" id="{0B7BE78B-AADA-40D2-869A-FF8D2093083A}"/>
            </a:ext>
          </a:extLst>
        </xdr:cNvPr>
        <xdr:cNvSpPr>
          <a:spLocks/>
        </xdr:cNvSpPr>
      </xdr:nvSpPr>
      <xdr:spPr bwMode="auto">
        <a:xfrm>
          <a:off x="24784050" y="61626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17</xdr:row>
      <xdr:rowOff>38100</xdr:rowOff>
    </xdr:from>
    <xdr:to>
      <xdr:col>37</xdr:col>
      <xdr:colOff>142875</xdr:colOff>
      <xdr:row>18</xdr:row>
      <xdr:rowOff>219075</xdr:rowOff>
    </xdr:to>
    <xdr:sp macro="" textlink="">
      <xdr:nvSpPr>
        <xdr:cNvPr id="182553" name="AutoShape 205">
          <a:extLst>
            <a:ext uri="{FF2B5EF4-FFF2-40B4-BE49-F238E27FC236}">
              <a16:creationId xmlns:a16="http://schemas.microsoft.com/office/drawing/2014/main" id="{2EFA239A-5F0A-43B4-AC01-E656E842E816}"/>
            </a:ext>
          </a:extLst>
        </xdr:cNvPr>
        <xdr:cNvSpPr>
          <a:spLocks/>
        </xdr:cNvSpPr>
      </xdr:nvSpPr>
      <xdr:spPr bwMode="auto">
        <a:xfrm>
          <a:off x="24784050" y="43338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27</xdr:row>
      <xdr:rowOff>38100</xdr:rowOff>
    </xdr:from>
    <xdr:to>
      <xdr:col>37</xdr:col>
      <xdr:colOff>142875</xdr:colOff>
      <xdr:row>28</xdr:row>
      <xdr:rowOff>219075</xdr:rowOff>
    </xdr:to>
    <xdr:sp macro="" textlink="">
      <xdr:nvSpPr>
        <xdr:cNvPr id="182554" name="AutoShape 206">
          <a:extLst>
            <a:ext uri="{FF2B5EF4-FFF2-40B4-BE49-F238E27FC236}">
              <a16:creationId xmlns:a16="http://schemas.microsoft.com/office/drawing/2014/main" id="{482E35F8-3F14-43FB-A8E9-1546DE057089}"/>
            </a:ext>
          </a:extLst>
        </xdr:cNvPr>
        <xdr:cNvSpPr>
          <a:spLocks/>
        </xdr:cNvSpPr>
      </xdr:nvSpPr>
      <xdr:spPr bwMode="auto">
        <a:xfrm>
          <a:off x="24784050" y="66198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29</xdr:row>
      <xdr:rowOff>38100</xdr:rowOff>
    </xdr:from>
    <xdr:to>
      <xdr:col>37</xdr:col>
      <xdr:colOff>142875</xdr:colOff>
      <xdr:row>30</xdr:row>
      <xdr:rowOff>219075</xdr:rowOff>
    </xdr:to>
    <xdr:sp macro="" textlink="">
      <xdr:nvSpPr>
        <xdr:cNvPr id="182555" name="AutoShape 207">
          <a:extLst>
            <a:ext uri="{FF2B5EF4-FFF2-40B4-BE49-F238E27FC236}">
              <a16:creationId xmlns:a16="http://schemas.microsoft.com/office/drawing/2014/main" id="{2E3EA541-13D2-4E34-9BFC-D34EB730B224}"/>
            </a:ext>
          </a:extLst>
        </xdr:cNvPr>
        <xdr:cNvSpPr>
          <a:spLocks/>
        </xdr:cNvSpPr>
      </xdr:nvSpPr>
      <xdr:spPr bwMode="auto">
        <a:xfrm>
          <a:off x="24784050" y="70770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31</xdr:row>
      <xdr:rowOff>38100</xdr:rowOff>
    </xdr:from>
    <xdr:to>
      <xdr:col>37</xdr:col>
      <xdr:colOff>142875</xdr:colOff>
      <xdr:row>32</xdr:row>
      <xdr:rowOff>219075</xdr:rowOff>
    </xdr:to>
    <xdr:sp macro="" textlink="">
      <xdr:nvSpPr>
        <xdr:cNvPr id="182556" name="AutoShape 209">
          <a:extLst>
            <a:ext uri="{FF2B5EF4-FFF2-40B4-BE49-F238E27FC236}">
              <a16:creationId xmlns:a16="http://schemas.microsoft.com/office/drawing/2014/main" id="{84039E5A-FF3E-45A3-A5C1-4090FE7CF063}"/>
            </a:ext>
          </a:extLst>
        </xdr:cNvPr>
        <xdr:cNvSpPr>
          <a:spLocks/>
        </xdr:cNvSpPr>
      </xdr:nvSpPr>
      <xdr:spPr bwMode="auto">
        <a:xfrm>
          <a:off x="24784050" y="75342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33</xdr:row>
      <xdr:rowOff>38100</xdr:rowOff>
    </xdr:from>
    <xdr:to>
      <xdr:col>37</xdr:col>
      <xdr:colOff>142875</xdr:colOff>
      <xdr:row>34</xdr:row>
      <xdr:rowOff>219075</xdr:rowOff>
    </xdr:to>
    <xdr:sp macro="" textlink="">
      <xdr:nvSpPr>
        <xdr:cNvPr id="182557" name="AutoShape 210">
          <a:extLst>
            <a:ext uri="{FF2B5EF4-FFF2-40B4-BE49-F238E27FC236}">
              <a16:creationId xmlns:a16="http://schemas.microsoft.com/office/drawing/2014/main" id="{CD2BB6CB-2A80-4441-B5E6-1E26174706E6}"/>
            </a:ext>
          </a:extLst>
        </xdr:cNvPr>
        <xdr:cNvSpPr>
          <a:spLocks/>
        </xdr:cNvSpPr>
      </xdr:nvSpPr>
      <xdr:spPr bwMode="auto">
        <a:xfrm>
          <a:off x="24784050" y="79914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19</xdr:row>
      <xdr:rowOff>38100</xdr:rowOff>
    </xdr:from>
    <xdr:to>
      <xdr:col>37</xdr:col>
      <xdr:colOff>142875</xdr:colOff>
      <xdr:row>20</xdr:row>
      <xdr:rowOff>219075</xdr:rowOff>
    </xdr:to>
    <xdr:sp macro="" textlink="">
      <xdr:nvSpPr>
        <xdr:cNvPr id="182558" name="AutoShape 215">
          <a:extLst>
            <a:ext uri="{FF2B5EF4-FFF2-40B4-BE49-F238E27FC236}">
              <a16:creationId xmlns:a16="http://schemas.microsoft.com/office/drawing/2014/main" id="{386FB1EC-1F6D-4835-9ED4-AA7B6E023D12}"/>
            </a:ext>
          </a:extLst>
        </xdr:cNvPr>
        <xdr:cNvSpPr>
          <a:spLocks/>
        </xdr:cNvSpPr>
      </xdr:nvSpPr>
      <xdr:spPr bwMode="auto">
        <a:xfrm>
          <a:off x="24784050" y="47910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21</xdr:row>
      <xdr:rowOff>38100</xdr:rowOff>
    </xdr:from>
    <xdr:to>
      <xdr:col>37</xdr:col>
      <xdr:colOff>142875</xdr:colOff>
      <xdr:row>22</xdr:row>
      <xdr:rowOff>219075</xdr:rowOff>
    </xdr:to>
    <xdr:sp macro="" textlink="">
      <xdr:nvSpPr>
        <xdr:cNvPr id="182559" name="AutoShape 216">
          <a:extLst>
            <a:ext uri="{FF2B5EF4-FFF2-40B4-BE49-F238E27FC236}">
              <a16:creationId xmlns:a16="http://schemas.microsoft.com/office/drawing/2014/main" id="{5EE3BDFC-F841-43F8-B7D4-A00970C52E37}"/>
            </a:ext>
          </a:extLst>
        </xdr:cNvPr>
        <xdr:cNvSpPr>
          <a:spLocks/>
        </xdr:cNvSpPr>
      </xdr:nvSpPr>
      <xdr:spPr bwMode="auto">
        <a:xfrm>
          <a:off x="24784050" y="52482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39</xdr:row>
      <xdr:rowOff>38100</xdr:rowOff>
    </xdr:from>
    <xdr:to>
      <xdr:col>37</xdr:col>
      <xdr:colOff>142875</xdr:colOff>
      <xdr:row>40</xdr:row>
      <xdr:rowOff>219075</xdr:rowOff>
    </xdr:to>
    <xdr:sp macro="" textlink="">
      <xdr:nvSpPr>
        <xdr:cNvPr id="182560" name="AutoShape 220">
          <a:extLst>
            <a:ext uri="{FF2B5EF4-FFF2-40B4-BE49-F238E27FC236}">
              <a16:creationId xmlns:a16="http://schemas.microsoft.com/office/drawing/2014/main" id="{93231014-1E72-4C58-B667-E8C0E1A45A04}"/>
            </a:ext>
          </a:extLst>
        </xdr:cNvPr>
        <xdr:cNvSpPr>
          <a:spLocks/>
        </xdr:cNvSpPr>
      </xdr:nvSpPr>
      <xdr:spPr bwMode="auto">
        <a:xfrm>
          <a:off x="24784050" y="93630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41</xdr:row>
      <xdr:rowOff>38100</xdr:rowOff>
    </xdr:from>
    <xdr:to>
      <xdr:col>37</xdr:col>
      <xdr:colOff>142875</xdr:colOff>
      <xdr:row>42</xdr:row>
      <xdr:rowOff>219075</xdr:rowOff>
    </xdr:to>
    <xdr:sp macro="" textlink="">
      <xdr:nvSpPr>
        <xdr:cNvPr id="182561" name="AutoShape 221">
          <a:extLst>
            <a:ext uri="{FF2B5EF4-FFF2-40B4-BE49-F238E27FC236}">
              <a16:creationId xmlns:a16="http://schemas.microsoft.com/office/drawing/2014/main" id="{81408C2B-C1E1-4F16-99F3-700F9CEA891F}"/>
            </a:ext>
          </a:extLst>
        </xdr:cNvPr>
        <xdr:cNvSpPr>
          <a:spLocks/>
        </xdr:cNvSpPr>
      </xdr:nvSpPr>
      <xdr:spPr bwMode="auto">
        <a:xfrm>
          <a:off x="24784050" y="98202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43</xdr:row>
      <xdr:rowOff>38100</xdr:rowOff>
    </xdr:from>
    <xdr:to>
      <xdr:col>37</xdr:col>
      <xdr:colOff>142875</xdr:colOff>
      <xdr:row>44</xdr:row>
      <xdr:rowOff>219075</xdr:rowOff>
    </xdr:to>
    <xdr:sp macro="" textlink="">
      <xdr:nvSpPr>
        <xdr:cNvPr id="182562" name="AutoShape 222">
          <a:extLst>
            <a:ext uri="{FF2B5EF4-FFF2-40B4-BE49-F238E27FC236}">
              <a16:creationId xmlns:a16="http://schemas.microsoft.com/office/drawing/2014/main" id="{0B7E794D-C4CE-46EB-BE1B-7B5B9C006484}"/>
            </a:ext>
          </a:extLst>
        </xdr:cNvPr>
        <xdr:cNvSpPr>
          <a:spLocks/>
        </xdr:cNvSpPr>
      </xdr:nvSpPr>
      <xdr:spPr bwMode="auto">
        <a:xfrm>
          <a:off x="24784050" y="102774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45</xdr:row>
      <xdr:rowOff>38100</xdr:rowOff>
    </xdr:from>
    <xdr:to>
      <xdr:col>37</xdr:col>
      <xdr:colOff>142875</xdr:colOff>
      <xdr:row>46</xdr:row>
      <xdr:rowOff>219075</xdr:rowOff>
    </xdr:to>
    <xdr:sp macro="" textlink="">
      <xdr:nvSpPr>
        <xdr:cNvPr id="182563" name="AutoShape 223">
          <a:extLst>
            <a:ext uri="{FF2B5EF4-FFF2-40B4-BE49-F238E27FC236}">
              <a16:creationId xmlns:a16="http://schemas.microsoft.com/office/drawing/2014/main" id="{8D0C1D51-9856-41DE-9C60-A3C91CD37CBD}"/>
            </a:ext>
          </a:extLst>
        </xdr:cNvPr>
        <xdr:cNvSpPr>
          <a:spLocks/>
        </xdr:cNvSpPr>
      </xdr:nvSpPr>
      <xdr:spPr bwMode="auto">
        <a:xfrm>
          <a:off x="24784050" y="107346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47</xdr:row>
      <xdr:rowOff>38100</xdr:rowOff>
    </xdr:from>
    <xdr:to>
      <xdr:col>37</xdr:col>
      <xdr:colOff>142875</xdr:colOff>
      <xdr:row>48</xdr:row>
      <xdr:rowOff>219075</xdr:rowOff>
    </xdr:to>
    <xdr:sp macro="" textlink="">
      <xdr:nvSpPr>
        <xdr:cNvPr id="182564" name="AutoShape 224">
          <a:extLst>
            <a:ext uri="{FF2B5EF4-FFF2-40B4-BE49-F238E27FC236}">
              <a16:creationId xmlns:a16="http://schemas.microsoft.com/office/drawing/2014/main" id="{1F886AB2-BC3E-4A01-B147-0521AA569B6D}"/>
            </a:ext>
          </a:extLst>
        </xdr:cNvPr>
        <xdr:cNvSpPr>
          <a:spLocks/>
        </xdr:cNvSpPr>
      </xdr:nvSpPr>
      <xdr:spPr bwMode="auto">
        <a:xfrm>
          <a:off x="24784050" y="111918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49</xdr:row>
      <xdr:rowOff>38100</xdr:rowOff>
    </xdr:from>
    <xdr:to>
      <xdr:col>37</xdr:col>
      <xdr:colOff>142875</xdr:colOff>
      <xdr:row>50</xdr:row>
      <xdr:rowOff>219075</xdr:rowOff>
    </xdr:to>
    <xdr:sp macro="" textlink="">
      <xdr:nvSpPr>
        <xdr:cNvPr id="182565" name="AutoShape 225">
          <a:extLst>
            <a:ext uri="{FF2B5EF4-FFF2-40B4-BE49-F238E27FC236}">
              <a16:creationId xmlns:a16="http://schemas.microsoft.com/office/drawing/2014/main" id="{887CC97E-7B50-491E-9ABF-82D24900413B}"/>
            </a:ext>
          </a:extLst>
        </xdr:cNvPr>
        <xdr:cNvSpPr>
          <a:spLocks/>
        </xdr:cNvSpPr>
      </xdr:nvSpPr>
      <xdr:spPr bwMode="auto">
        <a:xfrm>
          <a:off x="24784050" y="116490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51</xdr:row>
      <xdr:rowOff>38100</xdr:rowOff>
    </xdr:from>
    <xdr:to>
      <xdr:col>37</xdr:col>
      <xdr:colOff>142875</xdr:colOff>
      <xdr:row>52</xdr:row>
      <xdr:rowOff>219075</xdr:rowOff>
    </xdr:to>
    <xdr:sp macro="" textlink="">
      <xdr:nvSpPr>
        <xdr:cNvPr id="182566" name="AutoShape 226">
          <a:extLst>
            <a:ext uri="{FF2B5EF4-FFF2-40B4-BE49-F238E27FC236}">
              <a16:creationId xmlns:a16="http://schemas.microsoft.com/office/drawing/2014/main" id="{A0F2705A-C342-4EF0-B728-0D71D5ABE48A}"/>
            </a:ext>
          </a:extLst>
        </xdr:cNvPr>
        <xdr:cNvSpPr>
          <a:spLocks/>
        </xdr:cNvSpPr>
      </xdr:nvSpPr>
      <xdr:spPr bwMode="auto">
        <a:xfrm>
          <a:off x="24784050" y="121062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55</xdr:row>
      <xdr:rowOff>38100</xdr:rowOff>
    </xdr:from>
    <xdr:to>
      <xdr:col>37</xdr:col>
      <xdr:colOff>142875</xdr:colOff>
      <xdr:row>56</xdr:row>
      <xdr:rowOff>219075</xdr:rowOff>
    </xdr:to>
    <xdr:sp macro="" textlink="">
      <xdr:nvSpPr>
        <xdr:cNvPr id="182567" name="AutoShape 227">
          <a:extLst>
            <a:ext uri="{FF2B5EF4-FFF2-40B4-BE49-F238E27FC236}">
              <a16:creationId xmlns:a16="http://schemas.microsoft.com/office/drawing/2014/main" id="{24B685B0-2484-4898-B7B1-C6C5A1670867}"/>
            </a:ext>
          </a:extLst>
        </xdr:cNvPr>
        <xdr:cNvSpPr>
          <a:spLocks/>
        </xdr:cNvSpPr>
      </xdr:nvSpPr>
      <xdr:spPr bwMode="auto">
        <a:xfrm>
          <a:off x="24784050" y="130206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53</xdr:row>
      <xdr:rowOff>38100</xdr:rowOff>
    </xdr:from>
    <xdr:to>
      <xdr:col>37</xdr:col>
      <xdr:colOff>142875</xdr:colOff>
      <xdr:row>54</xdr:row>
      <xdr:rowOff>219075</xdr:rowOff>
    </xdr:to>
    <xdr:sp macro="" textlink="">
      <xdr:nvSpPr>
        <xdr:cNvPr id="182568" name="AutoShape 228">
          <a:extLst>
            <a:ext uri="{FF2B5EF4-FFF2-40B4-BE49-F238E27FC236}">
              <a16:creationId xmlns:a16="http://schemas.microsoft.com/office/drawing/2014/main" id="{B17B50EF-9F3B-4959-9870-C55579F0CDD9}"/>
            </a:ext>
          </a:extLst>
        </xdr:cNvPr>
        <xdr:cNvSpPr>
          <a:spLocks/>
        </xdr:cNvSpPr>
      </xdr:nvSpPr>
      <xdr:spPr bwMode="auto">
        <a:xfrm>
          <a:off x="24784050" y="125634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35</xdr:row>
      <xdr:rowOff>38100</xdr:rowOff>
    </xdr:from>
    <xdr:to>
      <xdr:col>37</xdr:col>
      <xdr:colOff>142875</xdr:colOff>
      <xdr:row>36</xdr:row>
      <xdr:rowOff>219075</xdr:rowOff>
    </xdr:to>
    <xdr:sp macro="" textlink="">
      <xdr:nvSpPr>
        <xdr:cNvPr id="182569" name="AutoShape 229">
          <a:extLst>
            <a:ext uri="{FF2B5EF4-FFF2-40B4-BE49-F238E27FC236}">
              <a16:creationId xmlns:a16="http://schemas.microsoft.com/office/drawing/2014/main" id="{89637133-657C-478A-9545-A0762740C766}"/>
            </a:ext>
          </a:extLst>
        </xdr:cNvPr>
        <xdr:cNvSpPr>
          <a:spLocks/>
        </xdr:cNvSpPr>
      </xdr:nvSpPr>
      <xdr:spPr bwMode="auto">
        <a:xfrm>
          <a:off x="24784050" y="84486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76200</xdr:colOff>
      <xdr:row>37</xdr:row>
      <xdr:rowOff>38100</xdr:rowOff>
    </xdr:from>
    <xdr:to>
      <xdr:col>37</xdr:col>
      <xdr:colOff>142875</xdr:colOff>
      <xdr:row>38</xdr:row>
      <xdr:rowOff>219075</xdr:rowOff>
    </xdr:to>
    <xdr:sp macro="" textlink="">
      <xdr:nvSpPr>
        <xdr:cNvPr id="182570" name="AutoShape 230">
          <a:extLst>
            <a:ext uri="{FF2B5EF4-FFF2-40B4-BE49-F238E27FC236}">
              <a16:creationId xmlns:a16="http://schemas.microsoft.com/office/drawing/2014/main" id="{9D2420D5-1899-4A87-A59F-4A843A299FED}"/>
            </a:ext>
          </a:extLst>
        </xdr:cNvPr>
        <xdr:cNvSpPr>
          <a:spLocks/>
        </xdr:cNvSpPr>
      </xdr:nvSpPr>
      <xdr:spPr bwMode="auto">
        <a:xfrm>
          <a:off x="24784050" y="8905875"/>
          <a:ext cx="66675" cy="409575"/>
        </a:xfrm>
        <a:prstGeom prst="leftBrace">
          <a:avLst>
            <a:gd name="adj1" fmla="val 5158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2</xdr:col>
      <xdr:colOff>0</xdr:colOff>
      <xdr:row>12</xdr:row>
      <xdr:rowOff>219075</xdr:rowOff>
    </xdr:to>
    <xdr:sp macro="" textlink="">
      <xdr:nvSpPr>
        <xdr:cNvPr id="170571" name="AutoShape 200">
          <a:extLst>
            <a:ext uri="{FF2B5EF4-FFF2-40B4-BE49-F238E27FC236}">
              <a16:creationId xmlns:a16="http://schemas.microsoft.com/office/drawing/2014/main" id="{ECE872B8-C671-4F75-A3E3-467B3F0C4130}"/>
            </a:ext>
          </a:extLst>
        </xdr:cNvPr>
        <xdr:cNvSpPr>
          <a:spLocks/>
        </xdr:cNvSpPr>
      </xdr:nvSpPr>
      <xdr:spPr bwMode="auto">
        <a:xfrm>
          <a:off x="933450" y="3002756"/>
          <a:ext cx="66675" cy="407194"/>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170572" name="AutoShape 201">
          <a:extLst>
            <a:ext uri="{FF2B5EF4-FFF2-40B4-BE49-F238E27FC236}">
              <a16:creationId xmlns:a16="http://schemas.microsoft.com/office/drawing/2014/main" id="{4BB356E8-AD16-40F8-8252-5BC4E221FA7F}"/>
            </a:ext>
          </a:extLst>
        </xdr:cNvPr>
        <xdr:cNvSpPr>
          <a:spLocks/>
        </xdr:cNvSpPr>
      </xdr:nvSpPr>
      <xdr:spPr bwMode="auto">
        <a:xfrm>
          <a:off x="933450" y="3952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170573" name="AutoShape 202">
          <a:extLst>
            <a:ext uri="{FF2B5EF4-FFF2-40B4-BE49-F238E27FC236}">
              <a16:creationId xmlns:a16="http://schemas.microsoft.com/office/drawing/2014/main" id="{6AC3523C-C08F-43BA-BB84-59AC9243081B}"/>
            </a:ext>
          </a:extLst>
        </xdr:cNvPr>
        <xdr:cNvSpPr>
          <a:spLocks/>
        </xdr:cNvSpPr>
      </xdr:nvSpPr>
      <xdr:spPr bwMode="auto">
        <a:xfrm>
          <a:off x="933450" y="5781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1</xdr:col>
      <xdr:colOff>152400</xdr:colOff>
      <xdr:row>14</xdr:row>
      <xdr:rowOff>219075</xdr:rowOff>
    </xdr:to>
    <xdr:sp macro="" textlink="">
      <xdr:nvSpPr>
        <xdr:cNvPr id="170574" name="AutoShape 203">
          <a:extLst>
            <a:ext uri="{FF2B5EF4-FFF2-40B4-BE49-F238E27FC236}">
              <a16:creationId xmlns:a16="http://schemas.microsoft.com/office/drawing/2014/main" id="{88620701-FE08-4F81-B9BF-FCAC6EBC7182}"/>
            </a:ext>
          </a:extLst>
        </xdr:cNvPr>
        <xdr:cNvSpPr>
          <a:spLocks/>
        </xdr:cNvSpPr>
      </xdr:nvSpPr>
      <xdr:spPr bwMode="auto">
        <a:xfrm>
          <a:off x="933450" y="3495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170575" name="AutoShape 204">
          <a:extLst>
            <a:ext uri="{FF2B5EF4-FFF2-40B4-BE49-F238E27FC236}">
              <a16:creationId xmlns:a16="http://schemas.microsoft.com/office/drawing/2014/main" id="{E9850140-EB83-4663-B2B5-D845C33D6415}"/>
            </a:ext>
          </a:extLst>
        </xdr:cNvPr>
        <xdr:cNvSpPr>
          <a:spLocks/>
        </xdr:cNvSpPr>
      </xdr:nvSpPr>
      <xdr:spPr bwMode="auto">
        <a:xfrm>
          <a:off x="933450" y="6238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170576" name="AutoShape 205">
          <a:extLst>
            <a:ext uri="{FF2B5EF4-FFF2-40B4-BE49-F238E27FC236}">
              <a16:creationId xmlns:a16="http://schemas.microsoft.com/office/drawing/2014/main" id="{ED6AE484-5ED4-426E-9BC2-DD26174A82AB}"/>
            </a:ext>
          </a:extLst>
        </xdr:cNvPr>
        <xdr:cNvSpPr>
          <a:spLocks/>
        </xdr:cNvSpPr>
      </xdr:nvSpPr>
      <xdr:spPr bwMode="auto">
        <a:xfrm>
          <a:off x="933450" y="4410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170577" name="AutoShape 206">
          <a:extLst>
            <a:ext uri="{FF2B5EF4-FFF2-40B4-BE49-F238E27FC236}">
              <a16:creationId xmlns:a16="http://schemas.microsoft.com/office/drawing/2014/main" id="{8903AD8C-9BCE-4E4A-B758-FEEC6044C40A}"/>
            </a:ext>
          </a:extLst>
        </xdr:cNvPr>
        <xdr:cNvSpPr>
          <a:spLocks/>
        </xdr:cNvSpPr>
      </xdr:nvSpPr>
      <xdr:spPr bwMode="auto">
        <a:xfrm>
          <a:off x="933450" y="6696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170578" name="AutoShape 207">
          <a:extLst>
            <a:ext uri="{FF2B5EF4-FFF2-40B4-BE49-F238E27FC236}">
              <a16:creationId xmlns:a16="http://schemas.microsoft.com/office/drawing/2014/main" id="{A3D313D5-F61D-46C4-B7DF-3D7D63964D8F}"/>
            </a:ext>
          </a:extLst>
        </xdr:cNvPr>
        <xdr:cNvSpPr>
          <a:spLocks/>
        </xdr:cNvSpPr>
      </xdr:nvSpPr>
      <xdr:spPr bwMode="auto">
        <a:xfrm>
          <a:off x="933450" y="7153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70579" name="AutoShape 209">
          <a:extLst>
            <a:ext uri="{FF2B5EF4-FFF2-40B4-BE49-F238E27FC236}">
              <a16:creationId xmlns:a16="http://schemas.microsoft.com/office/drawing/2014/main" id="{57B95817-6CB1-4540-ADF5-3E728D447AFE}"/>
            </a:ext>
          </a:extLst>
        </xdr:cNvPr>
        <xdr:cNvSpPr>
          <a:spLocks/>
        </xdr:cNvSpPr>
      </xdr:nvSpPr>
      <xdr:spPr bwMode="auto">
        <a:xfrm>
          <a:off x="933450" y="7610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70580" name="AutoShape 210">
          <a:extLst>
            <a:ext uri="{FF2B5EF4-FFF2-40B4-BE49-F238E27FC236}">
              <a16:creationId xmlns:a16="http://schemas.microsoft.com/office/drawing/2014/main" id="{29B103CC-D416-4F1A-9DF5-C769BEB2075A}"/>
            </a:ext>
          </a:extLst>
        </xdr:cNvPr>
        <xdr:cNvSpPr>
          <a:spLocks/>
        </xdr:cNvSpPr>
      </xdr:nvSpPr>
      <xdr:spPr bwMode="auto">
        <a:xfrm>
          <a:off x="933450" y="8067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70581" name="AutoShape 215">
          <a:extLst>
            <a:ext uri="{FF2B5EF4-FFF2-40B4-BE49-F238E27FC236}">
              <a16:creationId xmlns:a16="http://schemas.microsoft.com/office/drawing/2014/main" id="{F170D251-177E-4C99-8FFE-833681C5A3B1}"/>
            </a:ext>
          </a:extLst>
        </xdr:cNvPr>
        <xdr:cNvSpPr>
          <a:spLocks/>
        </xdr:cNvSpPr>
      </xdr:nvSpPr>
      <xdr:spPr bwMode="auto">
        <a:xfrm>
          <a:off x="933450" y="4867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70582" name="AutoShape 216">
          <a:extLst>
            <a:ext uri="{FF2B5EF4-FFF2-40B4-BE49-F238E27FC236}">
              <a16:creationId xmlns:a16="http://schemas.microsoft.com/office/drawing/2014/main" id="{2EF49A67-E5FA-4897-9D66-01C60A342E4C}"/>
            </a:ext>
          </a:extLst>
        </xdr:cNvPr>
        <xdr:cNvSpPr>
          <a:spLocks/>
        </xdr:cNvSpPr>
      </xdr:nvSpPr>
      <xdr:spPr bwMode="auto">
        <a:xfrm>
          <a:off x="933450" y="5324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70583" name="AutoShape 220">
          <a:extLst>
            <a:ext uri="{FF2B5EF4-FFF2-40B4-BE49-F238E27FC236}">
              <a16:creationId xmlns:a16="http://schemas.microsoft.com/office/drawing/2014/main" id="{A17EAB0D-DE73-406F-A406-45D9E5B5D473}"/>
            </a:ext>
          </a:extLst>
        </xdr:cNvPr>
        <xdr:cNvSpPr>
          <a:spLocks/>
        </xdr:cNvSpPr>
      </xdr:nvSpPr>
      <xdr:spPr bwMode="auto">
        <a:xfrm>
          <a:off x="933450" y="9439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70584" name="AutoShape 221">
          <a:extLst>
            <a:ext uri="{FF2B5EF4-FFF2-40B4-BE49-F238E27FC236}">
              <a16:creationId xmlns:a16="http://schemas.microsoft.com/office/drawing/2014/main" id="{8501F5A2-8289-4F1E-A05E-F3995BC16A35}"/>
            </a:ext>
          </a:extLst>
        </xdr:cNvPr>
        <xdr:cNvSpPr>
          <a:spLocks/>
        </xdr:cNvSpPr>
      </xdr:nvSpPr>
      <xdr:spPr bwMode="auto">
        <a:xfrm>
          <a:off x="933450" y="9896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70585" name="AutoShape 222">
          <a:extLst>
            <a:ext uri="{FF2B5EF4-FFF2-40B4-BE49-F238E27FC236}">
              <a16:creationId xmlns:a16="http://schemas.microsoft.com/office/drawing/2014/main" id="{E0620397-1680-48E5-A38E-6D1AF0DC9A93}"/>
            </a:ext>
          </a:extLst>
        </xdr:cNvPr>
        <xdr:cNvSpPr>
          <a:spLocks/>
        </xdr:cNvSpPr>
      </xdr:nvSpPr>
      <xdr:spPr bwMode="auto">
        <a:xfrm>
          <a:off x="933450" y="10353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70586" name="AutoShape 223">
          <a:extLst>
            <a:ext uri="{FF2B5EF4-FFF2-40B4-BE49-F238E27FC236}">
              <a16:creationId xmlns:a16="http://schemas.microsoft.com/office/drawing/2014/main" id="{007BFF3B-357C-477A-9F68-B82E412C74CA}"/>
            </a:ext>
          </a:extLst>
        </xdr:cNvPr>
        <xdr:cNvSpPr>
          <a:spLocks/>
        </xdr:cNvSpPr>
      </xdr:nvSpPr>
      <xdr:spPr bwMode="auto">
        <a:xfrm>
          <a:off x="933450" y="10810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70587" name="AutoShape 224">
          <a:extLst>
            <a:ext uri="{FF2B5EF4-FFF2-40B4-BE49-F238E27FC236}">
              <a16:creationId xmlns:a16="http://schemas.microsoft.com/office/drawing/2014/main" id="{4ACA8BF2-A706-499E-B144-35A84A599075}"/>
            </a:ext>
          </a:extLst>
        </xdr:cNvPr>
        <xdr:cNvSpPr>
          <a:spLocks/>
        </xdr:cNvSpPr>
      </xdr:nvSpPr>
      <xdr:spPr bwMode="auto">
        <a:xfrm>
          <a:off x="933450" y="11268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70588" name="AutoShape 225">
          <a:extLst>
            <a:ext uri="{FF2B5EF4-FFF2-40B4-BE49-F238E27FC236}">
              <a16:creationId xmlns:a16="http://schemas.microsoft.com/office/drawing/2014/main" id="{C01D2F08-7961-4154-A248-BEF61E02EA07}"/>
            </a:ext>
          </a:extLst>
        </xdr:cNvPr>
        <xdr:cNvSpPr>
          <a:spLocks/>
        </xdr:cNvSpPr>
      </xdr:nvSpPr>
      <xdr:spPr bwMode="auto">
        <a:xfrm>
          <a:off x="933450" y="117252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170589" name="AutoShape 226">
          <a:extLst>
            <a:ext uri="{FF2B5EF4-FFF2-40B4-BE49-F238E27FC236}">
              <a16:creationId xmlns:a16="http://schemas.microsoft.com/office/drawing/2014/main" id="{7C591D92-B7D8-4CE2-B20B-30A7564AE2CA}"/>
            </a:ext>
          </a:extLst>
        </xdr:cNvPr>
        <xdr:cNvSpPr>
          <a:spLocks/>
        </xdr:cNvSpPr>
      </xdr:nvSpPr>
      <xdr:spPr bwMode="auto">
        <a:xfrm>
          <a:off x="933450" y="121824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170590" name="AutoShape 227">
          <a:extLst>
            <a:ext uri="{FF2B5EF4-FFF2-40B4-BE49-F238E27FC236}">
              <a16:creationId xmlns:a16="http://schemas.microsoft.com/office/drawing/2014/main" id="{CD21DC4F-D8CD-4D75-AB01-FF0EBC0171B9}"/>
            </a:ext>
          </a:extLst>
        </xdr:cNvPr>
        <xdr:cNvSpPr>
          <a:spLocks/>
        </xdr:cNvSpPr>
      </xdr:nvSpPr>
      <xdr:spPr bwMode="auto">
        <a:xfrm>
          <a:off x="933450" y="13096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170591" name="AutoShape 228">
          <a:extLst>
            <a:ext uri="{FF2B5EF4-FFF2-40B4-BE49-F238E27FC236}">
              <a16:creationId xmlns:a16="http://schemas.microsoft.com/office/drawing/2014/main" id="{EEAE2A88-0B19-40A1-8FAC-CB75F631F393}"/>
            </a:ext>
          </a:extLst>
        </xdr:cNvPr>
        <xdr:cNvSpPr>
          <a:spLocks/>
        </xdr:cNvSpPr>
      </xdr:nvSpPr>
      <xdr:spPr bwMode="auto">
        <a:xfrm>
          <a:off x="933450" y="126396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170592" name="AutoShape 229">
          <a:extLst>
            <a:ext uri="{FF2B5EF4-FFF2-40B4-BE49-F238E27FC236}">
              <a16:creationId xmlns:a16="http://schemas.microsoft.com/office/drawing/2014/main" id="{B071EE86-63A5-4B60-87E1-071229C15351}"/>
            </a:ext>
          </a:extLst>
        </xdr:cNvPr>
        <xdr:cNvSpPr>
          <a:spLocks/>
        </xdr:cNvSpPr>
      </xdr:nvSpPr>
      <xdr:spPr bwMode="auto">
        <a:xfrm>
          <a:off x="933450" y="85248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170593" name="AutoShape 230">
          <a:extLst>
            <a:ext uri="{FF2B5EF4-FFF2-40B4-BE49-F238E27FC236}">
              <a16:creationId xmlns:a16="http://schemas.microsoft.com/office/drawing/2014/main" id="{27C75F0F-1EF0-456F-8119-953B3CBF359F}"/>
            </a:ext>
          </a:extLst>
        </xdr:cNvPr>
        <xdr:cNvSpPr>
          <a:spLocks/>
        </xdr:cNvSpPr>
      </xdr:nvSpPr>
      <xdr:spPr bwMode="auto">
        <a:xfrm>
          <a:off x="933450" y="8982075"/>
          <a:ext cx="66675" cy="409575"/>
        </a:xfrm>
        <a:prstGeom prst="leftBrace">
          <a:avLst>
            <a:gd name="adj1" fmla="val 5119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1</xdr:col>
      <xdr:colOff>152400</xdr:colOff>
      <xdr:row>12</xdr:row>
      <xdr:rowOff>219075</xdr:rowOff>
    </xdr:to>
    <xdr:sp macro="" textlink="">
      <xdr:nvSpPr>
        <xdr:cNvPr id="168545" name="AutoShape 200">
          <a:extLst>
            <a:ext uri="{FF2B5EF4-FFF2-40B4-BE49-F238E27FC236}">
              <a16:creationId xmlns:a16="http://schemas.microsoft.com/office/drawing/2014/main" id="{6118208E-6FB4-4F50-8A13-FB2085BFA757}"/>
            </a:ext>
          </a:extLst>
        </xdr:cNvPr>
        <xdr:cNvSpPr>
          <a:spLocks/>
        </xdr:cNvSpPr>
      </xdr:nvSpPr>
      <xdr:spPr bwMode="auto">
        <a:xfrm>
          <a:off x="1019175" y="38004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168546" name="AutoShape 201">
          <a:extLst>
            <a:ext uri="{FF2B5EF4-FFF2-40B4-BE49-F238E27FC236}">
              <a16:creationId xmlns:a16="http://schemas.microsoft.com/office/drawing/2014/main" id="{81552C53-F79E-4AAF-B184-6354C3CF51B2}"/>
            </a:ext>
          </a:extLst>
        </xdr:cNvPr>
        <xdr:cNvSpPr>
          <a:spLocks/>
        </xdr:cNvSpPr>
      </xdr:nvSpPr>
      <xdr:spPr bwMode="auto">
        <a:xfrm>
          <a:off x="1019175" y="49053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168547" name="AutoShape 202">
          <a:extLst>
            <a:ext uri="{FF2B5EF4-FFF2-40B4-BE49-F238E27FC236}">
              <a16:creationId xmlns:a16="http://schemas.microsoft.com/office/drawing/2014/main" id="{1F140C10-8CFC-4ABA-8C79-DA283D254BFA}"/>
            </a:ext>
          </a:extLst>
        </xdr:cNvPr>
        <xdr:cNvSpPr>
          <a:spLocks/>
        </xdr:cNvSpPr>
      </xdr:nvSpPr>
      <xdr:spPr bwMode="auto">
        <a:xfrm>
          <a:off x="1019175" y="71151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1</xdr:col>
      <xdr:colOff>152400</xdr:colOff>
      <xdr:row>14</xdr:row>
      <xdr:rowOff>219075</xdr:rowOff>
    </xdr:to>
    <xdr:sp macro="" textlink="">
      <xdr:nvSpPr>
        <xdr:cNvPr id="168548" name="AutoShape 203">
          <a:extLst>
            <a:ext uri="{FF2B5EF4-FFF2-40B4-BE49-F238E27FC236}">
              <a16:creationId xmlns:a16="http://schemas.microsoft.com/office/drawing/2014/main" id="{9F883BD8-1DDB-4D0E-9138-D8359D91F541}"/>
            </a:ext>
          </a:extLst>
        </xdr:cNvPr>
        <xdr:cNvSpPr>
          <a:spLocks/>
        </xdr:cNvSpPr>
      </xdr:nvSpPr>
      <xdr:spPr bwMode="auto">
        <a:xfrm>
          <a:off x="1019175" y="43529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168549" name="AutoShape 204">
          <a:extLst>
            <a:ext uri="{FF2B5EF4-FFF2-40B4-BE49-F238E27FC236}">
              <a16:creationId xmlns:a16="http://schemas.microsoft.com/office/drawing/2014/main" id="{8199CFAA-4A3A-40D1-A807-27D29D7D2AC7}"/>
            </a:ext>
          </a:extLst>
        </xdr:cNvPr>
        <xdr:cNvSpPr>
          <a:spLocks/>
        </xdr:cNvSpPr>
      </xdr:nvSpPr>
      <xdr:spPr bwMode="auto">
        <a:xfrm>
          <a:off x="1019175" y="76676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168550" name="AutoShape 205">
          <a:extLst>
            <a:ext uri="{FF2B5EF4-FFF2-40B4-BE49-F238E27FC236}">
              <a16:creationId xmlns:a16="http://schemas.microsoft.com/office/drawing/2014/main" id="{94878AF0-D303-4EA0-A523-C11D110B5681}"/>
            </a:ext>
          </a:extLst>
        </xdr:cNvPr>
        <xdr:cNvSpPr>
          <a:spLocks/>
        </xdr:cNvSpPr>
      </xdr:nvSpPr>
      <xdr:spPr bwMode="auto">
        <a:xfrm>
          <a:off x="1019175" y="54578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168551" name="AutoShape 206">
          <a:extLst>
            <a:ext uri="{FF2B5EF4-FFF2-40B4-BE49-F238E27FC236}">
              <a16:creationId xmlns:a16="http://schemas.microsoft.com/office/drawing/2014/main" id="{EA3C750B-5684-4512-9EE1-CF72A56CBA5B}"/>
            </a:ext>
          </a:extLst>
        </xdr:cNvPr>
        <xdr:cNvSpPr>
          <a:spLocks/>
        </xdr:cNvSpPr>
      </xdr:nvSpPr>
      <xdr:spPr bwMode="auto">
        <a:xfrm>
          <a:off x="1019175" y="82200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168552" name="AutoShape 207">
          <a:extLst>
            <a:ext uri="{FF2B5EF4-FFF2-40B4-BE49-F238E27FC236}">
              <a16:creationId xmlns:a16="http://schemas.microsoft.com/office/drawing/2014/main" id="{47D67ED0-2E49-4742-8742-6179CDFE5A3A}"/>
            </a:ext>
          </a:extLst>
        </xdr:cNvPr>
        <xdr:cNvSpPr>
          <a:spLocks/>
        </xdr:cNvSpPr>
      </xdr:nvSpPr>
      <xdr:spPr bwMode="auto">
        <a:xfrm>
          <a:off x="1019175" y="87725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68553" name="AutoShape 209">
          <a:extLst>
            <a:ext uri="{FF2B5EF4-FFF2-40B4-BE49-F238E27FC236}">
              <a16:creationId xmlns:a16="http://schemas.microsoft.com/office/drawing/2014/main" id="{0013DC55-4F6D-4CCD-ABA3-0823D43ED908}"/>
            </a:ext>
          </a:extLst>
        </xdr:cNvPr>
        <xdr:cNvSpPr>
          <a:spLocks/>
        </xdr:cNvSpPr>
      </xdr:nvSpPr>
      <xdr:spPr bwMode="auto">
        <a:xfrm>
          <a:off x="1019175" y="93249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68554" name="AutoShape 210">
          <a:extLst>
            <a:ext uri="{FF2B5EF4-FFF2-40B4-BE49-F238E27FC236}">
              <a16:creationId xmlns:a16="http://schemas.microsoft.com/office/drawing/2014/main" id="{DF9330DC-E8C9-49DD-AB08-8E26D2B891BE}"/>
            </a:ext>
          </a:extLst>
        </xdr:cNvPr>
        <xdr:cNvSpPr>
          <a:spLocks/>
        </xdr:cNvSpPr>
      </xdr:nvSpPr>
      <xdr:spPr bwMode="auto">
        <a:xfrm>
          <a:off x="1019175" y="98774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68555" name="AutoShape 215">
          <a:extLst>
            <a:ext uri="{FF2B5EF4-FFF2-40B4-BE49-F238E27FC236}">
              <a16:creationId xmlns:a16="http://schemas.microsoft.com/office/drawing/2014/main" id="{AF2F73A8-40E8-4194-B10A-7EB9CC2670AD}"/>
            </a:ext>
          </a:extLst>
        </xdr:cNvPr>
        <xdr:cNvSpPr>
          <a:spLocks/>
        </xdr:cNvSpPr>
      </xdr:nvSpPr>
      <xdr:spPr bwMode="auto">
        <a:xfrm>
          <a:off x="1019175" y="60102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68556" name="AutoShape 216">
          <a:extLst>
            <a:ext uri="{FF2B5EF4-FFF2-40B4-BE49-F238E27FC236}">
              <a16:creationId xmlns:a16="http://schemas.microsoft.com/office/drawing/2014/main" id="{B00CA1FC-8EC1-4DA3-89DA-B03903925263}"/>
            </a:ext>
          </a:extLst>
        </xdr:cNvPr>
        <xdr:cNvSpPr>
          <a:spLocks/>
        </xdr:cNvSpPr>
      </xdr:nvSpPr>
      <xdr:spPr bwMode="auto">
        <a:xfrm>
          <a:off x="1019175" y="65627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68557" name="AutoShape 220">
          <a:extLst>
            <a:ext uri="{FF2B5EF4-FFF2-40B4-BE49-F238E27FC236}">
              <a16:creationId xmlns:a16="http://schemas.microsoft.com/office/drawing/2014/main" id="{52D823A3-58B7-452A-9C22-51E80B81A757}"/>
            </a:ext>
          </a:extLst>
        </xdr:cNvPr>
        <xdr:cNvSpPr>
          <a:spLocks/>
        </xdr:cNvSpPr>
      </xdr:nvSpPr>
      <xdr:spPr bwMode="auto">
        <a:xfrm>
          <a:off x="1019175" y="115347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68558" name="AutoShape 221">
          <a:extLst>
            <a:ext uri="{FF2B5EF4-FFF2-40B4-BE49-F238E27FC236}">
              <a16:creationId xmlns:a16="http://schemas.microsoft.com/office/drawing/2014/main" id="{415633F4-3357-43D8-AD76-1BEBEA268117}"/>
            </a:ext>
          </a:extLst>
        </xdr:cNvPr>
        <xdr:cNvSpPr>
          <a:spLocks/>
        </xdr:cNvSpPr>
      </xdr:nvSpPr>
      <xdr:spPr bwMode="auto">
        <a:xfrm>
          <a:off x="1019175" y="120872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68559" name="AutoShape 222">
          <a:extLst>
            <a:ext uri="{FF2B5EF4-FFF2-40B4-BE49-F238E27FC236}">
              <a16:creationId xmlns:a16="http://schemas.microsoft.com/office/drawing/2014/main" id="{3319C161-FF9A-471E-94E9-04BBC241CD54}"/>
            </a:ext>
          </a:extLst>
        </xdr:cNvPr>
        <xdr:cNvSpPr>
          <a:spLocks/>
        </xdr:cNvSpPr>
      </xdr:nvSpPr>
      <xdr:spPr bwMode="auto">
        <a:xfrm>
          <a:off x="1019175" y="126396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68560" name="AutoShape 223">
          <a:extLst>
            <a:ext uri="{FF2B5EF4-FFF2-40B4-BE49-F238E27FC236}">
              <a16:creationId xmlns:a16="http://schemas.microsoft.com/office/drawing/2014/main" id="{A304D159-4C10-454B-AA4F-BCECE55695BC}"/>
            </a:ext>
          </a:extLst>
        </xdr:cNvPr>
        <xdr:cNvSpPr>
          <a:spLocks/>
        </xdr:cNvSpPr>
      </xdr:nvSpPr>
      <xdr:spPr bwMode="auto">
        <a:xfrm>
          <a:off x="1019175" y="131921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68561" name="AutoShape 224">
          <a:extLst>
            <a:ext uri="{FF2B5EF4-FFF2-40B4-BE49-F238E27FC236}">
              <a16:creationId xmlns:a16="http://schemas.microsoft.com/office/drawing/2014/main" id="{3542EEE0-ECFC-4E9D-BB8C-4B7A0CC032AA}"/>
            </a:ext>
          </a:extLst>
        </xdr:cNvPr>
        <xdr:cNvSpPr>
          <a:spLocks/>
        </xdr:cNvSpPr>
      </xdr:nvSpPr>
      <xdr:spPr bwMode="auto">
        <a:xfrm>
          <a:off x="1019175" y="137445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68562" name="AutoShape 225">
          <a:extLst>
            <a:ext uri="{FF2B5EF4-FFF2-40B4-BE49-F238E27FC236}">
              <a16:creationId xmlns:a16="http://schemas.microsoft.com/office/drawing/2014/main" id="{154BAEA9-E630-41B2-A135-133FF432274D}"/>
            </a:ext>
          </a:extLst>
        </xdr:cNvPr>
        <xdr:cNvSpPr>
          <a:spLocks/>
        </xdr:cNvSpPr>
      </xdr:nvSpPr>
      <xdr:spPr bwMode="auto">
        <a:xfrm>
          <a:off x="1019175" y="142970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168563" name="AutoShape 226">
          <a:extLst>
            <a:ext uri="{FF2B5EF4-FFF2-40B4-BE49-F238E27FC236}">
              <a16:creationId xmlns:a16="http://schemas.microsoft.com/office/drawing/2014/main" id="{F0C64473-3FC0-4C63-9D58-A725CDC0763A}"/>
            </a:ext>
          </a:extLst>
        </xdr:cNvPr>
        <xdr:cNvSpPr>
          <a:spLocks/>
        </xdr:cNvSpPr>
      </xdr:nvSpPr>
      <xdr:spPr bwMode="auto">
        <a:xfrm>
          <a:off x="1019175" y="148494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168564" name="AutoShape 227">
          <a:extLst>
            <a:ext uri="{FF2B5EF4-FFF2-40B4-BE49-F238E27FC236}">
              <a16:creationId xmlns:a16="http://schemas.microsoft.com/office/drawing/2014/main" id="{3A159BFC-3C97-4CD1-BE75-169E0249C92B}"/>
            </a:ext>
          </a:extLst>
        </xdr:cNvPr>
        <xdr:cNvSpPr>
          <a:spLocks/>
        </xdr:cNvSpPr>
      </xdr:nvSpPr>
      <xdr:spPr bwMode="auto">
        <a:xfrm>
          <a:off x="1019175" y="159543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168565" name="AutoShape 228">
          <a:extLst>
            <a:ext uri="{FF2B5EF4-FFF2-40B4-BE49-F238E27FC236}">
              <a16:creationId xmlns:a16="http://schemas.microsoft.com/office/drawing/2014/main" id="{FBA0C280-B56B-4E74-903C-2CCBDD700916}"/>
            </a:ext>
          </a:extLst>
        </xdr:cNvPr>
        <xdr:cNvSpPr>
          <a:spLocks/>
        </xdr:cNvSpPr>
      </xdr:nvSpPr>
      <xdr:spPr bwMode="auto">
        <a:xfrm>
          <a:off x="1019175" y="154019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168566" name="AutoShape 229">
          <a:extLst>
            <a:ext uri="{FF2B5EF4-FFF2-40B4-BE49-F238E27FC236}">
              <a16:creationId xmlns:a16="http://schemas.microsoft.com/office/drawing/2014/main" id="{043545B4-666A-4322-813D-DA046A1F96C1}"/>
            </a:ext>
          </a:extLst>
        </xdr:cNvPr>
        <xdr:cNvSpPr>
          <a:spLocks/>
        </xdr:cNvSpPr>
      </xdr:nvSpPr>
      <xdr:spPr bwMode="auto">
        <a:xfrm>
          <a:off x="1019175" y="1042987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168567" name="AutoShape 230">
          <a:extLst>
            <a:ext uri="{FF2B5EF4-FFF2-40B4-BE49-F238E27FC236}">
              <a16:creationId xmlns:a16="http://schemas.microsoft.com/office/drawing/2014/main" id="{0E634BA2-442F-400B-8A2A-37B2826225C2}"/>
            </a:ext>
          </a:extLst>
        </xdr:cNvPr>
        <xdr:cNvSpPr>
          <a:spLocks/>
        </xdr:cNvSpPr>
      </xdr:nvSpPr>
      <xdr:spPr bwMode="auto">
        <a:xfrm>
          <a:off x="1019175" y="10982325"/>
          <a:ext cx="47625" cy="457200"/>
        </a:xfrm>
        <a:prstGeom prst="leftBrace">
          <a:avLst>
            <a:gd name="adj1" fmla="val 8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76200</xdr:colOff>
      <xdr:row>11</xdr:row>
      <xdr:rowOff>38100</xdr:rowOff>
    </xdr:from>
    <xdr:to>
      <xdr:col>1</xdr:col>
      <xdr:colOff>152400</xdr:colOff>
      <xdr:row>12</xdr:row>
      <xdr:rowOff>219075</xdr:rowOff>
    </xdr:to>
    <xdr:sp macro="" textlink="">
      <xdr:nvSpPr>
        <xdr:cNvPr id="162539" name="AutoShape 200">
          <a:extLst>
            <a:ext uri="{FF2B5EF4-FFF2-40B4-BE49-F238E27FC236}">
              <a16:creationId xmlns:a16="http://schemas.microsoft.com/office/drawing/2014/main" id="{5E37D608-A881-4F1A-991C-6B01B3C791FC}"/>
            </a:ext>
          </a:extLst>
        </xdr:cNvPr>
        <xdr:cNvSpPr>
          <a:spLocks/>
        </xdr:cNvSpPr>
      </xdr:nvSpPr>
      <xdr:spPr bwMode="auto">
        <a:xfrm>
          <a:off x="1019175" y="38004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15</xdr:row>
      <xdr:rowOff>38100</xdr:rowOff>
    </xdr:from>
    <xdr:to>
      <xdr:col>1</xdr:col>
      <xdr:colOff>152400</xdr:colOff>
      <xdr:row>16</xdr:row>
      <xdr:rowOff>219075</xdr:rowOff>
    </xdr:to>
    <xdr:sp macro="" textlink="">
      <xdr:nvSpPr>
        <xdr:cNvPr id="162540" name="AutoShape 201">
          <a:extLst>
            <a:ext uri="{FF2B5EF4-FFF2-40B4-BE49-F238E27FC236}">
              <a16:creationId xmlns:a16="http://schemas.microsoft.com/office/drawing/2014/main" id="{FD69713E-6614-456A-83EA-126CCE10E5E8}"/>
            </a:ext>
          </a:extLst>
        </xdr:cNvPr>
        <xdr:cNvSpPr>
          <a:spLocks/>
        </xdr:cNvSpPr>
      </xdr:nvSpPr>
      <xdr:spPr bwMode="auto">
        <a:xfrm>
          <a:off x="1019175" y="49053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23</xdr:row>
      <xdr:rowOff>38100</xdr:rowOff>
    </xdr:from>
    <xdr:to>
      <xdr:col>1</xdr:col>
      <xdr:colOff>152400</xdr:colOff>
      <xdr:row>24</xdr:row>
      <xdr:rowOff>219075</xdr:rowOff>
    </xdr:to>
    <xdr:sp macro="" textlink="">
      <xdr:nvSpPr>
        <xdr:cNvPr id="162541" name="AutoShape 202">
          <a:extLst>
            <a:ext uri="{FF2B5EF4-FFF2-40B4-BE49-F238E27FC236}">
              <a16:creationId xmlns:a16="http://schemas.microsoft.com/office/drawing/2014/main" id="{28F0BFB4-411F-415C-91C3-25CD82ADC6BF}"/>
            </a:ext>
          </a:extLst>
        </xdr:cNvPr>
        <xdr:cNvSpPr>
          <a:spLocks/>
        </xdr:cNvSpPr>
      </xdr:nvSpPr>
      <xdr:spPr bwMode="auto">
        <a:xfrm>
          <a:off x="1019175" y="71151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13</xdr:row>
      <xdr:rowOff>38100</xdr:rowOff>
    </xdr:from>
    <xdr:to>
      <xdr:col>1</xdr:col>
      <xdr:colOff>152400</xdr:colOff>
      <xdr:row>14</xdr:row>
      <xdr:rowOff>219075</xdr:rowOff>
    </xdr:to>
    <xdr:sp macro="" textlink="">
      <xdr:nvSpPr>
        <xdr:cNvPr id="162542" name="AutoShape 203">
          <a:extLst>
            <a:ext uri="{FF2B5EF4-FFF2-40B4-BE49-F238E27FC236}">
              <a16:creationId xmlns:a16="http://schemas.microsoft.com/office/drawing/2014/main" id="{A7170C14-920C-4623-82AC-D099D64ACE80}"/>
            </a:ext>
          </a:extLst>
        </xdr:cNvPr>
        <xdr:cNvSpPr>
          <a:spLocks/>
        </xdr:cNvSpPr>
      </xdr:nvSpPr>
      <xdr:spPr bwMode="auto">
        <a:xfrm>
          <a:off x="1019175" y="43529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25</xdr:row>
      <xdr:rowOff>38100</xdr:rowOff>
    </xdr:from>
    <xdr:to>
      <xdr:col>1</xdr:col>
      <xdr:colOff>152400</xdr:colOff>
      <xdr:row>26</xdr:row>
      <xdr:rowOff>219075</xdr:rowOff>
    </xdr:to>
    <xdr:sp macro="" textlink="">
      <xdr:nvSpPr>
        <xdr:cNvPr id="162543" name="AutoShape 204">
          <a:extLst>
            <a:ext uri="{FF2B5EF4-FFF2-40B4-BE49-F238E27FC236}">
              <a16:creationId xmlns:a16="http://schemas.microsoft.com/office/drawing/2014/main" id="{D7948A95-9781-4890-88DB-07366D480B2E}"/>
            </a:ext>
          </a:extLst>
        </xdr:cNvPr>
        <xdr:cNvSpPr>
          <a:spLocks/>
        </xdr:cNvSpPr>
      </xdr:nvSpPr>
      <xdr:spPr bwMode="auto">
        <a:xfrm>
          <a:off x="1019175" y="76676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17</xdr:row>
      <xdr:rowOff>38100</xdr:rowOff>
    </xdr:from>
    <xdr:to>
      <xdr:col>1</xdr:col>
      <xdr:colOff>152400</xdr:colOff>
      <xdr:row>18</xdr:row>
      <xdr:rowOff>219075</xdr:rowOff>
    </xdr:to>
    <xdr:sp macro="" textlink="">
      <xdr:nvSpPr>
        <xdr:cNvPr id="162544" name="AutoShape 205">
          <a:extLst>
            <a:ext uri="{FF2B5EF4-FFF2-40B4-BE49-F238E27FC236}">
              <a16:creationId xmlns:a16="http://schemas.microsoft.com/office/drawing/2014/main" id="{785EF0BB-6A53-40FE-BF3A-4EF34AF59679}"/>
            </a:ext>
          </a:extLst>
        </xdr:cNvPr>
        <xdr:cNvSpPr>
          <a:spLocks/>
        </xdr:cNvSpPr>
      </xdr:nvSpPr>
      <xdr:spPr bwMode="auto">
        <a:xfrm>
          <a:off x="1019175" y="54578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27</xdr:row>
      <xdr:rowOff>38100</xdr:rowOff>
    </xdr:from>
    <xdr:to>
      <xdr:col>1</xdr:col>
      <xdr:colOff>152400</xdr:colOff>
      <xdr:row>28</xdr:row>
      <xdr:rowOff>219075</xdr:rowOff>
    </xdr:to>
    <xdr:sp macro="" textlink="">
      <xdr:nvSpPr>
        <xdr:cNvPr id="162545" name="AutoShape 206">
          <a:extLst>
            <a:ext uri="{FF2B5EF4-FFF2-40B4-BE49-F238E27FC236}">
              <a16:creationId xmlns:a16="http://schemas.microsoft.com/office/drawing/2014/main" id="{FD0FBE1A-6068-49ED-B5ED-F23ED713A472}"/>
            </a:ext>
          </a:extLst>
        </xdr:cNvPr>
        <xdr:cNvSpPr>
          <a:spLocks/>
        </xdr:cNvSpPr>
      </xdr:nvSpPr>
      <xdr:spPr bwMode="auto">
        <a:xfrm>
          <a:off x="1019175" y="82200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29</xdr:row>
      <xdr:rowOff>38100</xdr:rowOff>
    </xdr:from>
    <xdr:to>
      <xdr:col>1</xdr:col>
      <xdr:colOff>152400</xdr:colOff>
      <xdr:row>30</xdr:row>
      <xdr:rowOff>219075</xdr:rowOff>
    </xdr:to>
    <xdr:sp macro="" textlink="">
      <xdr:nvSpPr>
        <xdr:cNvPr id="162546" name="AutoShape 207">
          <a:extLst>
            <a:ext uri="{FF2B5EF4-FFF2-40B4-BE49-F238E27FC236}">
              <a16:creationId xmlns:a16="http://schemas.microsoft.com/office/drawing/2014/main" id="{144898E1-41C5-4173-AC63-3958D8B570A0}"/>
            </a:ext>
          </a:extLst>
        </xdr:cNvPr>
        <xdr:cNvSpPr>
          <a:spLocks/>
        </xdr:cNvSpPr>
      </xdr:nvSpPr>
      <xdr:spPr bwMode="auto">
        <a:xfrm>
          <a:off x="1019175" y="87725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31</xdr:row>
      <xdr:rowOff>38100</xdr:rowOff>
    </xdr:from>
    <xdr:to>
      <xdr:col>1</xdr:col>
      <xdr:colOff>152400</xdr:colOff>
      <xdr:row>32</xdr:row>
      <xdr:rowOff>219075</xdr:rowOff>
    </xdr:to>
    <xdr:sp macro="" textlink="">
      <xdr:nvSpPr>
        <xdr:cNvPr id="162547" name="AutoShape 209">
          <a:extLst>
            <a:ext uri="{FF2B5EF4-FFF2-40B4-BE49-F238E27FC236}">
              <a16:creationId xmlns:a16="http://schemas.microsoft.com/office/drawing/2014/main" id="{E0DBF962-0855-4F6F-875B-61EBC83E1BE5}"/>
            </a:ext>
          </a:extLst>
        </xdr:cNvPr>
        <xdr:cNvSpPr>
          <a:spLocks/>
        </xdr:cNvSpPr>
      </xdr:nvSpPr>
      <xdr:spPr bwMode="auto">
        <a:xfrm>
          <a:off x="1019175" y="93249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33</xdr:row>
      <xdr:rowOff>38100</xdr:rowOff>
    </xdr:from>
    <xdr:to>
      <xdr:col>1</xdr:col>
      <xdr:colOff>152400</xdr:colOff>
      <xdr:row>34</xdr:row>
      <xdr:rowOff>219075</xdr:rowOff>
    </xdr:to>
    <xdr:sp macro="" textlink="">
      <xdr:nvSpPr>
        <xdr:cNvPr id="162548" name="AutoShape 210">
          <a:extLst>
            <a:ext uri="{FF2B5EF4-FFF2-40B4-BE49-F238E27FC236}">
              <a16:creationId xmlns:a16="http://schemas.microsoft.com/office/drawing/2014/main" id="{D120C961-69A9-47BC-8202-EF9BF04684B5}"/>
            </a:ext>
          </a:extLst>
        </xdr:cNvPr>
        <xdr:cNvSpPr>
          <a:spLocks/>
        </xdr:cNvSpPr>
      </xdr:nvSpPr>
      <xdr:spPr bwMode="auto">
        <a:xfrm>
          <a:off x="1019175" y="98774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19</xdr:row>
      <xdr:rowOff>38100</xdr:rowOff>
    </xdr:from>
    <xdr:to>
      <xdr:col>1</xdr:col>
      <xdr:colOff>152400</xdr:colOff>
      <xdr:row>20</xdr:row>
      <xdr:rowOff>219075</xdr:rowOff>
    </xdr:to>
    <xdr:sp macro="" textlink="">
      <xdr:nvSpPr>
        <xdr:cNvPr id="162549" name="AutoShape 215">
          <a:extLst>
            <a:ext uri="{FF2B5EF4-FFF2-40B4-BE49-F238E27FC236}">
              <a16:creationId xmlns:a16="http://schemas.microsoft.com/office/drawing/2014/main" id="{42B7D6CC-95F3-479C-B0C7-11DE98DE0C1B}"/>
            </a:ext>
          </a:extLst>
        </xdr:cNvPr>
        <xdr:cNvSpPr>
          <a:spLocks/>
        </xdr:cNvSpPr>
      </xdr:nvSpPr>
      <xdr:spPr bwMode="auto">
        <a:xfrm>
          <a:off x="1019175" y="60102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21</xdr:row>
      <xdr:rowOff>38100</xdr:rowOff>
    </xdr:from>
    <xdr:to>
      <xdr:col>1</xdr:col>
      <xdr:colOff>152400</xdr:colOff>
      <xdr:row>22</xdr:row>
      <xdr:rowOff>219075</xdr:rowOff>
    </xdr:to>
    <xdr:sp macro="" textlink="">
      <xdr:nvSpPr>
        <xdr:cNvPr id="162550" name="AutoShape 216">
          <a:extLst>
            <a:ext uri="{FF2B5EF4-FFF2-40B4-BE49-F238E27FC236}">
              <a16:creationId xmlns:a16="http://schemas.microsoft.com/office/drawing/2014/main" id="{2CB37460-7CD9-4CD2-9B9A-83F934C21514}"/>
            </a:ext>
          </a:extLst>
        </xdr:cNvPr>
        <xdr:cNvSpPr>
          <a:spLocks/>
        </xdr:cNvSpPr>
      </xdr:nvSpPr>
      <xdr:spPr bwMode="auto">
        <a:xfrm>
          <a:off x="1019175" y="65627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39</xdr:row>
      <xdr:rowOff>38100</xdr:rowOff>
    </xdr:from>
    <xdr:to>
      <xdr:col>1</xdr:col>
      <xdr:colOff>152400</xdr:colOff>
      <xdr:row>40</xdr:row>
      <xdr:rowOff>219075</xdr:rowOff>
    </xdr:to>
    <xdr:sp macro="" textlink="">
      <xdr:nvSpPr>
        <xdr:cNvPr id="162551" name="AutoShape 220">
          <a:extLst>
            <a:ext uri="{FF2B5EF4-FFF2-40B4-BE49-F238E27FC236}">
              <a16:creationId xmlns:a16="http://schemas.microsoft.com/office/drawing/2014/main" id="{C66C8395-EB30-40E6-9A27-78ED002703A4}"/>
            </a:ext>
          </a:extLst>
        </xdr:cNvPr>
        <xdr:cNvSpPr>
          <a:spLocks/>
        </xdr:cNvSpPr>
      </xdr:nvSpPr>
      <xdr:spPr bwMode="auto">
        <a:xfrm>
          <a:off x="1019175" y="115347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41</xdr:row>
      <xdr:rowOff>38100</xdr:rowOff>
    </xdr:from>
    <xdr:to>
      <xdr:col>1</xdr:col>
      <xdr:colOff>152400</xdr:colOff>
      <xdr:row>42</xdr:row>
      <xdr:rowOff>219075</xdr:rowOff>
    </xdr:to>
    <xdr:sp macro="" textlink="">
      <xdr:nvSpPr>
        <xdr:cNvPr id="162552" name="AutoShape 221">
          <a:extLst>
            <a:ext uri="{FF2B5EF4-FFF2-40B4-BE49-F238E27FC236}">
              <a16:creationId xmlns:a16="http://schemas.microsoft.com/office/drawing/2014/main" id="{887FB6D9-4A61-4E96-BB3D-7BD4DD5AB86A}"/>
            </a:ext>
          </a:extLst>
        </xdr:cNvPr>
        <xdr:cNvSpPr>
          <a:spLocks/>
        </xdr:cNvSpPr>
      </xdr:nvSpPr>
      <xdr:spPr bwMode="auto">
        <a:xfrm>
          <a:off x="1019175" y="120872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43</xdr:row>
      <xdr:rowOff>38100</xdr:rowOff>
    </xdr:from>
    <xdr:to>
      <xdr:col>1</xdr:col>
      <xdr:colOff>152400</xdr:colOff>
      <xdr:row>44</xdr:row>
      <xdr:rowOff>219075</xdr:rowOff>
    </xdr:to>
    <xdr:sp macro="" textlink="">
      <xdr:nvSpPr>
        <xdr:cNvPr id="162553" name="AutoShape 222">
          <a:extLst>
            <a:ext uri="{FF2B5EF4-FFF2-40B4-BE49-F238E27FC236}">
              <a16:creationId xmlns:a16="http://schemas.microsoft.com/office/drawing/2014/main" id="{913904DE-EB8E-455C-A026-077ACD3A2346}"/>
            </a:ext>
          </a:extLst>
        </xdr:cNvPr>
        <xdr:cNvSpPr>
          <a:spLocks/>
        </xdr:cNvSpPr>
      </xdr:nvSpPr>
      <xdr:spPr bwMode="auto">
        <a:xfrm>
          <a:off x="1019175" y="126396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45</xdr:row>
      <xdr:rowOff>38100</xdr:rowOff>
    </xdr:from>
    <xdr:to>
      <xdr:col>1</xdr:col>
      <xdr:colOff>152400</xdr:colOff>
      <xdr:row>46</xdr:row>
      <xdr:rowOff>219075</xdr:rowOff>
    </xdr:to>
    <xdr:sp macro="" textlink="">
      <xdr:nvSpPr>
        <xdr:cNvPr id="162554" name="AutoShape 223">
          <a:extLst>
            <a:ext uri="{FF2B5EF4-FFF2-40B4-BE49-F238E27FC236}">
              <a16:creationId xmlns:a16="http://schemas.microsoft.com/office/drawing/2014/main" id="{05A6C05E-31B4-4253-8B53-689090ECBDBF}"/>
            </a:ext>
          </a:extLst>
        </xdr:cNvPr>
        <xdr:cNvSpPr>
          <a:spLocks/>
        </xdr:cNvSpPr>
      </xdr:nvSpPr>
      <xdr:spPr bwMode="auto">
        <a:xfrm>
          <a:off x="1019175" y="131921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47</xdr:row>
      <xdr:rowOff>38100</xdr:rowOff>
    </xdr:from>
    <xdr:to>
      <xdr:col>1</xdr:col>
      <xdr:colOff>152400</xdr:colOff>
      <xdr:row>48</xdr:row>
      <xdr:rowOff>219075</xdr:rowOff>
    </xdr:to>
    <xdr:sp macro="" textlink="">
      <xdr:nvSpPr>
        <xdr:cNvPr id="162555" name="AutoShape 224">
          <a:extLst>
            <a:ext uri="{FF2B5EF4-FFF2-40B4-BE49-F238E27FC236}">
              <a16:creationId xmlns:a16="http://schemas.microsoft.com/office/drawing/2014/main" id="{ACDE4DFA-92AB-4708-96C4-5D61A314D9C5}"/>
            </a:ext>
          </a:extLst>
        </xdr:cNvPr>
        <xdr:cNvSpPr>
          <a:spLocks/>
        </xdr:cNvSpPr>
      </xdr:nvSpPr>
      <xdr:spPr bwMode="auto">
        <a:xfrm>
          <a:off x="1019175" y="137445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49</xdr:row>
      <xdr:rowOff>38100</xdr:rowOff>
    </xdr:from>
    <xdr:to>
      <xdr:col>1</xdr:col>
      <xdr:colOff>152400</xdr:colOff>
      <xdr:row>50</xdr:row>
      <xdr:rowOff>219075</xdr:rowOff>
    </xdr:to>
    <xdr:sp macro="" textlink="">
      <xdr:nvSpPr>
        <xdr:cNvPr id="162556" name="AutoShape 225">
          <a:extLst>
            <a:ext uri="{FF2B5EF4-FFF2-40B4-BE49-F238E27FC236}">
              <a16:creationId xmlns:a16="http://schemas.microsoft.com/office/drawing/2014/main" id="{C545293D-4CA3-46AE-9463-B15D9C66249D}"/>
            </a:ext>
          </a:extLst>
        </xdr:cNvPr>
        <xdr:cNvSpPr>
          <a:spLocks/>
        </xdr:cNvSpPr>
      </xdr:nvSpPr>
      <xdr:spPr bwMode="auto">
        <a:xfrm>
          <a:off x="1019175" y="14297025"/>
          <a:ext cx="47625" cy="457200"/>
        </a:xfrm>
        <a:prstGeom prst="leftBrace">
          <a:avLst>
            <a:gd name="adj1" fmla="val 22626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51</xdr:row>
      <xdr:rowOff>38100</xdr:rowOff>
    </xdr:from>
    <xdr:to>
      <xdr:col>1</xdr:col>
      <xdr:colOff>152400</xdr:colOff>
      <xdr:row>52</xdr:row>
      <xdr:rowOff>219075</xdr:rowOff>
    </xdr:to>
    <xdr:sp macro="" textlink="">
      <xdr:nvSpPr>
        <xdr:cNvPr id="162557" name="AutoShape 226">
          <a:extLst>
            <a:ext uri="{FF2B5EF4-FFF2-40B4-BE49-F238E27FC236}">
              <a16:creationId xmlns:a16="http://schemas.microsoft.com/office/drawing/2014/main" id="{F7F04F48-0BA4-4E35-B9A1-B06204359AB1}"/>
            </a:ext>
          </a:extLst>
        </xdr:cNvPr>
        <xdr:cNvSpPr>
          <a:spLocks/>
        </xdr:cNvSpPr>
      </xdr:nvSpPr>
      <xdr:spPr bwMode="auto">
        <a:xfrm>
          <a:off x="1019175" y="14849475"/>
          <a:ext cx="47625" cy="457200"/>
        </a:xfrm>
        <a:prstGeom prst="leftBrace">
          <a:avLst>
            <a:gd name="adj1" fmla="val 22626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55</xdr:row>
      <xdr:rowOff>38100</xdr:rowOff>
    </xdr:from>
    <xdr:to>
      <xdr:col>1</xdr:col>
      <xdr:colOff>152400</xdr:colOff>
      <xdr:row>56</xdr:row>
      <xdr:rowOff>219075</xdr:rowOff>
    </xdr:to>
    <xdr:sp macro="" textlink="">
      <xdr:nvSpPr>
        <xdr:cNvPr id="162558" name="AutoShape 227">
          <a:extLst>
            <a:ext uri="{FF2B5EF4-FFF2-40B4-BE49-F238E27FC236}">
              <a16:creationId xmlns:a16="http://schemas.microsoft.com/office/drawing/2014/main" id="{8DE52F03-DBBB-4048-BFE9-05552568B06E}"/>
            </a:ext>
          </a:extLst>
        </xdr:cNvPr>
        <xdr:cNvSpPr>
          <a:spLocks/>
        </xdr:cNvSpPr>
      </xdr:nvSpPr>
      <xdr:spPr bwMode="auto">
        <a:xfrm>
          <a:off x="1019175" y="15954375"/>
          <a:ext cx="47625" cy="457200"/>
        </a:xfrm>
        <a:prstGeom prst="leftBrace">
          <a:avLst>
            <a:gd name="adj1" fmla="val 22626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53</xdr:row>
      <xdr:rowOff>38100</xdr:rowOff>
    </xdr:from>
    <xdr:to>
      <xdr:col>1</xdr:col>
      <xdr:colOff>152400</xdr:colOff>
      <xdr:row>54</xdr:row>
      <xdr:rowOff>219075</xdr:rowOff>
    </xdr:to>
    <xdr:sp macro="" textlink="">
      <xdr:nvSpPr>
        <xdr:cNvPr id="162559" name="AutoShape 228">
          <a:extLst>
            <a:ext uri="{FF2B5EF4-FFF2-40B4-BE49-F238E27FC236}">
              <a16:creationId xmlns:a16="http://schemas.microsoft.com/office/drawing/2014/main" id="{0AB69AA1-84F8-4828-85BF-2289C4C8974B}"/>
            </a:ext>
          </a:extLst>
        </xdr:cNvPr>
        <xdr:cNvSpPr>
          <a:spLocks/>
        </xdr:cNvSpPr>
      </xdr:nvSpPr>
      <xdr:spPr bwMode="auto">
        <a:xfrm>
          <a:off x="1019175" y="15401925"/>
          <a:ext cx="47625" cy="457200"/>
        </a:xfrm>
        <a:prstGeom prst="leftBrace">
          <a:avLst>
            <a:gd name="adj1" fmla="val 22626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35</xdr:row>
      <xdr:rowOff>38100</xdr:rowOff>
    </xdr:from>
    <xdr:to>
      <xdr:col>1</xdr:col>
      <xdr:colOff>152400</xdr:colOff>
      <xdr:row>36</xdr:row>
      <xdr:rowOff>219075</xdr:rowOff>
    </xdr:to>
    <xdr:sp macro="" textlink="">
      <xdr:nvSpPr>
        <xdr:cNvPr id="162560" name="AutoShape 229">
          <a:extLst>
            <a:ext uri="{FF2B5EF4-FFF2-40B4-BE49-F238E27FC236}">
              <a16:creationId xmlns:a16="http://schemas.microsoft.com/office/drawing/2014/main" id="{4E7D8E04-1E57-45DC-8F06-79EBB25E4BE7}"/>
            </a:ext>
          </a:extLst>
        </xdr:cNvPr>
        <xdr:cNvSpPr>
          <a:spLocks/>
        </xdr:cNvSpPr>
      </xdr:nvSpPr>
      <xdr:spPr bwMode="auto">
        <a:xfrm>
          <a:off x="1019175" y="1042987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76200</xdr:colOff>
      <xdr:row>37</xdr:row>
      <xdr:rowOff>38100</xdr:rowOff>
    </xdr:from>
    <xdr:to>
      <xdr:col>1</xdr:col>
      <xdr:colOff>152400</xdr:colOff>
      <xdr:row>38</xdr:row>
      <xdr:rowOff>219075</xdr:rowOff>
    </xdr:to>
    <xdr:sp macro="" textlink="">
      <xdr:nvSpPr>
        <xdr:cNvPr id="162561" name="AutoShape 230">
          <a:extLst>
            <a:ext uri="{FF2B5EF4-FFF2-40B4-BE49-F238E27FC236}">
              <a16:creationId xmlns:a16="http://schemas.microsoft.com/office/drawing/2014/main" id="{DE557A5D-ADFC-42AB-9A97-51BE61D179BB}"/>
            </a:ext>
          </a:extLst>
        </xdr:cNvPr>
        <xdr:cNvSpPr>
          <a:spLocks/>
        </xdr:cNvSpPr>
      </xdr:nvSpPr>
      <xdr:spPr bwMode="auto">
        <a:xfrm>
          <a:off x="1019175" y="10982325"/>
          <a:ext cx="47625" cy="457200"/>
        </a:xfrm>
        <a:prstGeom prst="leftBrace">
          <a:avLst>
            <a:gd name="adj1" fmla="val 13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72029" name="AutoShape 200">
          <a:extLst>
            <a:ext uri="{FF2B5EF4-FFF2-40B4-BE49-F238E27FC236}">
              <a16:creationId xmlns:a16="http://schemas.microsoft.com/office/drawing/2014/main" id="{5672B871-1354-4957-A206-4D6129117FEB}"/>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72030" name="AutoShape 201">
          <a:extLst>
            <a:ext uri="{FF2B5EF4-FFF2-40B4-BE49-F238E27FC236}">
              <a16:creationId xmlns:a16="http://schemas.microsoft.com/office/drawing/2014/main" id="{4089BF04-9C10-4B52-BD40-B8B56419A251}"/>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72031" name="AutoShape 202">
          <a:extLst>
            <a:ext uri="{FF2B5EF4-FFF2-40B4-BE49-F238E27FC236}">
              <a16:creationId xmlns:a16="http://schemas.microsoft.com/office/drawing/2014/main" id="{B1D04FDC-113B-4106-B0BD-625527079180}"/>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83296" name="AutoShape 203">
          <a:extLst>
            <a:ext uri="{FF2B5EF4-FFF2-40B4-BE49-F238E27FC236}">
              <a16:creationId xmlns:a16="http://schemas.microsoft.com/office/drawing/2014/main" id="{C3E2BD19-E52B-4019-BCED-A0F64ED419F1}"/>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83297" name="AutoShape 204">
          <a:extLst>
            <a:ext uri="{FF2B5EF4-FFF2-40B4-BE49-F238E27FC236}">
              <a16:creationId xmlns:a16="http://schemas.microsoft.com/office/drawing/2014/main" id="{7965FB7A-43B5-4B81-9449-0E5840DEB677}"/>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83298" name="AutoShape 205">
          <a:extLst>
            <a:ext uri="{FF2B5EF4-FFF2-40B4-BE49-F238E27FC236}">
              <a16:creationId xmlns:a16="http://schemas.microsoft.com/office/drawing/2014/main" id="{E4540130-D280-4DF9-9707-A5729ACEF090}"/>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83299" name="AutoShape 206">
          <a:extLst>
            <a:ext uri="{FF2B5EF4-FFF2-40B4-BE49-F238E27FC236}">
              <a16:creationId xmlns:a16="http://schemas.microsoft.com/office/drawing/2014/main" id="{18E5B946-43AD-483B-950B-6EC01E473C93}"/>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83300" name="AutoShape 207">
          <a:extLst>
            <a:ext uri="{FF2B5EF4-FFF2-40B4-BE49-F238E27FC236}">
              <a16:creationId xmlns:a16="http://schemas.microsoft.com/office/drawing/2014/main" id="{4EEC54DF-145E-4092-B23A-20DEF9E4D068}"/>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83301" name="AutoShape 209">
          <a:extLst>
            <a:ext uri="{FF2B5EF4-FFF2-40B4-BE49-F238E27FC236}">
              <a16:creationId xmlns:a16="http://schemas.microsoft.com/office/drawing/2014/main" id="{A4EE8BB1-3D29-4A2D-AC4C-4525BA07159B}"/>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83302" name="AutoShape 210">
          <a:extLst>
            <a:ext uri="{FF2B5EF4-FFF2-40B4-BE49-F238E27FC236}">
              <a16:creationId xmlns:a16="http://schemas.microsoft.com/office/drawing/2014/main" id="{BBF81248-BC3D-4714-9C58-67CA40F7EB79}"/>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83303" name="AutoShape 215">
          <a:extLst>
            <a:ext uri="{FF2B5EF4-FFF2-40B4-BE49-F238E27FC236}">
              <a16:creationId xmlns:a16="http://schemas.microsoft.com/office/drawing/2014/main" id="{3324E362-8E02-47BA-B77B-DA5EFC1C4A54}"/>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83304" name="AutoShape 216">
          <a:extLst>
            <a:ext uri="{FF2B5EF4-FFF2-40B4-BE49-F238E27FC236}">
              <a16:creationId xmlns:a16="http://schemas.microsoft.com/office/drawing/2014/main" id="{66C511CC-C606-44EE-9123-C6335802361B}"/>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83305" name="AutoShape 220">
          <a:extLst>
            <a:ext uri="{FF2B5EF4-FFF2-40B4-BE49-F238E27FC236}">
              <a16:creationId xmlns:a16="http://schemas.microsoft.com/office/drawing/2014/main" id="{B381D8BF-2A8D-4A61-83D4-AFA65D5520DA}"/>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83306" name="AutoShape 221">
          <a:extLst>
            <a:ext uri="{FF2B5EF4-FFF2-40B4-BE49-F238E27FC236}">
              <a16:creationId xmlns:a16="http://schemas.microsoft.com/office/drawing/2014/main" id="{26FEDA90-AB79-4DA2-BDF1-0428027F7316}"/>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83307" name="AutoShape 222">
          <a:extLst>
            <a:ext uri="{FF2B5EF4-FFF2-40B4-BE49-F238E27FC236}">
              <a16:creationId xmlns:a16="http://schemas.microsoft.com/office/drawing/2014/main" id="{9167C309-8E82-4A73-8267-FAB83E2E7F69}"/>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83308" name="AutoShape 223">
          <a:extLst>
            <a:ext uri="{FF2B5EF4-FFF2-40B4-BE49-F238E27FC236}">
              <a16:creationId xmlns:a16="http://schemas.microsoft.com/office/drawing/2014/main" id="{D27C4722-76F0-4D2B-975F-CCBB26A0DE01}"/>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83309" name="AutoShape 224">
          <a:extLst>
            <a:ext uri="{FF2B5EF4-FFF2-40B4-BE49-F238E27FC236}">
              <a16:creationId xmlns:a16="http://schemas.microsoft.com/office/drawing/2014/main" id="{F667EFF5-3F95-427B-AE10-615F07BB79C4}"/>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83310" name="AutoShape 225">
          <a:extLst>
            <a:ext uri="{FF2B5EF4-FFF2-40B4-BE49-F238E27FC236}">
              <a16:creationId xmlns:a16="http://schemas.microsoft.com/office/drawing/2014/main" id="{D87212E0-C22E-470A-8018-F0593AE4E149}"/>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83311" name="AutoShape 226">
          <a:extLst>
            <a:ext uri="{FF2B5EF4-FFF2-40B4-BE49-F238E27FC236}">
              <a16:creationId xmlns:a16="http://schemas.microsoft.com/office/drawing/2014/main" id="{A6816F85-77FF-4413-A316-E9E86DE56B05}"/>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83312" name="AutoShape 227">
          <a:extLst>
            <a:ext uri="{FF2B5EF4-FFF2-40B4-BE49-F238E27FC236}">
              <a16:creationId xmlns:a16="http://schemas.microsoft.com/office/drawing/2014/main" id="{D8C2DF49-1FB1-4EE0-AF05-32F1F48A8490}"/>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83313" name="AutoShape 228">
          <a:extLst>
            <a:ext uri="{FF2B5EF4-FFF2-40B4-BE49-F238E27FC236}">
              <a16:creationId xmlns:a16="http://schemas.microsoft.com/office/drawing/2014/main" id="{B3F3F48E-FD38-4B5F-958F-13B3CDACDBD2}"/>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83314" name="AutoShape 229">
          <a:extLst>
            <a:ext uri="{FF2B5EF4-FFF2-40B4-BE49-F238E27FC236}">
              <a16:creationId xmlns:a16="http://schemas.microsoft.com/office/drawing/2014/main" id="{52422F80-92CF-4095-8337-5FA87F2FFB8C}"/>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83315" name="AutoShape 230">
          <a:extLst>
            <a:ext uri="{FF2B5EF4-FFF2-40B4-BE49-F238E27FC236}">
              <a16:creationId xmlns:a16="http://schemas.microsoft.com/office/drawing/2014/main" id="{60B09CC6-AF24-4FC4-AAA2-944732A40EAB}"/>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2</xdr:col>
      <xdr:colOff>4763</xdr:colOff>
      <xdr:row>12</xdr:row>
      <xdr:rowOff>209550</xdr:rowOff>
    </xdr:to>
    <xdr:sp macro="" textlink="">
      <xdr:nvSpPr>
        <xdr:cNvPr id="163574" name="AutoShape 200">
          <a:extLst>
            <a:ext uri="{FF2B5EF4-FFF2-40B4-BE49-F238E27FC236}">
              <a16:creationId xmlns:a16="http://schemas.microsoft.com/office/drawing/2014/main" id="{B91F4393-DDF7-4147-9431-3CA0045D797F}"/>
            </a:ext>
          </a:extLst>
        </xdr:cNvPr>
        <xdr:cNvSpPr>
          <a:spLocks/>
        </xdr:cNvSpPr>
      </xdr:nvSpPr>
      <xdr:spPr bwMode="auto">
        <a:xfrm>
          <a:off x="1026319" y="3800475"/>
          <a:ext cx="38100" cy="445294"/>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63575" name="AutoShape 201">
          <a:extLst>
            <a:ext uri="{FF2B5EF4-FFF2-40B4-BE49-F238E27FC236}">
              <a16:creationId xmlns:a16="http://schemas.microsoft.com/office/drawing/2014/main" id="{4224A0C0-860A-4FAC-8D3C-2E39C1D84D18}"/>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63576" name="AutoShape 202">
          <a:extLst>
            <a:ext uri="{FF2B5EF4-FFF2-40B4-BE49-F238E27FC236}">
              <a16:creationId xmlns:a16="http://schemas.microsoft.com/office/drawing/2014/main" id="{AE0F7360-689E-4185-AFD0-DD1BE92D65C2}"/>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63577" name="AutoShape 203">
          <a:extLst>
            <a:ext uri="{FF2B5EF4-FFF2-40B4-BE49-F238E27FC236}">
              <a16:creationId xmlns:a16="http://schemas.microsoft.com/office/drawing/2014/main" id="{A9A4E23B-7E89-4A39-A3A4-BA331B07B007}"/>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63578" name="AutoShape 204">
          <a:extLst>
            <a:ext uri="{FF2B5EF4-FFF2-40B4-BE49-F238E27FC236}">
              <a16:creationId xmlns:a16="http://schemas.microsoft.com/office/drawing/2014/main" id="{DB250B14-7D91-439E-8A2C-CB33F21A901D}"/>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63579" name="AutoShape 205">
          <a:extLst>
            <a:ext uri="{FF2B5EF4-FFF2-40B4-BE49-F238E27FC236}">
              <a16:creationId xmlns:a16="http://schemas.microsoft.com/office/drawing/2014/main" id="{CF73081C-43CF-433D-BCC4-0F77E7EC9788}"/>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63580" name="AutoShape 206">
          <a:extLst>
            <a:ext uri="{FF2B5EF4-FFF2-40B4-BE49-F238E27FC236}">
              <a16:creationId xmlns:a16="http://schemas.microsoft.com/office/drawing/2014/main" id="{FC30A2F9-C726-4806-A827-448CDCFA34E3}"/>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63581" name="AutoShape 207">
          <a:extLst>
            <a:ext uri="{FF2B5EF4-FFF2-40B4-BE49-F238E27FC236}">
              <a16:creationId xmlns:a16="http://schemas.microsoft.com/office/drawing/2014/main" id="{A2340641-3127-4712-AD03-56CFA227AB38}"/>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63582" name="AutoShape 209">
          <a:extLst>
            <a:ext uri="{FF2B5EF4-FFF2-40B4-BE49-F238E27FC236}">
              <a16:creationId xmlns:a16="http://schemas.microsoft.com/office/drawing/2014/main" id="{F08EB1B3-8C3D-4849-A485-96AA21CC2D92}"/>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63583" name="AutoShape 210">
          <a:extLst>
            <a:ext uri="{FF2B5EF4-FFF2-40B4-BE49-F238E27FC236}">
              <a16:creationId xmlns:a16="http://schemas.microsoft.com/office/drawing/2014/main" id="{102B1EEA-E51B-4993-BBD9-ED00558F0967}"/>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63584" name="AutoShape 215">
          <a:extLst>
            <a:ext uri="{FF2B5EF4-FFF2-40B4-BE49-F238E27FC236}">
              <a16:creationId xmlns:a16="http://schemas.microsoft.com/office/drawing/2014/main" id="{F82C906F-0D66-46D4-BDF6-907D5E220B1F}"/>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63585" name="AutoShape 216">
          <a:extLst>
            <a:ext uri="{FF2B5EF4-FFF2-40B4-BE49-F238E27FC236}">
              <a16:creationId xmlns:a16="http://schemas.microsoft.com/office/drawing/2014/main" id="{4F7B37B5-96E2-4EB2-B5CD-2C51F32B7BA4}"/>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63586" name="AutoShape 220">
          <a:extLst>
            <a:ext uri="{FF2B5EF4-FFF2-40B4-BE49-F238E27FC236}">
              <a16:creationId xmlns:a16="http://schemas.microsoft.com/office/drawing/2014/main" id="{4A2AE911-2C08-42D8-9040-E9BD380866E4}"/>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63587" name="AutoShape 221">
          <a:extLst>
            <a:ext uri="{FF2B5EF4-FFF2-40B4-BE49-F238E27FC236}">
              <a16:creationId xmlns:a16="http://schemas.microsoft.com/office/drawing/2014/main" id="{F8148ACE-70FA-4F91-96C2-80C3044A9FF1}"/>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63588" name="AutoShape 222">
          <a:extLst>
            <a:ext uri="{FF2B5EF4-FFF2-40B4-BE49-F238E27FC236}">
              <a16:creationId xmlns:a16="http://schemas.microsoft.com/office/drawing/2014/main" id="{C0DA3EA5-501E-48FD-8A37-F1D6810A4A4D}"/>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63589" name="AutoShape 223">
          <a:extLst>
            <a:ext uri="{FF2B5EF4-FFF2-40B4-BE49-F238E27FC236}">
              <a16:creationId xmlns:a16="http://schemas.microsoft.com/office/drawing/2014/main" id="{D011A770-6FA6-4733-8DCA-45EB5CC13C21}"/>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63590" name="AutoShape 224">
          <a:extLst>
            <a:ext uri="{FF2B5EF4-FFF2-40B4-BE49-F238E27FC236}">
              <a16:creationId xmlns:a16="http://schemas.microsoft.com/office/drawing/2014/main" id="{7F05BAE0-752F-4DAD-9E9B-CB1626B40763}"/>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63591" name="AutoShape 225">
          <a:extLst>
            <a:ext uri="{FF2B5EF4-FFF2-40B4-BE49-F238E27FC236}">
              <a16:creationId xmlns:a16="http://schemas.microsoft.com/office/drawing/2014/main" id="{41B82F9F-271B-49C8-956F-46CA8E1DFB10}"/>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63592" name="AutoShape 226">
          <a:extLst>
            <a:ext uri="{FF2B5EF4-FFF2-40B4-BE49-F238E27FC236}">
              <a16:creationId xmlns:a16="http://schemas.microsoft.com/office/drawing/2014/main" id="{CDC6C5E0-F2FB-4C88-80E4-0EE5E2D938CD}"/>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63593" name="AutoShape 227">
          <a:extLst>
            <a:ext uri="{FF2B5EF4-FFF2-40B4-BE49-F238E27FC236}">
              <a16:creationId xmlns:a16="http://schemas.microsoft.com/office/drawing/2014/main" id="{1DB3D1F8-D37C-45CD-94D3-272B78BC9F42}"/>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63594" name="AutoShape 228">
          <a:extLst>
            <a:ext uri="{FF2B5EF4-FFF2-40B4-BE49-F238E27FC236}">
              <a16:creationId xmlns:a16="http://schemas.microsoft.com/office/drawing/2014/main" id="{5094B975-FCEF-4A4C-B27E-B60C224C9739}"/>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63595" name="AutoShape 229">
          <a:extLst>
            <a:ext uri="{FF2B5EF4-FFF2-40B4-BE49-F238E27FC236}">
              <a16:creationId xmlns:a16="http://schemas.microsoft.com/office/drawing/2014/main" id="{635C97BC-F734-4AF1-8255-5E64805A3F8F}"/>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63596" name="AutoShape 230">
          <a:extLst>
            <a:ext uri="{FF2B5EF4-FFF2-40B4-BE49-F238E27FC236}">
              <a16:creationId xmlns:a16="http://schemas.microsoft.com/office/drawing/2014/main" id="{EFE9F814-702E-47BE-8AE2-1F23572F531E}"/>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73549" name="AutoShape 200">
          <a:extLst>
            <a:ext uri="{FF2B5EF4-FFF2-40B4-BE49-F238E27FC236}">
              <a16:creationId xmlns:a16="http://schemas.microsoft.com/office/drawing/2014/main" id="{B9DC5CAB-F823-49B3-8073-7042E05C1917}"/>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73550" name="AutoShape 201">
          <a:extLst>
            <a:ext uri="{FF2B5EF4-FFF2-40B4-BE49-F238E27FC236}">
              <a16:creationId xmlns:a16="http://schemas.microsoft.com/office/drawing/2014/main" id="{6B610804-3C83-439F-B14A-94693AEC483C}"/>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73551" name="AutoShape 202">
          <a:extLst>
            <a:ext uri="{FF2B5EF4-FFF2-40B4-BE49-F238E27FC236}">
              <a16:creationId xmlns:a16="http://schemas.microsoft.com/office/drawing/2014/main" id="{D3AA493F-4B8D-475B-814F-DC3BB4F7501D}"/>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73552" name="AutoShape 203">
          <a:extLst>
            <a:ext uri="{FF2B5EF4-FFF2-40B4-BE49-F238E27FC236}">
              <a16:creationId xmlns:a16="http://schemas.microsoft.com/office/drawing/2014/main" id="{19CE8396-01B7-4A7A-8B0E-72D4094DD093}"/>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73553" name="AutoShape 204">
          <a:extLst>
            <a:ext uri="{FF2B5EF4-FFF2-40B4-BE49-F238E27FC236}">
              <a16:creationId xmlns:a16="http://schemas.microsoft.com/office/drawing/2014/main" id="{D69572F2-EDE9-4D8C-94F1-1D9B5C7EFB77}"/>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73554" name="AutoShape 205">
          <a:extLst>
            <a:ext uri="{FF2B5EF4-FFF2-40B4-BE49-F238E27FC236}">
              <a16:creationId xmlns:a16="http://schemas.microsoft.com/office/drawing/2014/main" id="{9A0D35E0-A386-49B3-BAD7-3CFF545B6E44}"/>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73555" name="AutoShape 206">
          <a:extLst>
            <a:ext uri="{FF2B5EF4-FFF2-40B4-BE49-F238E27FC236}">
              <a16:creationId xmlns:a16="http://schemas.microsoft.com/office/drawing/2014/main" id="{85E5D741-0D41-429F-A95A-56B5465F104B}"/>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73556" name="AutoShape 207">
          <a:extLst>
            <a:ext uri="{FF2B5EF4-FFF2-40B4-BE49-F238E27FC236}">
              <a16:creationId xmlns:a16="http://schemas.microsoft.com/office/drawing/2014/main" id="{84E4D48A-CFE9-4760-AC0F-D1DBBF25FCFE}"/>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73557" name="AutoShape 209">
          <a:extLst>
            <a:ext uri="{FF2B5EF4-FFF2-40B4-BE49-F238E27FC236}">
              <a16:creationId xmlns:a16="http://schemas.microsoft.com/office/drawing/2014/main" id="{BF6B091C-8E42-41B2-AEA7-CFB4E659FFED}"/>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73558" name="AutoShape 210">
          <a:extLst>
            <a:ext uri="{FF2B5EF4-FFF2-40B4-BE49-F238E27FC236}">
              <a16:creationId xmlns:a16="http://schemas.microsoft.com/office/drawing/2014/main" id="{C76B00E0-E212-434C-AE12-C60C75A48343}"/>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73559" name="AutoShape 215">
          <a:extLst>
            <a:ext uri="{FF2B5EF4-FFF2-40B4-BE49-F238E27FC236}">
              <a16:creationId xmlns:a16="http://schemas.microsoft.com/office/drawing/2014/main" id="{BC43FCEA-33EE-416A-89A7-DD21FD1795FD}"/>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73560" name="AutoShape 216">
          <a:extLst>
            <a:ext uri="{FF2B5EF4-FFF2-40B4-BE49-F238E27FC236}">
              <a16:creationId xmlns:a16="http://schemas.microsoft.com/office/drawing/2014/main" id="{B2226419-929F-45D2-A137-E0E4D4BF9475}"/>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73561" name="AutoShape 220">
          <a:extLst>
            <a:ext uri="{FF2B5EF4-FFF2-40B4-BE49-F238E27FC236}">
              <a16:creationId xmlns:a16="http://schemas.microsoft.com/office/drawing/2014/main" id="{87C819B9-F0BE-4D25-8F4F-8ADB2B5390E7}"/>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73562" name="AutoShape 221">
          <a:extLst>
            <a:ext uri="{FF2B5EF4-FFF2-40B4-BE49-F238E27FC236}">
              <a16:creationId xmlns:a16="http://schemas.microsoft.com/office/drawing/2014/main" id="{B80A3A28-9FD7-4BF2-BE67-1ECFCDE0F40B}"/>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73563" name="AutoShape 222">
          <a:extLst>
            <a:ext uri="{FF2B5EF4-FFF2-40B4-BE49-F238E27FC236}">
              <a16:creationId xmlns:a16="http://schemas.microsoft.com/office/drawing/2014/main" id="{CB2B4939-2E07-469F-96ED-A5023F06086D}"/>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73564" name="AutoShape 223">
          <a:extLst>
            <a:ext uri="{FF2B5EF4-FFF2-40B4-BE49-F238E27FC236}">
              <a16:creationId xmlns:a16="http://schemas.microsoft.com/office/drawing/2014/main" id="{CC4FDE5B-B967-4E24-8A2E-CC9555B25FF5}"/>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73565" name="AutoShape 224">
          <a:extLst>
            <a:ext uri="{FF2B5EF4-FFF2-40B4-BE49-F238E27FC236}">
              <a16:creationId xmlns:a16="http://schemas.microsoft.com/office/drawing/2014/main" id="{C3852520-3307-4779-94E4-554498B5C9C3}"/>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73566" name="AutoShape 225">
          <a:extLst>
            <a:ext uri="{FF2B5EF4-FFF2-40B4-BE49-F238E27FC236}">
              <a16:creationId xmlns:a16="http://schemas.microsoft.com/office/drawing/2014/main" id="{DB73A5BE-C26C-4813-9153-93B3690B3E8C}"/>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73567" name="AutoShape 226">
          <a:extLst>
            <a:ext uri="{FF2B5EF4-FFF2-40B4-BE49-F238E27FC236}">
              <a16:creationId xmlns:a16="http://schemas.microsoft.com/office/drawing/2014/main" id="{310FB746-008A-434A-800E-1F0190914F6C}"/>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73568" name="AutoShape 227">
          <a:extLst>
            <a:ext uri="{FF2B5EF4-FFF2-40B4-BE49-F238E27FC236}">
              <a16:creationId xmlns:a16="http://schemas.microsoft.com/office/drawing/2014/main" id="{0DB91149-89E3-49A2-AAAB-4172C431F9A2}"/>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73569" name="AutoShape 228">
          <a:extLst>
            <a:ext uri="{FF2B5EF4-FFF2-40B4-BE49-F238E27FC236}">
              <a16:creationId xmlns:a16="http://schemas.microsoft.com/office/drawing/2014/main" id="{B53FEE15-9F41-419D-BEA4-B29BB5C36A36}"/>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73570" name="AutoShape 229">
          <a:extLst>
            <a:ext uri="{FF2B5EF4-FFF2-40B4-BE49-F238E27FC236}">
              <a16:creationId xmlns:a16="http://schemas.microsoft.com/office/drawing/2014/main" id="{9D8BD5F5-1935-48F6-A678-95A778CA18E1}"/>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73571" name="AutoShape 230">
          <a:extLst>
            <a:ext uri="{FF2B5EF4-FFF2-40B4-BE49-F238E27FC236}">
              <a16:creationId xmlns:a16="http://schemas.microsoft.com/office/drawing/2014/main" id="{31768C43-AEE9-4A24-A503-8B3115D47030}"/>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78152" name="AutoShape 200">
          <a:extLst>
            <a:ext uri="{FF2B5EF4-FFF2-40B4-BE49-F238E27FC236}">
              <a16:creationId xmlns:a16="http://schemas.microsoft.com/office/drawing/2014/main" id="{7B738036-D845-47D4-81BC-CFF2C424D29D}"/>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2</xdr:col>
      <xdr:colOff>4763</xdr:colOff>
      <xdr:row>16</xdr:row>
      <xdr:rowOff>209550</xdr:rowOff>
    </xdr:to>
    <xdr:sp macro="" textlink="">
      <xdr:nvSpPr>
        <xdr:cNvPr id="178153" name="AutoShape 201">
          <a:extLst>
            <a:ext uri="{FF2B5EF4-FFF2-40B4-BE49-F238E27FC236}">
              <a16:creationId xmlns:a16="http://schemas.microsoft.com/office/drawing/2014/main" id="{7099DE80-114D-44CC-934E-FD35E6589F6F}"/>
            </a:ext>
          </a:extLst>
        </xdr:cNvPr>
        <xdr:cNvSpPr>
          <a:spLocks/>
        </xdr:cNvSpPr>
      </xdr:nvSpPr>
      <xdr:spPr bwMode="auto">
        <a:xfrm>
          <a:off x="1026319" y="4895850"/>
          <a:ext cx="38100" cy="445294"/>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78154" name="AutoShape 202">
          <a:extLst>
            <a:ext uri="{FF2B5EF4-FFF2-40B4-BE49-F238E27FC236}">
              <a16:creationId xmlns:a16="http://schemas.microsoft.com/office/drawing/2014/main" id="{B5532F81-D693-489D-9958-F0042BAF0A1C}"/>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78155" name="AutoShape 203">
          <a:extLst>
            <a:ext uri="{FF2B5EF4-FFF2-40B4-BE49-F238E27FC236}">
              <a16:creationId xmlns:a16="http://schemas.microsoft.com/office/drawing/2014/main" id="{37256D89-E1D4-4FA7-A115-DD4E63598B99}"/>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78156" name="AutoShape 204">
          <a:extLst>
            <a:ext uri="{FF2B5EF4-FFF2-40B4-BE49-F238E27FC236}">
              <a16:creationId xmlns:a16="http://schemas.microsoft.com/office/drawing/2014/main" id="{1FD9635C-E443-42A7-AB69-DE26D0DBFFB6}"/>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78157" name="AutoShape 205">
          <a:extLst>
            <a:ext uri="{FF2B5EF4-FFF2-40B4-BE49-F238E27FC236}">
              <a16:creationId xmlns:a16="http://schemas.microsoft.com/office/drawing/2014/main" id="{A1B9FFED-1E78-4320-BCE9-9CC5A2C0F227}"/>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78158" name="AutoShape 206">
          <a:extLst>
            <a:ext uri="{FF2B5EF4-FFF2-40B4-BE49-F238E27FC236}">
              <a16:creationId xmlns:a16="http://schemas.microsoft.com/office/drawing/2014/main" id="{9128C013-E36D-47EB-A728-57D7B9F4A7CA}"/>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78159" name="AutoShape 207">
          <a:extLst>
            <a:ext uri="{FF2B5EF4-FFF2-40B4-BE49-F238E27FC236}">
              <a16:creationId xmlns:a16="http://schemas.microsoft.com/office/drawing/2014/main" id="{FDEE8F2A-F333-41D5-AA9F-BA751FE185E9}"/>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78160" name="AutoShape 209">
          <a:extLst>
            <a:ext uri="{FF2B5EF4-FFF2-40B4-BE49-F238E27FC236}">
              <a16:creationId xmlns:a16="http://schemas.microsoft.com/office/drawing/2014/main" id="{35DD5C2D-7A51-4651-A4C7-C9501EB20FF8}"/>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78161" name="AutoShape 210">
          <a:extLst>
            <a:ext uri="{FF2B5EF4-FFF2-40B4-BE49-F238E27FC236}">
              <a16:creationId xmlns:a16="http://schemas.microsoft.com/office/drawing/2014/main" id="{04917A45-33F1-404D-9051-75A48F6BE113}"/>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78162" name="AutoShape 215">
          <a:extLst>
            <a:ext uri="{FF2B5EF4-FFF2-40B4-BE49-F238E27FC236}">
              <a16:creationId xmlns:a16="http://schemas.microsoft.com/office/drawing/2014/main" id="{CA6DC6B4-F25E-42E0-B712-E689A1D52631}"/>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78163" name="AutoShape 216">
          <a:extLst>
            <a:ext uri="{FF2B5EF4-FFF2-40B4-BE49-F238E27FC236}">
              <a16:creationId xmlns:a16="http://schemas.microsoft.com/office/drawing/2014/main" id="{470F66AF-5274-41EF-AE7A-BF336C836D47}"/>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78164" name="AutoShape 220">
          <a:extLst>
            <a:ext uri="{FF2B5EF4-FFF2-40B4-BE49-F238E27FC236}">
              <a16:creationId xmlns:a16="http://schemas.microsoft.com/office/drawing/2014/main" id="{14371EE3-B9FD-4DFA-B228-05831E735D5C}"/>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78165" name="AutoShape 221">
          <a:extLst>
            <a:ext uri="{FF2B5EF4-FFF2-40B4-BE49-F238E27FC236}">
              <a16:creationId xmlns:a16="http://schemas.microsoft.com/office/drawing/2014/main" id="{461E9798-79DA-4536-8A3C-2A6B3F6498BD}"/>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78166" name="AutoShape 222">
          <a:extLst>
            <a:ext uri="{FF2B5EF4-FFF2-40B4-BE49-F238E27FC236}">
              <a16:creationId xmlns:a16="http://schemas.microsoft.com/office/drawing/2014/main" id="{59647A06-8F6C-4886-9020-604525064569}"/>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78167" name="AutoShape 223">
          <a:extLst>
            <a:ext uri="{FF2B5EF4-FFF2-40B4-BE49-F238E27FC236}">
              <a16:creationId xmlns:a16="http://schemas.microsoft.com/office/drawing/2014/main" id="{106885C4-597E-429A-AD07-C7F1E2CC331C}"/>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78168" name="AutoShape 224">
          <a:extLst>
            <a:ext uri="{FF2B5EF4-FFF2-40B4-BE49-F238E27FC236}">
              <a16:creationId xmlns:a16="http://schemas.microsoft.com/office/drawing/2014/main" id="{5E4A5559-BCD9-4C45-897B-8065DB18D968}"/>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78169" name="AutoShape 225">
          <a:extLst>
            <a:ext uri="{FF2B5EF4-FFF2-40B4-BE49-F238E27FC236}">
              <a16:creationId xmlns:a16="http://schemas.microsoft.com/office/drawing/2014/main" id="{C5352770-B1D7-40AB-82F9-8F34D1796ACD}"/>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78170" name="AutoShape 226">
          <a:extLst>
            <a:ext uri="{FF2B5EF4-FFF2-40B4-BE49-F238E27FC236}">
              <a16:creationId xmlns:a16="http://schemas.microsoft.com/office/drawing/2014/main" id="{A18C4565-05E8-4570-B02F-0C35C71B06F0}"/>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78171" name="AutoShape 227">
          <a:extLst>
            <a:ext uri="{FF2B5EF4-FFF2-40B4-BE49-F238E27FC236}">
              <a16:creationId xmlns:a16="http://schemas.microsoft.com/office/drawing/2014/main" id="{BD20310F-EDE9-4C0E-855F-39E3E5BC36BA}"/>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78172" name="AutoShape 228">
          <a:extLst>
            <a:ext uri="{FF2B5EF4-FFF2-40B4-BE49-F238E27FC236}">
              <a16:creationId xmlns:a16="http://schemas.microsoft.com/office/drawing/2014/main" id="{FB9068D5-186B-48EB-B61D-9E956256AEEF}"/>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78173" name="AutoShape 229">
          <a:extLst>
            <a:ext uri="{FF2B5EF4-FFF2-40B4-BE49-F238E27FC236}">
              <a16:creationId xmlns:a16="http://schemas.microsoft.com/office/drawing/2014/main" id="{C2FBDE4C-A525-459F-9833-352B4DAD4116}"/>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78174" name="AutoShape 230">
          <a:extLst>
            <a:ext uri="{FF2B5EF4-FFF2-40B4-BE49-F238E27FC236}">
              <a16:creationId xmlns:a16="http://schemas.microsoft.com/office/drawing/2014/main" id="{949A6FBE-96BE-4867-B851-9CCB280D1254}"/>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81717" name="AutoShape 200">
          <a:extLst>
            <a:ext uri="{FF2B5EF4-FFF2-40B4-BE49-F238E27FC236}">
              <a16:creationId xmlns:a16="http://schemas.microsoft.com/office/drawing/2014/main" id="{A42C0F56-B383-4D57-8035-A0D080377D94}"/>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81718" name="AutoShape 201">
          <a:extLst>
            <a:ext uri="{FF2B5EF4-FFF2-40B4-BE49-F238E27FC236}">
              <a16:creationId xmlns:a16="http://schemas.microsoft.com/office/drawing/2014/main" id="{B80891F1-2156-47B7-BA36-FEBC4E0D8827}"/>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81719" name="AutoShape 202">
          <a:extLst>
            <a:ext uri="{FF2B5EF4-FFF2-40B4-BE49-F238E27FC236}">
              <a16:creationId xmlns:a16="http://schemas.microsoft.com/office/drawing/2014/main" id="{B243471E-9C56-4BAA-8221-4F3AAA9CF92F}"/>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81720" name="AutoShape 203">
          <a:extLst>
            <a:ext uri="{FF2B5EF4-FFF2-40B4-BE49-F238E27FC236}">
              <a16:creationId xmlns:a16="http://schemas.microsoft.com/office/drawing/2014/main" id="{C42C42B9-E71A-4A3D-BAE4-2E2C4021FD07}"/>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81721" name="AutoShape 204">
          <a:extLst>
            <a:ext uri="{FF2B5EF4-FFF2-40B4-BE49-F238E27FC236}">
              <a16:creationId xmlns:a16="http://schemas.microsoft.com/office/drawing/2014/main" id="{B412EB5E-3484-4CFC-A7E7-B8BB1A337AB8}"/>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81722" name="AutoShape 205">
          <a:extLst>
            <a:ext uri="{FF2B5EF4-FFF2-40B4-BE49-F238E27FC236}">
              <a16:creationId xmlns:a16="http://schemas.microsoft.com/office/drawing/2014/main" id="{6FC184E1-1BD9-4B1E-BC8E-0DB3E43A955D}"/>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81723" name="AutoShape 206">
          <a:extLst>
            <a:ext uri="{FF2B5EF4-FFF2-40B4-BE49-F238E27FC236}">
              <a16:creationId xmlns:a16="http://schemas.microsoft.com/office/drawing/2014/main" id="{7B8D2B8D-8575-4644-B4E4-8BE61D9DFA67}"/>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81724" name="AutoShape 207">
          <a:extLst>
            <a:ext uri="{FF2B5EF4-FFF2-40B4-BE49-F238E27FC236}">
              <a16:creationId xmlns:a16="http://schemas.microsoft.com/office/drawing/2014/main" id="{21B18410-8465-47AF-94AF-F854AEDCD108}"/>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81725" name="AutoShape 209">
          <a:extLst>
            <a:ext uri="{FF2B5EF4-FFF2-40B4-BE49-F238E27FC236}">
              <a16:creationId xmlns:a16="http://schemas.microsoft.com/office/drawing/2014/main" id="{D280E4CA-3C17-4603-BA9F-1162BD240C1A}"/>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81726" name="AutoShape 210">
          <a:extLst>
            <a:ext uri="{FF2B5EF4-FFF2-40B4-BE49-F238E27FC236}">
              <a16:creationId xmlns:a16="http://schemas.microsoft.com/office/drawing/2014/main" id="{D7EE5BC1-42E9-4B83-A5F6-86B64B14046C}"/>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81727" name="AutoShape 215">
          <a:extLst>
            <a:ext uri="{FF2B5EF4-FFF2-40B4-BE49-F238E27FC236}">
              <a16:creationId xmlns:a16="http://schemas.microsoft.com/office/drawing/2014/main" id="{696946E8-472B-43AB-A5D1-F388F0209206}"/>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81728" name="AutoShape 216">
          <a:extLst>
            <a:ext uri="{FF2B5EF4-FFF2-40B4-BE49-F238E27FC236}">
              <a16:creationId xmlns:a16="http://schemas.microsoft.com/office/drawing/2014/main" id="{760D6566-216F-4231-BBE0-D2B8E9415E25}"/>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81729" name="AutoShape 220">
          <a:extLst>
            <a:ext uri="{FF2B5EF4-FFF2-40B4-BE49-F238E27FC236}">
              <a16:creationId xmlns:a16="http://schemas.microsoft.com/office/drawing/2014/main" id="{A19854B2-3B2A-4422-861B-B61D770E33B7}"/>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81730" name="AutoShape 221">
          <a:extLst>
            <a:ext uri="{FF2B5EF4-FFF2-40B4-BE49-F238E27FC236}">
              <a16:creationId xmlns:a16="http://schemas.microsoft.com/office/drawing/2014/main" id="{4F158DBB-0CB1-44AA-8EAA-2E41467684DC}"/>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81731" name="AutoShape 222">
          <a:extLst>
            <a:ext uri="{FF2B5EF4-FFF2-40B4-BE49-F238E27FC236}">
              <a16:creationId xmlns:a16="http://schemas.microsoft.com/office/drawing/2014/main" id="{9D976E33-479B-441C-B7F7-303BDB9276F7}"/>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81732" name="AutoShape 223">
          <a:extLst>
            <a:ext uri="{FF2B5EF4-FFF2-40B4-BE49-F238E27FC236}">
              <a16:creationId xmlns:a16="http://schemas.microsoft.com/office/drawing/2014/main" id="{2255F206-B150-4007-9F5C-1E7F8CEE1BEE}"/>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81733" name="AutoShape 224">
          <a:extLst>
            <a:ext uri="{FF2B5EF4-FFF2-40B4-BE49-F238E27FC236}">
              <a16:creationId xmlns:a16="http://schemas.microsoft.com/office/drawing/2014/main" id="{038F433A-7576-4273-BCB7-26012D40271D}"/>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81734" name="AutoShape 225">
          <a:extLst>
            <a:ext uri="{FF2B5EF4-FFF2-40B4-BE49-F238E27FC236}">
              <a16:creationId xmlns:a16="http://schemas.microsoft.com/office/drawing/2014/main" id="{E52269B5-6CDC-4776-8CDC-67CDA7F43434}"/>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81735" name="AutoShape 226">
          <a:extLst>
            <a:ext uri="{FF2B5EF4-FFF2-40B4-BE49-F238E27FC236}">
              <a16:creationId xmlns:a16="http://schemas.microsoft.com/office/drawing/2014/main" id="{CE3559D4-6563-433A-88A6-DADBE5353C7C}"/>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81736" name="AutoShape 227">
          <a:extLst>
            <a:ext uri="{FF2B5EF4-FFF2-40B4-BE49-F238E27FC236}">
              <a16:creationId xmlns:a16="http://schemas.microsoft.com/office/drawing/2014/main" id="{543B9F54-78A3-401A-9004-F131FA524BF2}"/>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81737" name="AutoShape 228">
          <a:extLst>
            <a:ext uri="{FF2B5EF4-FFF2-40B4-BE49-F238E27FC236}">
              <a16:creationId xmlns:a16="http://schemas.microsoft.com/office/drawing/2014/main" id="{CBE6F591-3A19-484F-896D-9D6860636551}"/>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81738" name="AutoShape 229">
          <a:extLst>
            <a:ext uri="{FF2B5EF4-FFF2-40B4-BE49-F238E27FC236}">
              <a16:creationId xmlns:a16="http://schemas.microsoft.com/office/drawing/2014/main" id="{90126F24-42DA-4718-8840-4134DDBEA4FB}"/>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81739" name="AutoShape 230">
          <a:extLst>
            <a:ext uri="{FF2B5EF4-FFF2-40B4-BE49-F238E27FC236}">
              <a16:creationId xmlns:a16="http://schemas.microsoft.com/office/drawing/2014/main" id="{DCA275F3-3F62-4860-BAF9-6F35A0E5B6FC}"/>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58621" name="AutoShape 1">
          <a:extLst>
            <a:ext uri="{FF2B5EF4-FFF2-40B4-BE49-F238E27FC236}">
              <a16:creationId xmlns:a16="http://schemas.microsoft.com/office/drawing/2014/main" id="{E1CE4447-9108-49A8-BB47-81C00ACF9867}"/>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58622" name="AutoShape 2">
          <a:extLst>
            <a:ext uri="{FF2B5EF4-FFF2-40B4-BE49-F238E27FC236}">
              <a16:creationId xmlns:a16="http://schemas.microsoft.com/office/drawing/2014/main" id="{9463CD8C-C075-4842-8E2A-735AEF857B59}"/>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58623" name="AutoShape 3">
          <a:extLst>
            <a:ext uri="{FF2B5EF4-FFF2-40B4-BE49-F238E27FC236}">
              <a16:creationId xmlns:a16="http://schemas.microsoft.com/office/drawing/2014/main" id="{DF234E53-59BE-4421-A36C-4F0D0E3DF86E}"/>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58624" name="AutoShape 4">
          <a:extLst>
            <a:ext uri="{FF2B5EF4-FFF2-40B4-BE49-F238E27FC236}">
              <a16:creationId xmlns:a16="http://schemas.microsoft.com/office/drawing/2014/main" id="{54CD056D-26CB-49E9-9003-7625886A85D5}"/>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58625" name="AutoShape 5">
          <a:extLst>
            <a:ext uri="{FF2B5EF4-FFF2-40B4-BE49-F238E27FC236}">
              <a16:creationId xmlns:a16="http://schemas.microsoft.com/office/drawing/2014/main" id="{B3892AAE-D1DB-4B7E-9A4A-DF2774B5BB29}"/>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58626" name="AutoShape 6">
          <a:extLst>
            <a:ext uri="{FF2B5EF4-FFF2-40B4-BE49-F238E27FC236}">
              <a16:creationId xmlns:a16="http://schemas.microsoft.com/office/drawing/2014/main" id="{965B3379-56A7-443E-88E1-CD3A18466D66}"/>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58627" name="AutoShape 7">
          <a:extLst>
            <a:ext uri="{FF2B5EF4-FFF2-40B4-BE49-F238E27FC236}">
              <a16:creationId xmlns:a16="http://schemas.microsoft.com/office/drawing/2014/main" id="{F59CAA69-6FBF-4E84-8F35-CEB24D189AF6}"/>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58628" name="AutoShape 8">
          <a:extLst>
            <a:ext uri="{FF2B5EF4-FFF2-40B4-BE49-F238E27FC236}">
              <a16:creationId xmlns:a16="http://schemas.microsoft.com/office/drawing/2014/main" id="{983C5A02-8AE8-4FE3-8D9C-ACC1F21D5E77}"/>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58629" name="AutoShape 9">
          <a:extLst>
            <a:ext uri="{FF2B5EF4-FFF2-40B4-BE49-F238E27FC236}">
              <a16:creationId xmlns:a16="http://schemas.microsoft.com/office/drawing/2014/main" id="{8DBE76DE-7F35-400A-B6E0-8C2BA994D657}"/>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58630" name="AutoShape 10">
          <a:extLst>
            <a:ext uri="{FF2B5EF4-FFF2-40B4-BE49-F238E27FC236}">
              <a16:creationId xmlns:a16="http://schemas.microsoft.com/office/drawing/2014/main" id="{40F214FE-2B5D-49B7-B82F-10C2EA66550E}"/>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58631" name="AutoShape 11">
          <a:extLst>
            <a:ext uri="{FF2B5EF4-FFF2-40B4-BE49-F238E27FC236}">
              <a16:creationId xmlns:a16="http://schemas.microsoft.com/office/drawing/2014/main" id="{7CA435AD-30FE-421E-802C-AF2046F71778}"/>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58632" name="AutoShape 12">
          <a:extLst>
            <a:ext uri="{FF2B5EF4-FFF2-40B4-BE49-F238E27FC236}">
              <a16:creationId xmlns:a16="http://schemas.microsoft.com/office/drawing/2014/main" id="{27C76612-889B-4D11-8024-B559F84EDB80}"/>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58633" name="AutoShape 13">
          <a:extLst>
            <a:ext uri="{FF2B5EF4-FFF2-40B4-BE49-F238E27FC236}">
              <a16:creationId xmlns:a16="http://schemas.microsoft.com/office/drawing/2014/main" id="{B5D68341-50D4-4403-9D21-B87F3D536AC5}"/>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58634" name="AutoShape 14">
          <a:extLst>
            <a:ext uri="{FF2B5EF4-FFF2-40B4-BE49-F238E27FC236}">
              <a16:creationId xmlns:a16="http://schemas.microsoft.com/office/drawing/2014/main" id="{F1E84C05-0BF5-477A-BFE0-4F7FEE68C39A}"/>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58635" name="AutoShape 15">
          <a:extLst>
            <a:ext uri="{FF2B5EF4-FFF2-40B4-BE49-F238E27FC236}">
              <a16:creationId xmlns:a16="http://schemas.microsoft.com/office/drawing/2014/main" id="{2C368DB0-3618-4FEF-848A-6F9B1B812071}"/>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58636" name="AutoShape 16">
          <a:extLst>
            <a:ext uri="{FF2B5EF4-FFF2-40B4-BE49-F238E27FC236}">
              <a16:creationId xmlns:a16="http://schemas.microsoft.com/office/drawing/2014/main" id="{6541339B-B39B-473D-8CA3-2E7CFB32BBD6}"/>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58637" name="AutoShape 17">
          <a:extLst>
            <a:ext uri="{FF2B5EF4-FFF2-40B4-BE49-F238E27FC236}">
              <a16:creationId xmlns:a16="http://schemas.microsoft.com/office/drawing/2014/main" id="{6B452916-E908-48CE-A44F-D580C1A9AECC}"/>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58638" name="AutoShape 18">
          <a:extLst>
            <a:ext uri="{FF2B5EF4-FFF2-40B4-BE49-F238E27FC236}">
              <a16:creationId xmlns:a16="http://schemas.microsoft.com/office/drawing/2014/main" id="{3E2090DB-9FAF-4A16-9816-44F950D42DF1}"/>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58639" name="AutoShape 19">
          <a:extLst>
            <a:ext uri="{FF2B5EF4-FFF2-40B4-BE49-F238E27FC236}">
              <a16:creationId xmlns:a16="http://schemas.microsoft.com/office/drawing/2014/main" id="{3B5328EE-5C8A-4259-989F-0B8AFDD4FBC8}"/>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58640" name="AutoShape 20">
          <a:extLst>
            <a:ext uri="{FF2B5EF4-FFF2-40B4-BE49-F238E27FC236}">
              <a16:creationId xmlns:a16="http://schemas.microsoft.com/office/drawing/2014/main" id="{B28B1CE4-109D-41CE-98A0-53B064D096E1}"/>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58641" name="AutoShape 21">
          <a:extLst>
            <a:ext uri="{FF2B5EF4-FFF2-40B4-BE49-F238E27FC236}">
              <a16:creationId xmlns:a16="http://schemas.microsoft.com/office/drawing/2014/main" id="{3478C2B7-5C94-40C3-91B4-4D57BDB1B1A5}"/>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58642" name="AutoShape 22">
          <a:extLst>
            <a:ext uri="{FF2B5EF4-FFF2-40B4-BE49-F238E27FC236}">
              <a16:creationId xmlns:a16="http://schemas.microsoft.com/office/drawing/2014/main" id="{DF4CFA0E-8E07-4757-8B08-69F364F41DA4}"/>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58643" name="AutoShape 23">
          <a:extLst>
            <a:ext uri="{FF2B5EF4-FFF2-40B4-BE49-F238E27FC236}">
              <a16:creationId xmlns:a16="http://schemas.microsoft.com/office/drawing/2014/main" id="{617898BA-9116-48C3-8945-9EE61EA94214}"/>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59645" name="AutoShape 1">
          <a:extLst>
            <a:ext uri="{FF2B5EF4-FFF2-40B4-BE49-F238E27FC236}">
              <a16:creationId xmlns:a16="http://schemas.microsoft.com/office/drawing/2014/main" id="{86B001C1-D486-4CF4-9BCF-9511A6B5DF9A}"/>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59646" name="AutoShape 2">
          <a:extLst>
            <a:ext uri="{FF2B5EF4-FFF2-40B4-BE49-F238E27FC236}">
              <a16:creationId xmlns:a16="http://schemas.microsoft.com/office/drawing/2014/main" id="{019BCB2A-4637-4682-9C45-862219868916}"/>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59647" name="AutoShape 3">
          <a:extLst>
            <a:ext uri="{FF2B5EF4-FFF2-40B4-BE49-F238E27FC236}">
              <a16:creationId xmlns:a16="http://schemas.microsoft.com/office/drawing/2014/main" id="{47741023-044E-4CE0-9902-B8833970851E}"/>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59648" name="AutoShape 4">
          <a:extLst>
            <a:ext uri="{FF2B5EF4-FFF2-40B4-BE49-F238E27FC236}">
              <a16:creationId xmlns:a16="http://schemas.microsoft.com/office/drawing/2014/main" id="{3BF22C74-51F3-4783-AEDE-26A1B3E13405}"/>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59649" name="AutoShape 5">
          <a:extLst>
            <a:ext uri="{FF2B5EF4-FFF2-40B4-BE49-F238E27FC236}">
              <a16:creationId xmlns:a16="http://schemas.microsoft.com/office/drawing/2014/main" id="{3A566D7C-0E1A-4186-9493-4C3572BAB11B}"/>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59650" name="AutoShape 6">
          <a:extLst>
            <a:ext uri="{FF2B5EF4-FFF2-40B4-BE49-F238E27FC236}">
              <a16:creationId xmlns:a16="http://schemas.microsoft.com/office/drawing/2014/main" id="{37F90185-D16D-4739-AEC9-AFD4C3CB9CE8}"/>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59651" name="AutoShape 7">
          <a:extLst>
            <a:ext uri="{FF2B5EF4-FFF2-40B4-BE49-F238E27FC236}">
              <a16:creationId xmlns:a16="http://schemas.microsoft.com/office/drawing/2014/main" id="{D5202972-CC38-4850-B250-0ACF4C58113D}"/>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59652" name="AutoShape 8">
          <a:extLst>
            <a:ext uri="{FF2B5EF4-FFF2-40B4-BE49-F238E27FC236}">
              <a16:creationId xmlns:a16="http://schemas.microsoft.com/office/drawing/2014/main" id="{388A6DE7-C5DA-4594-9CE4-59D81DA74CAE}"/>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59653" name="AutoShape 9">
          <a:extLst>
            <a:ext uri="{FF2B5EF4-FFF2-40B4-BE49-F238E27FC236}">
              <a16:creationId xmlns:a16="http://schemas.microsoft.com/office/drawing/2014/main" id="{DC772EDF-B719-44B0-A126-DF6F6C66DF4F}"/>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59654" name="AutoShape 10">
          <a:extLst>
            <a:ext uri="{FF2B5EF4-FFF2-40B4-BE49-F238E27FC236}">
              <a16:creationId xmlns:a16="http://schemas.microsoft.com/office/drawing/2014/main" id="{479DBB26-F354-4E4B-881F-F0609B6ABA8E}"/>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59655" name="AutoShape 11">
          <a:extLst>
            <a:ext uri="{FF2B5EF4-FFF2-40B4-BE49-F238E27FC236}">
              <a16:creationId xmlns:a16="http://schemas.microsoft.com/office/drawing/2014/main" id="{5F25D9D1-C01D-4AE8-8173-F092E6EC3BB6}"/>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59656" name="AutoShape 12">
          <a:extLst>
            <a:ext uri="{FF2B5EF4-FFF2-40B4-BE49-F238E27FC236}">
              <a16:creationId xmlns:a16="http://schemas.microsoft.com/office/drawing/2014/main" id="{699A4CB8-6540-400F-AC11-9D12380E3D99}"/>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59657" name="AutoShape 13">
          <a:extLst>
            <a:ext uri="{FF2B5EF4-FFF2-40B4-BE49-F238E27FC236}">
              <a16:creationId xmlns:a16="http://schemas.microsoft.com/office/drawing/2014/main" id="{C676C0D9-D5B7-4EC5-884F-6B3CB9813AE6}"/>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59658" name="AutoShape 14">
          <a:extLst>
            <a:ext uri="{FF2B5EF4-FFF2-40B4-BE49-F238E27FC236}">
              <a16:creationId xmlns:a16="http://schemas.microsoft.com/office/drawing/2014/main" id="{EAB069FE-8A3E-4C7A-93A6-617BF8E3E6DA}"/>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59659" name="AutoShape 15">
          <a:extLst>
            <a:ext uri="{FF2B5EF4-FFF2-40B4-BE49-F238E27FC236}">
              <a16:creationId xmlns:a16="http://schemas.microsoft.com/office/drawing/2014/main" id="{C9801EBF-C2DD-44B1-8A06-58227267B5AB}"/>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59660" name="AutoShape 16">
          <a:extLst>
            <a:ext uri="{FF2B5EF4-FFF2-40B4-BE49-F238E27FC236}">
              <a16:creationId xmlns:a16="http://schemas.microsoft.com/office/drawing/2014/main" id="{1D81ACA2-EA17-4024-9613-B18BA39EF732}"/>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59661" name="AutoShape 17">
          <a:extLst>
            <a:ext uri="{FF2B5EF4-FFF2-40B4-BE49-F238E27FC236}">
              <a16:creationId xmlns:a16="http://schemas.microsoft.com/office/drawing/2014/main" id="{F91F45E0-C73A-410D-BDAA-89AB609F9AFA}"/>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59662" name="AutoShape 18">
          <a:extLst>
            <a:ext uri="{FF2B5EF4-FFF2-40B4-BE49-F238E27FC236}">
              <a16:creationId xmlns:a16="http://schemas.microsoft.com/office/drawing/2014/main" id="{CD427762-7F4B-446C-96C4-22C947210385}"/>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59663" name="AutoShape 19">
          <a:extLst>
            <a:ext uri="{FF2B5EF4-FFF2-40B4-BE49-F238E27FC236}">
              <a16:creationId xmlns:a16="http://schemas.microsoft.com/office/drawing/2014/main" id="{92EF579E-6548-4B86-B67E-B34BEDF9C0C8}"/>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59664" name="AutoShape 20">
          <a:extLst>
            <a:ext uri="{FF2B5EF4-FFF2-40B4-BE49-F238E27FC236}">
              <a16:creationId xmlns:a16="http://schemas.microsoft.com/office/drawing/2014/main" id="{CF564E92-AFC4-4DE3-8925-C23045F736D5}"/>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59665" name="AutoShape 21">
          <a:extLst>
            <a:ext uri="{FF2B5EF4-FFF2-40B4-BE49-F238E27FC236}">
              <a16:creationId xmlns:a16="http://schemas.microsoft.com/office/drawing/2014/main" id="{95432BE6-8E06-47C6-BDF5-4F5ED1FED273}"/>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59666" name="AutoShape 22">
          <a:extLst>
            <a:ext uri="{FF2B5EF4-FFF2-40B4-BE49-F238E27FC236}">
              <a16:creationId xmlns:a16="http://schemas.microsoft.com/office/drawing/2014/main" id="{BCE21F99-AF1B-41CF-B873-92D1A968DFB8}"/>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59667" name="AutoShape 23">
          <a:extLst>
            <a:ext uri="{FF2B5EF4-FFF2-40B4-BE49-F238E27FC236}">
              <a16:creationId xmlns:a16="http://schemas.microsoft.com/office/drawing/2014/main" id="{24210DD4-D278-4FF2-8496-B27E18BFFC74}"/>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60669" name="AutoShape 1">
          <a:extLst>
            <a:ext uri="{FF2B5EF4-FFF2-40B4-BE49-F238E27FC236}">
              <a16:creationId xmlns:a16="http://schemas.microsoft.com/office/drawing/2014/main" id="{3D41F54B-7CAD-4057-97B5-6083D93F9A9E}"/>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60670" name="AutoShape 2">
          <a:extLst>
            <a:ext uri="{FF2B5EF4-FFF2-40B4-BE49-F238E27FC236}">
              <a16:creationId xmlns:a16="http://schemas.microsoft.com/office/drawing/2014/main" id="{D6B5D543-E5F0-461A-8BB2-90434DE6FFEF}"/>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60671" name="AutoShape 3">
          <a:extLst>
            <a:ext uri="{FF2B5EF4-FFF2-40B4-BE49-F238E27FC236}">
              <a16:creationId xmlns:a16="http://schemas.microsoft.com/office/drawing/2014/main" id="{A91E9924-FE1D-4D30-AB75-3BC13CF26A18}"/>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60672" name="AutoShape 4">
          <a:extLst>
            <a:ext uri="{FF2B5EF4-FFF2-40B4-BE49-F238E27FC236}">
              <a16:creationId xmlns:a16="http://schemas.microsoft.com/office/drawing/2014/main" id="{926F72C5-3430-42C4-B742-970497778866}"/>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60673" name="AutoShape 5">
          <a:extLst>
            <a:ext uri="{FF2B5EF4-FFF2-40B4-BE49-F238E27FC236}">
              <a16:creationId xmlns:a16="http://schemas.microsoft.com/office/drawing/2014/main" id="{6D284FF2-727C-4BE7-8F93-69F24F187FD3}"/>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60674" name="AutoShape 6">
          <a:extLst>
            <a:ext uri="{FF2B5EF4-FFF2-40B4-BE49-F238E27FC236}">
              <a16:creationId xmlns:a16="http://schemas.microsoft.com/office/drawing/2014/main" id="{B0F21953-085E-43EB-9CC7-A5B061E107B8}"/>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60675" name="AutoShape 7">
          <a:extLst>
            <a:ext uri="{FF2B5EF4-FFF2-40B4-BE49-F238E27FC236}">
              <a16:creationId xmlns:a16="http://schemas.microsoft.com/office/drawing/2014/main" id="{6FFC2901-2432-443C-8373-4C0621132805}"/>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60676" name="AutoShape 8">
          <a:extLst>
            <a:ext uri="{FF2B5EF4-FFF2-40B4-BE49-F238E27FC236}">
              <a16:creationId xmlns:a16="http://schemas.microsoft.com/office/drawing/2014/main" id="{3361C42D-4AE1-4413-8D84-28F52C706082}"/>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60677" name="AutoShape 9">
          <a:extLst>
            <a:ext uri="{FF2B5EF4-FFF2-40B4-BE49-F238E27FC236}">
              <a16:creationId xmlns:a16="http://schemas.microsoft.com/office/drawing/2014/main" id="{BF08EB64-0C65-4581-9A66-C25A21AD472B}"/>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60678" name="AutoShape 10">
          <a:extLst>
            <a:ext uri="{FF2B5EF4-FFF2-40B4-BE49-F238E27FC236}">
              <a16:creationId xmlns:a16="http://schemas.microsoft.com/office/drawing/2014/main" id="{A7B40B7F-C052-4336-80D2-ACB47956DB21}"/>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60679" name="AutoShape 11">
          <a:extLst>
            <a:ext uri="{FF2B5EF4-FFF2-40B4-BE49-F238E27FC236}">
              <a16:creationId xmlns:a16="http://schemas.microsoft.com/office/drawing/2014/main" id="{3CC64AF7-9ACB-45AD-83BA-42FBC7F66DB4}"/>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60680" name="AutoShape 12">
          <a:extLst>
            <a:ext uri="{FF2B5EF4-FFF2-40B4-BE49-F238E27FC236}">
              <a16:creationId xmlns:a16="http://schemas.microsoft.com/office/drawing/2014/main" id="{8D918BF0-1DAB-4BF5-9669-0B913A53A778}"/>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60681" name="AutoShape 13">
          <a:extLst>
            <a:ext uri="{FF2B5EF4-FFF2-40B4-BE49-F238E27FC236}">
              <a16:creationId xmlns:a16="http://schemas.microsoft.com/office/drawing/2014/main" id="{7C7B7EEC-8563-40D6-A46B-25FBBD48CDBC}"/>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60682" name="AutoShape 14">
          <a:extLst>
            <a:ext uri="{FF2B5EF4-FFF2-40B4-BE49-F238E27FC236}">
              <a16:creationId xmlns:a16="http://schemas.microsoft.com/office/drawing/2014/main" id="{C61F8A43-DE52-419F-A77A-08CFB496F478}"/>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60683" name="AutoShape 15">
          <a:extLst>
            <a:ext uri="{FF2B5EF4-FFF2-40B4-BE49-F238E27FC236}">
              <a16:creationId xmlns:a16="http://schemas.microsoft.com/office/drawing/2014/main" id="{C0FFDCCF-9D37-4849-939E-77B258F28A27}"/>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60684" name="AutoShape 16">
          <a:extLst>
            <a:ext uri="{FF2B5EF4-FFF2-40B4-BE49-F238E27FC236}">
              <a16:creationId xmlns:a16="http://schemas.microsoft.com/office/drawing/2014/main" id="{61669DC2-3B35-4230-A2B8-06C08E25F7E0}"/>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60685" name="AutoShape 17">
          <a:extLst>
            <a:ext uri="{FF2B5EF4-FFF2-40B4-BE49-F238E27FC236}">
              <a16:creationId xmlns:a16="http://schemas.microsoft.com/office/drawing/2014/main" id="{50D875B5-5ED2-4684-91BC-0E8C0851D702}"/>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60686" name="AutoShape 18">
          <a:extLst>
            <a:ext uri="{FF2B5EF4-FFF2-40B4-BE49-F238E27FC236}">
              <a16:creationId xmlns:a16="http://schemas.microsoft.com/office/drawing/2014/main" id="{2E0AAB5C-8BBF-4AEA-8F5B-7BD1643FD86A}"/>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60687" name="AutoShape 19">
          <a:extLst>
            <a:ext uri="{FF2B5EF4-FFF2-40B4-BE49-F238E27FC236}">
              <a16:creationId xmlns:a16="http://schemas.microsoft.com/office/drawing/2014/main" id="{E101FEC9-620C-4F7D-B8EE-70FED02D6AA6}"/>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60688" name="AutoShape 20">
          <a:extLst>
            <a:ext uri="{FF2B5EF4-FFF2-40B4-BE49-F238E27FC236}">
              <a16:creationId xmlns:a16="http://schemas.microsoft.com/office/drawing/2014/main" id="{5A6224DE-A367-42BB-9D8B-A84A32B9302F}"/>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60689" name="AutoShape 21">
          <a:extLst>
            <a:ext uri="{FF2B5EF4-FFF2-40B4-BE49-F238E27FC236}">
              <a16:creationId xmlns:a16="http://schemas.microsoft.com/office/drawing/2014/main" id="{2A03E4C5-BCCE-4E47-8893-C3F806C114B2}"/>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60690" name="AutoShape 22">
          <a:extLst>
            <a:ext uri="{FF2B5EF4-FFF2-40B4-BE49-F238E27FC236}">
              <a16:creationId xmlns:a16="http://schemas.microsoft.com/office/drawing/2014/main" id="{5A5400E9-EAF3-494C-B276-0F751F9A2153}"/>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60691" name="AutoShape 23">
          <a:extLst>
            <a:ext uri="{FF2B5EF4-FFF2-40B4-BE49-F238E27FC236}">
              <a16:creationId xmlns:a16="http://schemas.microsoft.com/office/drawing/2014/main" id="{62881C8C-EC50-4996-AC4B-FFB67DEAD260}"/>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219075</xdr:rowOff>
    </xdr:to>
    <xdr:sp macro="" textlink="">
      <xdr:nvSpPr>
        <xdr:cNvPr id="169560" name="AutoShape 1">
          <a:extLst>
            <a:ext uri="{FF2B5EF4-FFF2-40B4-BE49-F238E27FC236}">
              <a16:creationId xmlns:a16="http://schemas.microsoft.com/office/drawing/2014/main" id="{FC08A630-79D9-409A-9651-ED0876506295}"/>
            </a:ext>
          </a:extLst>
        </xdr:cNvPr>
        <xdr:cNvSpPr>
          <a:spLocks/>
        </xdr:cNvSpPr>
      </xdr:nvSpPr>
      <xdr:spPr bwMode="auto">
        <a:xfrm>
          <a:off x="1028700" y="38004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1</xdr:col>
      <xdr:colOff>161925</xdr:colOff>
      <xdr:row>16</xdr:row>
      <xdr:rowOff>219075</xdr:rowOff>
    </xdr:to>
    <xdr:sp macro="" textlink="">
      <xdr:nvSpPr>
        <xdr:cNvPr id="169561" name="AutoShape 2">
          <a:extLst>
            <a:ext uri="{FF2B5EF4-FFF2-40B4-BE49-F238E27FC236}">
              <a16:creationId xmlns:a16="http://schemas.microsoft.com/office/drawing/2014/main" id="{68F59A3F-DD9A-47B8-B3D6-645F92AE7E5C}"/>
            </a:ext>
          </a:extLst>
        </xdr:cNvPr>
        <xdr:cNvSpPr>
          <a:spLocks/>
        </xdr:cNvSpPr>
      </xdr:nvSpPr>
      <xdr:spPr bwMode="auto">
        <a:xfrm>
          <a:off x="1028700" y="49053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219075</xdr:rowOff>
    </xdr:to>
    <xdr:sp macro="" textlink="">
      <xdr:nvSpPr>
        <xdr:cNvPr id="169562" name="AutoShape 3">
          <a:extLst>
            <a:ext uri="{FF2B5EF4-FFF2-40B4-BE49-F238E27FC236}">
              <a16:creationId xmlns:a16="http://schemas.microsoft.com/office/drawing/2014/main" id="{2826BBBD-83C1-41AA-849D-9079CA8003C5}"/>
            </a:ext>
          </a:extLst>
        </xdr:cNvPr>
        <xdr:cNvSpPr>
          <a:spLocks/>
        </xdr:cNvSpPr>
      </xdr:nvSpPr>
      <xdr:spPr bwMode="auto">
        <a:xfrm>
          <a:off x="1028700" y="65627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219075</xdr:rowOff>
    </xdr:to>
    <xdr:sp macro="" textlink="">
      <xdr:nvSpPr>
        <xdr:cNvPr id="169563" name="AutoShape 4">
          <a:extLst>
            <a:ext uri="{FF2B5EF4-FFF2-40B4-BE49-F238E27FC236}">
              <a16:creationId xmlns:a16="http://schemas.microsoft.com/office/drawing/2014/main" id="{6A3C1576-4EC8-4A90-9111-4BF652FF7445}"/>
            </a:ext>
          </a:extLst>
        </xdr:cNvPr>
        <xdr:cNvSpPr>
          <a:spLocks/>
        </xdr:cNvSpPr>
      </xdr:nvSpPr>
      <xdr:spPr bwMode="auto">
        <a:xfrm>
          <a:off x="1028700" y="43529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219075</xdr:rowOff>
    </xdr:to>
    <xdr:sp macro="" textlink="">
      <xdr:nvSpPr>
        <xdr:cNvPr id="169564" name="AutoShape 5">
          <a:extLst>
            <a:ext uri="{FF2B5EF4-FFF2-40B4-BE49-F238E27FC236}">
              <a16:creationId xmlns:a16="http://schemas.microsoft.com/office/drawing/2014/main" id="{4865CFE6-74E4-4423-8E42-834175ACC565}"/>
            </a:ext>
          </a:extLst>
        </xdr:cNvPr>
        <xdr:cNvSpPr>
          <a:spLocks/>
        </xdr:cNvSpPr>
      </xdr:nvSpPr>
      <xdr:spPr bwMode="auto">
        <a:xfrm>
          <a:off x="1028700" y="71151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219075</xdr:rowOff>
    </xdr:to>
    <xdr:sp macro="" textlink="">
      <xdr:nvSpPr>
        <xdr:cNvPr id="169565" name="AutoShape 6">
          <a:extLst>
            <a:ext uri="{FF2B5EF4-FFF2-40B4-BE49-F238E27FC236}">
              <a16:creationId xmlns:a16="http://schemas.microsoft.com/office/drawing/2014/main" id="{FA4AF022-C35B-4EED-BD2A-C83F88F3991B}"/>
            </a:ext>
          </a:extLst>
        </xdr:cNvPr>
        <xdr:cNvSpPr>
          <a:spLocks/>
        </xdr:cNvSpPr>
      </xdr:nvSpPr>
      <xdr:spPr bwMode="auto">
        <a:xfrm>
          <a:off x="1028700" y="76676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219075</xdr:rowOff>
    </xdr:to>
    <xdr:sp macro="" textlink="">
      <xdr:nvSpPr>
        <xdr:cNvPr id="169566" name="AutoShape 7">
          <a:extLst>
            <a:ext uri="{FF2B5EF4-FFF2-40B4-BE49-F238E27FC236}">
              <a16:creationId xmlns:a16="http://schemas.microsoft.com/office/drawing/2014/main" id="{381AE301-879E-4B0B-8846-2950DDB74B03}"/>
            </a:ext>
          </a:extLst>
        </xdr:cNvPr>
        <xdr:cNvSpPr>
          <a:spLocks/>
        </xdr:cNvSpPr>
      </xdr:nvSpPr>
      <xdr:spPr bwMode="auto">
        <a:xfrm>
          <a:off x="1028700" y="82200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219075</xdr:rowOff>
    </xdr:to>
    <xdr:sp macro="" textlink="">
      <xdr:nvSpPr>
        <xdr:cNvPr id="169567" name="AutoShape 8">
          <a:extLst>
            <a:ext uri="{FF2B5EF4-FFF2-40B4-BE49-F238E27FC236}">
              <a16:creationId xmlns:a16="http://schemas.microsoft.com/office/drawing/2014/main" id="{58118312-F7D3-494E-8313-268A7AA4F36E}"/>
            </a:ext>
          </a:extLst>
        </xdr:cNvPr>
        <xdr:cNvSpPr>
          <a:spLocks/>
        </xdr:cNvSpPr>
      </xdr:nvSpPr>
      <xdr:spPr bwMode="auto">
        <a:xfrm>
          <a:off x="1028700" y="87725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219075</xdr:rowOff>
    </xdr:to>
    <xdr:sp macro="" textlink="">
      <xdr:nvSpPr>
        <xdr:cNvPr id="169568" name="AutoShape 9">
          <a:extLst>
            <a:ext uri="{FF2B5EF4-FFF2-40B4-BE49-F238E27FC236}">
              <a16:creationId xmlns:a16="http://schemas.microsoft.com/office/drawing/2014/main" id="{44268AA0-8A6C-45FB-966C-D7858D6525E5}"/>
            </a:ext>
          </a:extLst>
        </xdr:cNvPr>
        <xdr:cNvSpPr>
          <a:spLocks/>
        </xdr:cNvSpPr>
      </xdr:nvSpPr>
      <xdr:spPr bwMode="auto">
        <a:xfrm>
          <a:off x="1028700" y="93249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219075</xdr:rowOff>
    </xdr:to>
    <xdr:sp macro="" textlink="">
      <xdr:nvSpPr>
        <xdr:cNvPr id="169569" name="AutoShape 10">
          <a:extLst>
            <a:ext uri="{FF2B5EF4-FFF2-40B4-BE49-F238E27FC236}">
              <a16:creationId xmlns:a16="http://schemas.microsoft.com/office/drawing/2014/main" id="{AAF01163-B860-4673-ADB1-1509D639A303}"/>
            </a:ext>
          </a:extLst>
        </xdr:cNvPr>
        <xdr:cNvSpPr>
          <a:spLocks/>
        </xdr:cNvSpPr>
      </xdr:nvSpPr>
      <xdr:spPr bwMode="auto">
        <a:xfrm>
          <a:off x="1028700" y="98774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219075</xdr:rowOff>
    </xdr:to>
    <xdr:sp macro="" textlink="">
      <xdr:nvSpPr>
        <xdr:cNvPr id="169570" name="AutoShape 11">
          <a:extLst>
            <a:ext uri="{FF2B5EF4-FFF2-40B4-BE49-F238E27FC236}">
              <a16:creationId xmlns:a16="http://schemas.microsoft.com/office/drawing/2014/main" id="{36050029-7E79-413D-A993-4E7756D40A7B}"/>
            </a:ext>
          </a:extLst>
        </xdr:cNvPr>
        <xdr:cNvSpPr>
          <a:spLocks/>
        </xdr:cNvSpPr>
      </xdr:nvSpPr>
      <xdr:spPr bwMode="auto">
        <a:xfrm>
          <a:off x="1028700" y="54578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219075</xdr:rowOff>
    </xdr:to>
    <xdr:sp macro="" textlink="">
      <xdr:nvSpPr>
        <xdr:cNvPr id="169571" name="AutoShape 12">
          <a:extLst>
            <a:ext uri="{FF2B5EF4-FFF2-40B4-BE49-F238E27FC236}">
              <a16:creationId xmlns:a16="http://schemas.microsoft.com/office/drawing/2014/main" id="{9AF22186-784A-47B7-B7C7-CAF5CAD9ABA3}"/>
            </a:ext>
          </a:extLst>
        </xdr:cNvPr>
        <xdr:cNvSpPr>
          <a:spLocks/>
        </xdr:cNvSpPr>
      </xdr:nvSpPr>
      <xdr:spPr bwMode="auto">
        <a:xfrm>
          <a:off x="1028700" y="60102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219075</xdr:rowOff>
    </xdr:to>
    <xdr:sp macro="" textlink="">
      <xdr:nvSpPr>
        <xdr:cNvPr id="169572" name="AutoShape 13">
          <a:extLst>
            <a:ext uri="{FF2B5EF4-FFF2-40B4-BE49-F238E27FC236}">
              <a16:creationId xmlns:a16="http://schemas.microsoft.com/office/drawing/2014/main" id="{585DB86C-9F72-400B-8580-4B9C7B9FF137}"/>
            </a:ext>
          </a:extLst>
        </xdr:cNvPr>
        <xdr:cNvSpPr>
          <a:spLocks/>
        </xdr:cNvSpPr>
      </xdr:nvSpPr>
      <xdr:spPr bwMode="auto">
        <a:xfrm>
          <a:off x="1028700" y="115347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219075</xdr:rowOff>
    </xdr:to>
    <xdr:sp macro="" textlink="">
      <xdr:nvSpPr>
        <xdr:cNvPr id="169573" name="AutoShape 14">
          <a:extLst>
            <a:ext uri="{FF2B5EF4-FFF2-40B4-BE49-F238E27FC236}">
              <a16:creationId xmlns:a16="http://schemas.microsoft.com/office/drawing/2014/main" id="{4FE8C303-B07B-4751-8B33-1C546EB94FDE}"/>
            </a:ext>
          </a:extLst>
        </xdr:cNvPr>
        <xdr:cNvSpPr>
          <a:spLocks/>
        </xdr:cNvSpPr>
      </xdr:nvSpPr>
      <xdr:spPr bwMode="auto">
        <a:xfrm>
          <a:off x="1028700" y="120872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219075</xdr:rowOff>
    </xdr:to>
    <xdr:sp macro="" textlink="">
      <xdr:nvSpPr>
        <xdr:cNvPr id="169574" name="AutoShape 15">
          <a:extLst>
            <a:ext uri="{FF2B5EF4-FFF2-40B4-BE49-F238E27FC236}">
              <a16:creationId xmlns:a16="http://schemas.microsoft.com/office/drawing/2014/main" id="{3E6D0E9C-E30B-44DD-B01B-C9B9E548E954}"/>
            </a:ext>
          </a:extLst>
        </xdr:cNvPr>
        <xdr:cNvSpPr>
          <a:spLocks/>
        </xdr:cNvSpPr>
      </xdr:nvSpPr>
      <xdr:spPr bwMode="auto">
        <a:xfrm>
          <a:off x="1028700" y="126396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219075</xdr:rowOff>
    </xdr:to>
    <xdr:sp macro="" textlink="">
      <xdr:nvSpPr>
        <xdr:cNvPr id="169575" name="AutoShape 16">
          <a:extLst>
            <a:ext uri="{FF2B5EF4-FFF2-40B4-BE49-F238E27FC236}">
              <a16:creationId xmlns:a16="http://schemas.microsoft.com/office/drawing/2014/main" id="{00AC6F58-5642-4BFD-8626-CB2DA7486D93}"/>
            </a:ext>
          </a:extLst>
        </xdr:cNvPr>
        <xdr:cNvSpPr>
          <a:spLocks/>
        </xdr:cNvSpPr>
      </xdr:nvSpPr>
      <xdr:spPr bwMode="auto">
        <a:xfrm>
          <a:off x="1028700" y="131921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219075</xdr:rowOff>
    </xdr:to>
    <xdr:sp macro="" textlink="">
      <xdr:nvSpPr>
        <xdr:cNvPr id="169576" name="AutoShape 17">
          <a:extLst>
            <a:ext uri="{FF2B5EF4-FFF2-40B4-BE49-F238E27FC236}">
              <a16:creationId xmlns:a16="http://schemas.microsoft.com/office/drawing/2014/main" id="{D61E83C3-279C-4F19-8107-FF6DB7664C20}"/>
            </a:ext>
          </a:extLst>
        </xdr:cNvPr>
        <xdr:cNvSpPr>
          <a:spLocks/>
        </xdr:cNvSpPr>
      </xdr:nvSpPr>
      <xdr:spPr bwMode="auto">
        <a:xfrm>
          <a:off x="1028700" y="137445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219075</xdr:rowOff>
    </xdr:to>
    <xdr:sp macro="" textlink="">
      <xdr:nvSpPr>
        <xdr:cNvPr id="169577" name="AutoShape 18">
          <a:extLst>
            <a:ext uri="{FF2B5EF4-FFF2-40B4-BE49-F238E27FC236}">
              <a16:creationId xmlns:a16="http://schemas.microsoft.com/office/drawing/2014/main" id="{E82858F0-077C-4CD5-B54C-491AA3E42838}"/>
            </a:ext>
          </a:extLst>
        </xdr:cNvPr>
        <xdr:cNvSpPr>
          <a:spLocks/>
        </xdr:cNvSpPr>
      </xdr:nvSpPr>
      <xdr:spPr bwMode="auto">
        <a:xfrm>
          <a:off x="1028700" y="142970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219075</xdr:rowOff>
    </xdr:to>
    <xdr:sp macro="" textlink="">
      <xdr:nvSpPr>
        <xdr:cNvPr id="169578" name="AutoShape 19">
          <a:extLst>
            <a:ext uri="{FF2B5EF4-FFF2-40B4-BE49-F238E27FC236}">
              <a16:creationId xmlns:a16="http://schemas.microsoft.com/office/drawing/2014/main" id="{942BE116-3F2E-439C-9D46-481770E3E061}"/>
            </a:ext>
          </a:extLst>
        </xdr:cNvPr>
        <xdr:cNvSpPr>
          <a:spLocks/>
        </xdr:cNvSpPr>
      </xdr:nvSpPr>
      <xdr:spPr bwMode="auto">
        <a:xfrm>
          <a:off x="1028700" y="148494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219075</xdr:rowOff>
    </xdr:to>
    <xdr:sp macro="" textlink="">
      <xdr:nvSpPr>
        <xdr:cNvPr id="169579" name="AutoShape 20">
          <a:extLst>
            <a:ext uri="{FF2B5EF4-FFF2-40B4-BE49-F238E27FC236}">
              <a16:creationId xmlns:a16="http://schemas.microsoft.com/office/drawing/2014/main" id="{3BFE1856-0F9D-482A-A6CC-DE4FD57AB31A}"/>
            </a:ext>
          </a:extLst>
        </xdr:cNvPr>
        <xdr:cNvSpPr>
          <a:spLocks/>
        </xdr:cNvSpPr>
      </xdr:nvSpPr>
      <xdr:spPr bwMode="auto">
        <a:xfrm>
          <a:off x="1028700" y="159543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219075</xdr:rowOff>
    </xdr:to>
    <xdr:sp macro="" textlink="">
      <xdr:nvSpPr>
        <xdr:cNvPr id="169580" name="AutoShape 21">
          <a:extLst>
            <a:ext uri="{FF2B5EF4-FFF2-40B4-BE49-F238E27FC236}">
              <a16:creationId xmlns:a16="http://schemas.microsoft.com/office/drawing/2014/main" id="{00147E92-CC7F-43B8-9B85-61B3B78133FB}"/>
            </a:ext>
          </a:extLst>
        </xdr:cNvPr>
        <xdr:cNvSpPr>
          <a:spLocks/>
        </xdr:cNvSpPr>
      </xdr:nvSpPr>
      <xdr:spPr bwMode="auto">
        <a:xfrm>
          <a:off x="1028700" y="154019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219075</xdr:rowOff>
    </xdr:to>
    <xdr:sp macro="" textlink="">
      <xdr:nvSpPr>
        <xdr:cNvPr id="169581" name="AutoShape 22">
          <a:extLst>
            <a:ext uri="{FF2B5EF4-FFF2-40B4-BE49-F238E27FC236}">
              <a16:creationId xmlns:a16="http://schemas.microsoft.com/office/drawing/2014/main" id="{50B1A79A-BAF9-41CE-ABD1-8414EA899C12}"/>
            </a:ext>
          </a:extLst>
        </xdr:cNvPr>
        <xdr:cNvSpPr>
          <a:spLocks/>
        </xdr:cNvSpPr>
      </xdr:nvSpPr>
      <xdr:spPr bwMode="auto">
        <a:xfrm>
          <a:off x="1028700" y="1042987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219075</xdr:rowOff>
    </xdr:to>
    <xdr:sp macro="" textlink="">
      <xdr:nvSpPr>
        <xdr:cNvPr id="169582" name="AutoShape 23">
          <a:extLst>
            <a:ext uri="{FF2B5EF4-FFF2-40B4-BE49-F238E27FC236}">
              <a16:creationId xmlns:a16="http://schemas.microsoft.com/office/drawing/2014/main" id="{3A94E34E-46AF-4078-AB9D-4EFE6A19208B}"/>
            </a:ext>
          </a:extLst>
        </xdr:cNvPr>
        <xdr:cNvSpPr>
          <a:spLocks/>
        </xdr:cNvSpPr>
      </xdr:nvSpPr>
      <xdr:spPr bwMode="auto">
        <a:xfrm>
          <a:off x="1028700" y="10982325"/>
          <a:ext cx="38100" cy="457200"/>
        </a:xfrm>
        <a:prstGeom prst="leftBrace">
          <a:avLst>
            <a:gd name="adj1" fmla="val 100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72557" name="AutoShape 1">
          <a:extLst>
            <a:ext uri="{FF2B5EF4-FFF2-40B4-BE49-F238E27FC236}">
              <a16:creationId xmlns:a16="http://schemas.microsoft.com/office/drawing/2014/main" id="{D9F790C3-9DCD-4319-B13F-B1EA5E92F88B}"/>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72558" name="AutoShape 2">
          <a:extLst>
            <a:ext uri="{FF2B5EF4-FFF2-40B4-BE49-F238E27FC236}">
              <a16:creationId xmlns:a16="http://schemas.microsoft.com/office/drawing/2014/main" id="{BEF9D0D6-CE5E-4BB4-8D1E-8904B1C3CF07}"/>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72559" name="AutoShape 3">
          <a:extLst>
            <a:ext uri="{FF2B5EF4-FFF2-40B4-BE49-F238E27FC236}">
              <a16:creationId xmlns:a16="http://schemas.microsoft.com/office/drawing/2014/main" id="{93165192-E115-42AA-814F-CA45633F3C39}"/>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72560" name="AutoShape 4">
          <a:extLst>
            <a:ext uri="{FF2B5EF4-FFF2-40B4-BE49-F238E27FC236}">
              <a16:creationId xmlns:a16="http://schemas.microsoft.com/office/drawing/2014/main" id="{3798FB9C-2438-4F24-BD98-A1EC8F68FCC8}"/>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72561" name="AutoShape 5">
          <a:extLst>
            <a:ext uri="{FF2B5EF4-FFF2-40B4-BE49-F238E27FC236}">
              <a16:creationId xmlns:a16="http://schemas.microsoft.com/office/drawing/2014/main" id="{D2BCA740-115C-45E4-A6A9-CD4A590EF7E1}"/>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72562" name="AutoShape 6">
          <a:extLst>
            <a:ext uri="{FF2B5EF4-FFF2-40B4-BE49-F238E27FC236}">
              <a16:creationId xmlns:a16="http://schemas.microsoft.com/office/drawing/2014/main" id="{3F5D83CF-66E5-4680-A7B5-7621292B7220}"/>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72563" name="AutoShape 7">
          <a:extLst>
            <a:ext uri="{FF2B5EF4-FFF2-40B4-BE49-F238E27FC236}">
              <a16:creationId xmlns:a16="http://schemas.microsoft.com/office/drawing/2014/main" id="{F9F75534-C3EF-4864-8EFB-759D14FA5F1C}"/>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72564" name="AutoShape 8">
          <a:extLst>
            <a:ext uri="{FF2B5EF4-FFF2-40B4-BE49-F238E27FC236}">
              <a16:creationId xmlns:a16="http://schemas.microsoft.com/office/drawing/2014/main" id="{427E123E-4075-4E42-88AB-19EAAE04213D}"/>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72565" name="AutoShape 9">
          <a:extLst>
            <a:ext uri="{FF2B5EF4-FFF2-40B4-BE49-F238E27FC236}">
              <a16:creationId xmlns:a16="http://schemas.microsoft.com/office/drawing/2014/main" id="{ED418A7E-6443-4090-AA81-C99D1379FD52}"/>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72566" name="AutoShape 10">
          <a:extLst>
            <a:ext uri="{FF2B5EF4-FFF2-40B4-BE49-F238E27FC236}">
              <a16:creationId xmlns:a16="http://schemas.microsoft.com/office/drawing/2014/main" id="{BAB5AD16-F51C-452F-9C77-A3CA8A3D16B8}"/>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72567" name="AutoShape 11">
          <a:extLst>
            <a:ext uri="{FF2B5EF4-FFF2-40B4-BE49-F238E27FC236}">
              <a16:creationId xmlns:a16="http://schemas.microsoft.com/office/drawing/2014/main" id="{DE930FB8-4514-480A-A736-0FE6FF68BB19}"/>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72568" name="AutoShape 12">
          <a:extLst>
            <a:ext uri="{FF2B5EF4-FFF2-40B4-BE49-F238E27FC236}">
              <a16:creationId xmlns:a16="http://schemas.microsoft.com/office/drawing/2014/main" id="{6EA851D0-444A-4D05-A7D6-86E415B4CEDC}"/>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72569" name="AutoShape 13">
          <a:extLst>
            <a:ext uri="{FF2B5EF4-FFF2-40B4-BE49-F238E27FC236}">
              <a16:creationId xmlns:a16="http://schemas.microsoft.com/office/drawing/2014/main" id="{6DE535F8-EE4A-498F-9E3A-613E97CA901E}"/>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72570" name="AutoShape 14">
          <a:extLst>
            <a:ext uri="{FF2B5EF4-FFF2-40B4-BE49-F238E27FC236}">
              <a16:creationId xmlns:a16="http://schemas.microsoft.com/office/drawing/2014/main" id="{BA0A2779-08D7-49C6-BF85-92FF906BD73B}"/>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72571" name="AutoShape 15">
          <a:extLst>
            <a:ext uri="{FF2B5EF4-FFF2-40B4-BE49-F238E27FC236}">
              <a16:creationId xmlns:a16="http://schemas.microsoft.com/office/drawing/2014/main" id="{599393D7-82F8-4B80-8731-6F6F8F134CCC}"/>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72572" name="AutoShape 16">
          <a:extLst>
            <a:ext uri="{FF2B5EF4-FFF2-40B4-BE49-F238E27FC236}">
              <a16:creationId xmlns:a16="http://schemas.microsoft.com/office/drawing/2014/main" id="{36C8A56D-E34A-4C25-A7FE-99DA13FD9915}"/>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72573" name="AutoShape 17">
          <a:extLst>
            <a:ext uri="{FF2B5EF4-FFF2-40B4-BE49-F238E27FC236}">
              <a16:creationId xmlns:a16="http://schemas.microsoft.com/office/drawing/2014/main" id="{D3460420-7578-4D5C-BF84-562DA1135EE3}"/>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72574" name="AutoShape 18">
          <a:extLst>
            <a:ext uri="{FF2B5EF4-FFF2-40B4-BE49-F238E27FC236}">
              <a16:creationId xmlns:a16="http://schemas.microsoft.com/office/drawing/2014/main" id="{BCF32BAF-17FA-4FA3-BEB1-9981F4274D35}"/>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72575" name="AutoShape 19">
          <a:extLst>
            <a:ext uri="{FF2B5EF4-FFF2-40B4-BE49-F238E27FC236}">
              <a16:creationId xmlns:a16="http://schemas.microsoft.com/office/drawing/2014/main" id="{9E8E5B3A-E308-430D-8B3A-E8D8307BE8DC}"/>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72576" name="AutoShape 20">
          <a:extLst>
            <a:ext uri="{FF2B5EF4-FFF2-40B4-BE49-F238E27FC236}">
              <a16:creationId xmlns:a16="http://schemas.microsoft.com/office/drawing/2014/main" id="{4EA536B8-EB0A-4706-A851-D17865216F17}"/>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72577" name="AutoShape 21">
          <a:extLst>
            <a:ext uri="{FF2B5EF4-FFF2-40B4-BE49-F238E27FC236}">
              <a16:creationId xmlns:a16="http://schemas.microsoft.com/office/drawing/2014/main" id="{6A8B48F4-13A3-48ED-B11B-FAB0361490B6}"/>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72578" name="AutoShape 22">
          <a:extLst>
            <a:ext uri="{FF2B5EF4-FFF2-40B4-BE49-F238E27FC236}">
              <a16:creationId xmlns:a16="http://schemas.microsoft.com/office/drawing/2014/main" id="{FE12997D-2424-45E9-AAA5-324AA22871A6}"/>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72579" name="AutoShape 23">
          <a:extLst>
            <a:ext uri="{FF2B5EF4-FFF2-40B4-BE49-F238E27FC236}">
              <a16:creationId xmlns:a16="http://schemas.microsoft.com/office/drawing/2014/main" id="{81498F62-E03E-4A95-9913-1476513D105D}"/>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85725</xdr:colOff>
      <xdr:row>11</xdr:row>
      <xdr:rowOff>38100</xdr:rowOff>
    </xdr:from>
    <xdr:to>
      <xdr:col>1</xdr:col>
      <xdr:colOff>161925</xdr:colOff>
      <xdr:row>12</xdr:row>
      <xdr:rowOff>209550</xdr:rowOff>
    </xdr:to>
    <xdr:sp macro="" textlink="">
      <xdr:nvSpPr>
        <xdr:cNvPr id="178448" name="AutoShape 1">
          <a:extLst>
            <a:ext uri="{FF2B5EF4-FFF2-40B4-BE49-F238E27FC236}">
              <a16:creationId xmlns:a16="http://schemas.microsoft.com/office/drawing/2014/main" id="{29B7C976-B1CE-4AC6-939F-E5655415CAF9}"/>
            </a:ext>
          </a:extLst>
        </xdr:cNvPr>
        <xdr:cNvSpPr>
          <a:spLocks/>
        </xdr:cNvSpPr>
      </xdr:nvSpPr>
      <xdr:spPr bwMode="auto">
        <a:xfrm>
          <a:off x="1028700" y="3800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15</xdr:row>
      <xdr:rowOff>38100</xdr:rowOff>
    </xdr:from>
    <xdr:to>
      <xdr:col>1</xdr:col>
      <xdr:colOff>161925</xdr:colOff>
      <xdr:row>16</xdr:row>
      <xdr:rowOff>209550</xdr:rowOff>
    </xdr:to>
    <xdr:sp macro="" textlink="">
      <xdr:nvSpPr>
        <xdr:cNvPr id="178449" name="AutoShape 2">
          <a:extLst>
            <a:ext uri="{FF2B5EF4-FFF2-40B4-BE49-F238E27FC236}">
              <a16:creationId xmlns:a16="http://schemas.microsoft.com/office/drawing/2014/main" id="{0A0C2C6D-3DC5-48A9-A5B2-E5D274EAB539}"/>
            </a:ext>
          </a:extLst>
        </xdr:cNvPr>
        <xdr:cNvSpPr>
          <a:spLocks/>
        </xdr:cNvSpPr>
      </xdr:nvSpPr>
      <xdr:spPr bwMode="auto">
        <a:xfrm>
          <a:off x="1028700" y="4905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25</xdr:row>
      <xdr:rowOff>38100</xdr:rowOff>
    </xdr:from>
    <xdr:to>
      <xdr:col>1</xdr:col>
      <xdr:colOff>161925</xdr:colOff>
      <xdr:row>26</xdr:row>
      <xdr:rowOff>209550</xdr:rowOff>
    </xdr:to>
    <xdr:sp macro="" textlink="">
      <xdr:nvSpPr>
        <xdr:cNvPr id="178450" name="AutoShape 3">
          <a:extLst>
            <a:ext uri="{FF2B5EF4-FFF2-40B4-BE49-F238E27FC236}">
              <a16:creationId xmlns:a16="http://schemas.microsoft.com/office/drawing/2014/main" id="{88CCC245-31DD-4BB3-AB72-4644F3D9382B}"/>
            </a:ext>
          </a:extLst>
        </xdr:cNvPr>
        <xdr:cNvSpPr>
          <a:spLocks/>
        </xdr:cNvSpPr>
      </xdr:nvSpPr>
      <xdr:spPr bwMode="auto">
        <a:xfrm>
          <a:off x="1028700" y="76676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13</xdr:row>
      <xdr:rowOff>38100</xdr:rowOff>
    </xdr:from>
    <xdr:to>
      <xdr:col>1</xdr:col>
      <xdr:colOff>161925</xdr:colOff>
      <xdr:row>14</xdr:row>
      <xdr:rowOff>209550</xdr:rowOff>
    </xdr:to>
    <xdr:sp macro="" textlink="">
      <xdr:nvSpPr>
        <xdr:cNvPr id="178451" name="AutoShape 4">
          <a:extLst>
            <a:ext uri="{FF2B5EF4-FFF2-40B4-BE49-F238E27FC236}">
              <a16:creationId xmlns:a16="http://schemas.microsoft.com/office/drawing/2014/main" id="{37D4D737-F71B-44FF-AEB7-697C649B3318}"/>
            </a:ext>
          </a:extLst>
        </xdr:cNvPr>
        <xdr:cNvSpPr>
          <a:spLocks/>
        </xdr:cNvSpPr>
      </xdr:nvSpPr>
      <xdr:spPr bwMode="auto">
        <a:xfrm>
          <a:off x="1028700" y="4352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29</xdr:row>
      <xdr:rowOff>38100</xdr:rowOff>
    </xdr:from>
    <xdr:to>
      <xdr:col>1</xdr:col>
      <xdr:colOff>161925</xdr:colOff>
      <xdr:row>30</xdr:row>
      <xdr:rowOff>209550</xdr:rowOff>
    </xdr:to>
    <xdr:sp macro="" textlink="">
      <xdr:nvSpPr>
        <xdr:cNvPr id="178452" name="AutoShape 5">
          <a:extLst>
            <a:ext uri="{FF2B5EF4-FFF2-40B4-BE49-F238E27FC236}">
              <a16:creationId xmlns:a16="http://schemas.microsoft.com/office/drawing/2014/main" id="{CB652A27-BD64-450E-A074-F7BF53B369AC}"/>
            </a:ext>
          </a:extLst>
        </xdr:cNvPr>
        <xdr:cNvSpPr>
          <a:spLocks/>
        </xdr:cNvSpPr>
      </xdr:nvSpPr>
      <xdr:spPr bwMode="auto">
        <a:xfrm>
          <a:off x="1028700" y="87725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31</xdr:row>
      <xdr:rowOff>38100</xdr:rowOff>
    </xdr:from>
    <xdr:to>
      <xdr:col>1</xdr:col>
      <xdr:colOff>161925</xdr:colOff>
      <xdr:row>32</xdr:row>
      <xdr:rowOff>209550</xdr:rowOff>
    </xdr:to>
    <xdr:sp macro="" textlink="">
      <xdr:nvSpPr>
        <xdr:cNvPr id="178453" name="AutoShape 6">
          <a:extLst>
            <a:ext uri="{FF2B5EF4-FFF2-40B4-BE49-F238E27FC236}">
              <a16:creationId xmlns:a16="http://schemas.microsoft.com/office/drawing/2014/main" id="{6E407F95-EB92-4636-BAF5-81D5E42FA62C}"/>
            </a:ext>
          </a:extLst>
        </xdr:cNvPr>
        <xdr:cNvSpPr>
          <a:spLocks/>
        </xdr:cNvSpPr>
      </xdr:nvSpPr>
      <xdr:spPr bwMode="auto">
        <a:xfrm>
          <a:off x="1028700" y="93249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33</xdr:row>
      <xdr:rowOff>38100</xdr:rowOff>
    </xdr:from>
    <xdr:to>
      <xdr:col>1</xdr:col>
      <xdr:colOff>161925</xdr:colOff>
      <xdr:row>34</xdr:row>
      <xdr:rowOff>209550</xdr:rowOff>
    </xdr:to>
    <xdr:sp macro="" textlink="">
      <xdr:nvSpPr>
        <xdr:cNvPr id="178454" name="AutoShape 7">
          <a:extLst>
            <a:ext uri="{FF2B5EF4-FFF2-40B4-BE49-F238E27FC236}">
              <a16:creationId xmlns:a16="http://schemas.microsoft.com/office/drawing/2014/main" id="{DB0C47F4-64C9-4605-B06F-605514B3DC1A}"/>
            </a:ext>
          </a:extLst>
        </xdr:cNvPr>
        <xdr:cNvSpPr>
          <a:spLocks/>
        </xdr:cNvSpPr>
      </xdr:nvSpPr>
      <xdr:spPr bwMode="auto">
        <a:xfrm>
          <a:off x="1028700" y="98774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35</xdr:row>
      <xdr:rowOff>38100</xdr:rowOff>
    </xdr:from>
    <xdr:to>
      <xdr:col>1</xdr:col>
      <xdr:colOff>161925</xdr:colOff>
      <xdr:row>36</xdr:row>
      <xdr:rowOff>209550</xdr:rowOff>
    </xdr:to>
    <xdr:sp macro="" textlink="">
      <xdr:nvSpPr>
        <xdr:cNvPr id="178455" name="AutoShape 8">
          <a:extLst>
            <a:ext uri="{FF2B5EF4-FFF2-40B4-BE49-F238E27FC236}">
              <a16:creationId xmlns:a16="http://schemas.microsoft.com/office/drawing/2014/main" id="{4D062DBB-C43F-4DA9-95F8-0C622F0F98DA}"/>
            </a:ext>
          </a:extLst>
        </xdr:cNvPr>
        <xdr:cNvSpPr>
          <a:spLocks/>
        </xdr:cNvSpPr>
      </xdr:nvSpPr>
      <xdr:spPr bwMode="auto">
        <a:xfrm>
          <a:off x="1028700" y="104298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37</xdr:row>
      <xdr:rowOff>38100</xdr:rowOff>
    </xdr:from>
    <xdr:to>
      <xdr:col>1</xdr:col>
      <xdr:colOff>161925</xdr:colOff>
      <xdr:row>38</xdr:row>
      <xdr:rowOff>209550</xdr:rowOff>
    </xdr:to>
    <xdr:sp macro="" textlink="">
      <xdr:nvSpPr>
        <xdr:cNvPr id="178456" name="AutoShape 9">
          <a:extLst>
            <a:ext uri="{FF2B5EF4-FFF2-40B4-BE49-F238E27FC236}">
              <a16:creationId xmlns:a16="http://schemas.microsoft.com/office/drawing/2014/main" id="{FE9A02FF-3041-4E44-B093-79F074622155}"/>
            </a:ext>
          </a:extLst>
        </xdr:cNvPr>
        <xdr:cNvSpPr>
          <a:spLocks/>
        </xdr:cNvSpPr>
      </xdr:nvSpPr>
      <xdr:spPr bwMode="auto">
        <a:xfrm>
          <a:off x="1028700" y="109823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39</xdr:row>
      <xdr:rowOff>38100</xdr:rowOff>
    </xdr:from>
    <xdr:to>
      <xdr:col>1</xdr:col>
      <xdr:colOff>161925</xdr:colOff>
      <xdr:row>40</xdr:row>
      <xdr:rowOff>209550</xdr:rowOff>
    </xdr:to>
    <xdr:sp macro="" textlink="">
      <xdr:nvSpPr>
        <xdr:cNvPr id="178457" name="AutoShape 10">
          <a:extLst>
            <a:ext uri="{FF2B5EF4-FFF2-40B4-BE49-F238E27FC236}">
              <a16:creationId xmlns:a16="http://schemas.microsoft.com/office/drawing/2014/main" id="{FA4117AB-F4CA-4EEE-B776-186B775FB4B9}"/>
            </a:ext>
          </a:extLst>
        </xdr:cNvPr>
        <xdr:cNvSpPr>
          <a:spLocks/>
        </xdr:cNvSpPr>
      </xdr:nvSpPr>
      <xdr:spPr bwMode="auto">
        <a:xfrm>
          <a:off x="1028700" y="115347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17</xdr:row>
      <xdr:rowOff>38100</xdr:rowOff>
    </xdr:from>
    <xdr:to>
      <xdr:col>1</xdr:col>
      <xdr:colOff>161925</xdr:colOff>
      <xdr:row>18</xdr:row>
      <xdr:rowOff>209550</xdr:rowOff>
    </xdr:to>
    <xdr:sp macro="" textlink="">
      <xdr:nvSpPr>
        <xdr:cNvPr id="178458" name="AutoShape 11">
          <a:extLst>
            <a:ext uri="{FF2B5EF4-FFF2-40B4-BE49-F238E27FC236}">
              <a16:creationId xmlns:a16="http://schemas.microsoft.com/office/drawing/2014/main" id="{442B1D53-53C9-4C2B-9549-5063F7B951C4}"/>
            </a:ext>
          </a:extLst>
        </xdr:cNvPr>
        <xdr:cNvSpPr>
          <a:spLocks/>
        </xdr:cNvSpPr>
      </xdr:nvSpPr>
      <xdr:spPr bwMode="auto">
        <a:xfrm>
          <a:off x="1028700" y="5457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21</xdr:row>
      <xdr:rowOff>38100</xdr:rowOff>
    </xdr:from>
    <xdr:to>
      <xdr:col>1</xdr:col>
      <xdr:colOff>161925</xdr:colOff>
      <xdr:row>22</xdr:row>
      <xdr:rowOff>209550</xdr:rowOff>
    </xdr:to>
    <xdr:sp macro="" textlink="">
      <xdr:nvSpPr>
        <xdr:cNvPr id="178459" name="AutoShape 12">
          <a:extLst>
            <a:ext uri="{FF2B5EF4-FFF2-40B4-BE49-F238E27FC236}">
              <a16:creationId xmlns:a16="http://schemas.microsoft.com/office/drawing/2014/main" id="{D8ED6322-EB79-47D8-AA7E-1D13C4F1EBD2}"/>
            </a:ext>
          </a:extLst>
        </xdr:cNvPr>
        <xdr:cNvSpPr>
          <a:spLocks/>
        </xdr:cNvSpPr>
      </xdr:nvSpPr>
      <xdr:spPr bwMode="auto">
        <a:xfrm>
          <a:off x="1028700" y="6562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45</xdr:row>
      <xdr:rowOff>38100</xdr:rowOff>
    </xdr:from>
    <xdr:to>
      <xdr:col>1</xdr:col>
      <xdr:colOff>161925</xdr:colOff>
      <xdr:row>46</xdr:row>
      <xdr:rowOff>209550</xdr:rowOff>
    </xdr:to>
    <xdr:sp macro="" textlink="">
      <xdr:nvSpPr>
        <xdr:cNvPr id="178460" name="AutoShape 13">
          <a:extLst>
            <a:ext uri="{FF2B5EF4-FFF2-40B4-BE49-F238E27FC236}">
              <a16:creationId xmlns:a16="http://schemas.microsoft.com/office/drawing/2014/main" id="{81C4EF08-4E57-42BA-98FA-52E1E0CAF65A}"/>
            </a:ext>
          </a:extLst>
        </xdr:cNvPr>
        <xdr:cNvSpPr>
          <a:spLocks/>
        </xdr:cNvSpPr>
      </xdr:nvSpPr>
      <xdr:spPr bwMode="auto">
        <a:xfrm>
          <a:off x="1028700" y="131921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47</xdr:row>
      <xdr:rowOff>38100</xdr:rowOff>
    </xdr:from>
    <xdr:to>
      <xdr:col>1</xdr:col>
      <xdr:colOff>161925</xdr:colOff>
      <xdr:row>48</xdr:row>
      <xdr:rowOff>209550</xdr:rowOff>
    </xdr:to>
    <xdr:sp macro="" textlink="">
      <xdr:nvSpPr>
        <xdr:cNvPr id="178461" name="AutoShape 14">
          <a:extLst>
            <a:ext uri="{FF2B5EF4-FFF2-40B4-BE49-F238E27FC236}">
              <a16:creationId xmlns:a16="http://schemas.microsoft.com/office/drawing/2014/main" id="{37BB22D9-6BFE-4161-A449-2D54D57FD62B}"/>
            </a:ext>
          </a:extLst>
        </xdr:cNvPr>
        <xdr:cNvSpPr>
          <a:spLocks/>
        </xdr:cNvSpPr>
      </xdr:nvSpPr>
      <xdr:spPr bwMode="auto">
        <a:xfrm>
          <a:off x="1028700" y="137445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49</xdr:row>
      <xdr:rowOff>38100</xdr:rowOff>
    </xdr:from>
    <xdr:to>
      <xdr:col>1</xdr:col>
      <xdr:colOff>161925</xdr:colOff>
      <xdr:row>50</xdr:row>
      <xdr:rowOff>209550</xdr:rowOff>
    </xdr:to>
    <xdr:sp macro="" textlink="">
      <xdr:nvSpPr>
        <xdr:cNvPr id="178462" name="AutoShape 15">
          <a:extLst>
            <a:ext uri="{FF2B5EF4-FFF2-40B4-BE49-F238E27FC236}">
              <a16:creationId xmlns:a16="http://schemas.microsoft.com/office/drawing/2014/main" id="{A43A432F-CC48-4FA4-9222-0ED01F98BE5A}"/>
            </a:ext>
          </a:extLst>
        </xdr:cNvPr>
        <xdr:cNvSpPr>
          <a:spLocks/>
        </xdr:cNvSpPr>
      </xdr:nvSpPr>
      <xdr:spPr bwMode="auto">
        <a:xfrm>
          <a:off x="1028700" y="142970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51</xdr:row>
      <xdr:rowOff>38100</xdr:rowOff>
    </xdr:from>
    <xdr:to>
      <xdr:col>1</xdr:col>
      <xdr:colOff>161925</xdr:colOff>
      <xdr:row>52</xdr:row>
      <xdr:rowOff>209550</xdr:rowOff>
    </xdr:to>
    <xdr:sp macro="" textlink="">
      <xdr:nvSpPr>
        <xdr:cNvPr id="178463" name="AutoShape 16">
          <a:extLst>
            <a:ext uri="{FF2B5EF4-FFF2-40B4-BE49-F238E27FC236}">
              <a16:creationId xmlns:a16="http://schemas.microsoft.com/office/drawing/2014/main" id="{82176830-4CAA-43CF-9B2B-A2EFF75F8363}"/>
            </a:ext>
          </a:extLst>
        </xdr:cNvPr>
        <xdr:cNvSpPr>
          <a:spLocks/>
        </xdr:cNvSpPr>
      </xdr:nvSpPr>
      <xdr:spPr bwMode="auto">
        <a:xfrm>
          <a:off x="1028700" y="148494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53</xdr:row>
      <xdr:rowOff>38100</xdr:rowOff>
    </xdr:from>
    <xdr:to>
      <xdr:col>1</xdr:col>
      <xdr:colOff>161925</xdr:colOff>
      <xdr:row>54</xdr:row>
      <xdr:rowOff>209550</xdr:rowOff>
    </xdr:to>
    <xdr:sp macro="" textlink="">
      <xdr:nvSpPr>
        <xdr:cNvPr id="178464" name="AutoShape 17">
          <a:extLst>
            <a:ext uri="{FF2B5EF4-FFF2-40B4-BE49-F238E27FC236}">
              <a16:creationId xmlns:a16="http://schemas.microsoft.com/office/drawing/2014/main" id="{907FE52E-D3F3-4D58-A8A3-B8764CE36B9F}"/>
            </a:ext>
          </a:extLst>
        </xdr:cNvPr>
        <xdr:cNvSpPr>
          <a:spLocks/>
        </xdr:cNvSpPr>
      </xdr:nvSpPr>
      <xdr:spPr bwMode="auto">
        <a:xfrm>
          <a:off x="1028700" y="154019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55</xdr:row>
      <xdr:rowOff>38100</xdr:rowOff>
    </xdr:from>
    <xdr:to>
      <xdr:col>1</xdr:col>
      <xdr:colOff>161925</xdr:colOff>
      <xdr:row>56</xdr:row>
      <xdr:rowOff>209550</xdr:rowOff>
    </xdr:to>
    <xdr:sp macro="" textlink="">
      <xdr:nvSpPr>
        <xdr:cNvPr id="178465" name="AutoShape 18">
          <a:extLst>
            <a:ext uri="{FF2B5EF4-FFF2-40B4-BE49-F238E27FC236}">
              <a16:creationId xmlns:a16="http://schemas.microsoft.com/office/drawing/2014/main" id="{F653BBEB-1D2F-475A-B544-50498826B7FD}"/>
            </a:ext>
          </a:extLst>
        </xdr:cNvPr>
        <xdr:cNvSpPr>
          <a:spLocks/>
        </xdr:cNvSpPr>
      </xdr:nvSpPr>
      <xdr:spPr bwMode="auto">
        <a:xfrm>
          <a:off x="1028700" y="159543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57</xdr:row>
      <xdr:rowOff>38100</xdr:rowOff>
    </xdr:from>
    <xdr:to>
      <xdr:col>1</xdr:col>
      <xdr:colOff>161925</xdr:colOff>
      <xdr:row>58</xdr:row>
      <xdr:rowOff>209550</xdr:rowOff>
    </xdr:to>
    <xdr:sp macro="" textlink="">
      <xdr:nvSpPr>
        <xdr:cNvPr id="178466" name="AutoShape 19">
          <a:extLst>
            <a:ext uri="{FF2B5EF4-FFF2-40B4-BE49-F238E27FC236}">
              <a16:creationId xmlns:a16="http://schemas.microsoft.com/office/drawing/2014/main" id="{4D0E1841-CB6B-4A26-8B13-17B6948B24A1}"/>
            </a:ext>
          </a:extLst>
        </xdr:cNvPr>
        <xdr:cNvSpPr>
          <a:spLocks/>
        </xdr:cNvSpPr>
      </xdr:nvSpPr>
      <xdr:spPr bwMode="auto">
        <a:xfrm>
          <a:off x="1028700" y="165068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61</xdr:row>
      <xdr:rowOff>38100</xdr:rowOff>
    </xdr:from>
    <xdr:to>
      <xdr:col>1</xdr:col>
      <xdr:colOff>161925</xdr:colOff>
      <xdr:row>62</xdr:row>
      <xdr:rowOff>209550</xdr:rowOff>
    </xdr:to>
    <xdr:sp macro="" textlink="">
      <xdr:nvSpPr>
        <xdr:cNvPr id="178467" name="AutoShape 20">
          <a:extLst>
            <a:ext uri="{FF2B5EF4-FFF2-40B4-BE49-F238E27FC236}">
              <a16:creationId xmlns:a16="http://schemas.microsoft.com/office/drawing/2014/main" id="{79F0FE36-444A-4FFD-A3C3-5291829276B8}"/>
            </a:ext>
          </a:extLst>
        </xdr:cNvPr>
        <xdr:cNvSpPr>
          <a:spLocks/>
        </xdr:cNvSpPr>
      </xdr:nvSpPr>
      <xdr:spPr bwMode="auto">
        <a:xfrm>
          <a:off x="1028700" y="176117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59</xdr:row>
      <xdr:rowOff>38100</xdr:rowOff>
    </xdr:from>
    <xdr:to>
      <xdr:col>1</xdr:col>
      <xdr:colOff>161925</xdr:colOff>
      <xdr:row>60</xdr:row>
      <xdr:rowOff>209550</xdr:rowOff>
    </xdr:to>
    <xdr:sp macro="" textlink="">
      <xdr:nvSpPr>
        <xdr:cNvPr id="178468" name="AutoShape 21">
          <a:extLst>
            <a:ext uri="{FF2B5EF4-FFF2-40B4-BE49-F238E27FC236}">
              <a16:creationId xmlns:a16="http://schemas.microsoft.com/office/drawing/2014/main" id="{F81E1DDC-5E43-43FB-B927-546F66E04BFA}"/>
            </a:ext>
          </a:extLst>
        </xdr:cNvPr>
        <xdr:cNvSpPr>
          <a:spLocks/>
        </xdr:cNvSpPr>
      </xdr:nvSpPr>
      <xdr:spPr bwMode="auto">
        <a:xfrm>
          <a:off x="1028700" y="17059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41</xdr:row>
      <xdr:rowOff>38100</xdr:rowOff>
    </xdr:from>
    <xdr:to>
      <xdr:col>1</xdr:col>
      <xdr:colOff>161925</xdr:colOff>
      <xdr:row>42</xdr:row>
      <xdr:rowOff>209550</xdr:rowOff>
    </xdr:to>
    <xdr:sp macro="" textlink="">
      <xdr:nvSpPr>
        <xdr:cNvPr id="178469" name="AutoShape 22">
          <a:extLst>
            <a:ext uri="{FF2B5EF4-FFF2-40B4-BE49-F238E27FC236}">
              <a16:creationId xmlns:a16="http://schemas.microsoft.com/office/drawing/2014/main" id="{8A771C8D-A910-4BAC-93B9-5EC619E2D5EC}"/>
            </a:ext>
          </a:extLst>
        </xdr:cNvPr>
        <xdr:cNvSpPr>
          <a:spLocks/>
        </xdr:cNvSpPr>
      </xdr:nvSpPr>
      <xdr:spPr bwMode="auto">
        <a:xfrm>
          <a:off x="1028700" y="1208722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43</xdr:row>
      <xdr:rowOff>38100</xdr:rowOff>
    </xdr:from>
    <xdr:to>
      <xdr:col>1</xdr:col>
      <xdr:colOff>161925</xdr:colOff>
      <xdr:row>44</xdr:row>
      <xdr:rowOff>209550</xdr:rowOff>
    </xdr:to>
    <xdr:sp macro="" textlink="">
      <xdr:nvSpPr>
        <xdr:cNvPr id="178470" name="AutoShape 23">
          <a:extLst>
            <a:ext uri="{FF2B5EF4-FFF2-40B4-BE49-F238E27FC236}">
              <a16:creationId xmlns:a16="http://schemas.microsoft.com/office/drawing/2014/main" id="{57D7A74B-89D0-47DC-A0E0-26628847B0DC}"/>
            </a:ext>
          </a:extLst>
        </xdr:cNvPr>
        <xdr:cNvSpPr>
          <a:spLocks/>
        </xdr:cNvSpPr>
      </xdr:nvSpPr>
      <xdr:spPr bwMode="auto">
        <a:xfrm>
          <a:off x="1028700" y="126396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19</xdr:row>
      <xdr:rowOff>38100</xdr:rowOff>
    </xdr:from>
    <xdr:to>
      <xdr:col>1</xdr:col>
      <xdr:colOff>161925</xdr:colOff>
      <xdr:row>20</xdr:row>
      <xdr:rowOff>209550</xdr:rowOff>
    </xdr:to>
    <xdr:sp macro="" textlink="">
      <xdr:nvSpPr>
        <xdr:cNvPr id="178471" name="AutoShape 12">
          <a:extLst>
            <a:ext uri="{FF2B5EF4-FFF2-40B4-BE49-F238E27FC236}">
              <a16:creationId xmlns:a16="http://schemas.microsoft.com/office/drawing/2014/main" id="{61E84B20-E64F-46D6-93FB-BCEFBA5D47A1}"/>
            </a:ext>
          </a:extLst>
        </xdr:cNvPr>
        <xdr:cNvSpPr>
          <a:spLocks/>
        </xdr:cNvSpPr>
      </xdr:nvSpPr>
      <xdr:spPr bwMode="auto">
        <a:xfrm>
          <a:off x="1028700" y="60102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23</xdr:row>
      <xdr:rowOff>38100</xdr:rowOff>
    </xdr:from>
    <xdr:to>
      <xdr:col>1</xdr:col>
      <xdr:colOff>161925</xdr:colOff>
      <xdr:row>24</xdr:row>
      <xdr:rowOff>209550</xdr:rowOff>
    </xdr:to>
    <xdr:sp macro="" textlink="">
      <xdr:nvSpPr>
        <xdr:cNvPr id="178472" name="AutoShape 12">
          <a:extLst>
            <a:ext uri="{FF2B5EF4-FFF2-40B4-BE49-F238E27FC236}">
              <a16:creationId xmlns:a16="http://schemas.microsoft.com/office/drawing/2014/main" id="{134D1021-B72C-4A0C-86D5-0725E606AAC3}"/>
            </a:ext>
          </a:extLst>
        </xdr:cNvPr>
        <xdr:cNvSpPr>
          <a:spLocks/>
        </xdr:cNvSpPr>
      </xdr:nvSpPr>
      <xdr:spPr bwMode="auto">
        <a:xfrm>
          <a:off x="1028700" y="71151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85725</xdr:colOff>
      <xdr:row>27</xdr:row>
      <xdr:rowOff>38100</xdr:rowOff>
    </xdr:from>
    <xdr:to>
      <xdr:col>1</xdr:col>
      <xdr:colOff>161925</xdr:colOff>
      <xdr:row>28</xdr:row>
      <xdr:rowOff>209550</xdr:rowOff>
    </xdr:to>
    <xdr:sp macro="" textlink="">
      <xdr:nvSpPr>
        <xdr:cNvPr id="178473" name="AutoShape 5">
          <a:extLst>
            <a:ext uri="{FF2B5EF4-FFF2-40B4-BE49-F238E27FC236}">
              <a16:creationId xmlns:a16="http://schemas.microsoft.com/office/drawing/2014/main" id="{569A4F05-C2C6-473C-A585-4F2E596B99BA}"/>
            </a:ext>
          </a:extLst>
        </xdr:cNvPr>
        <xdr:cNvSpPr>
          <a:spLocks/>
        </xdr:cNvSpPr>
      </xdr:nvSpPr>
      <xdr:spPr bwMode="auto">
        <a:xfrm>
          <a:off x="1028700" y="8220075"/>
          <a:ext cx="38100" cy="447675"/>
        </a:xfrm>
        <a:prstGeom prst="leftBrace">
          <a:avLst>
            <a:gd name="adj1" fmla="val 97917"/>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zoomScale="90" zoomScaleNormal="90" workbookViewId="0">
      <pane xSplit="2" ySplit="3" topLeftCell="C4" activePane="bottomRight" state="frozen"/>
      <selection pane="topRight" activeCell="C1" sqref="C1"/>
      <selection pane="bottomLeft" activeCell="A4" sqref="A4"/>
      <selection pane="bottomRight" sqref="A1:V1"/>
    </sheetView>
  </sheetViews>
  <sheetFormatPr defaultColWidth="9.6640625" defaultRowHeight="10.199999999999999" x14ac:dyDescent="0.25"/>
  <cols>
    <col min="1" max="1" width="17.1640625" style="1" customWidth="1"/>
    <col min="2" max="2" width="22.6640625" style="1" customWidth="1"/>
    <col min="3" max="22" width="17" style="1" customWidth="1"/>
    <col min="23" max="16384" width="9.6640625" style="1"/>
  </cols>
  <sheetData>
    <row r="1" spans="1:23" s="20" customFormat="1" ht="35.1" customHeight="1" x14ac:dyDescent="0.25">
      <c r="A1" s="126" t="s">
        <v>34</v>
      </c>
      <c r="B1" s="126"/>
      <c r="C1" s="126"/>
      <c r="D1" s="126"/>
      <c r="E1" s="126"/>
      <c r="F1" s="126"/>
      <c r="G1" s="126"/>
      <c r="H1" s="126"/>
      <c r="I1" s="126"/>
      <c r="J1" s="126"/>
      <c r="K1" s="126"/>
      <c r="L1" s="126"/>
      <c r="M1" s="126"/>
      <c r="N1" s="126"/>
      <c r="O1" s="126"/>
      <c r="P1" s="126"/>
      <c r="Q1" s="126"/>
      <c r="R1" s="126"/>
      <c r="S1" s="126"/>
      <c r="T1" s="126"/>
      <c r="U1" s="126"/>
      <c r="V1" s="126"/>
    </row>
    <row r="2" spans="1:23" s="5" customFormat="1" ht="20.100000000000001" customHeight="1" x14ac:dyDescent="0.25">
      <c r="B2" s="22"/>
      <c r="V2" s="23" t="s">
        <v>1</v>
      </c>
    </row>
    <row r="3" spans="1:23" s="24" customFormat="1" ht="46.8" customHeight="1" x14ac:dyDescent="0.25">
      <c r="A3" s="127" t="s">
        <v>35</v>
      </c>
      <c r="B3" s="128"/>
      <c r="C3" s="21" t="s">
        <v>0</v>
      </c>
      <c r="D3" s="21" t="s">
        <v>365</v>
      </c>
      <c r="E3" s="21" t="s">
        <v>366</v>
      </c>
      <c r="F3" s="21" t="s">
        <v>367</v>
      </c>
      <c r="G3" s="21" t="s">
        <v>368</v>
      </c>
      <c r="H3" s="21" t="s">
        <v>369</v>
      </c>
      <c r="I3" s="21" t="s">
        <v>370</v>
      </c>
      <c r="J3" s="21" t="s">
        <v>371</v>
      </c>
      <c r="K3" s="21" t="s">
        <v>42</v>
      </c>
      <c r="L3" s="21" t="s">
        <v>43</v>
      </c>
      <c r="M3" s="21" t="s">
        <v>6</v>
      </c>
      <c r="N3" s="21" t="s">
        <v>7</v>
      </c>
      <c r="O3" s="21" t="s">
        <v>39</v>
      </c>
      <c r="P3" s="21" t="s">
        <v>372</v>
      </c>
      <c r="Q3" s="21" t="s">
        <v>40</v>
      </c>
      <c r="R3" s="21" t="s">
        <v>41</v>
      </c>
      <c r="S3" s="21" t="s">
        <v>373</v>
      </c>
      <c r="T3" s="21" t="s">
        <v>8</v>
      </c>
      <c r="U3" s="21" t="s">
        <v>374</v>
      </c>
      <c r="V3" s="106" t="s">
        <v>3</v>
      </c>
    </row>
    <row r="4" spans="1:23" s="3" customFormat="1" ht="21.9" customHeight="1" x14ac:dyDescent="0.25">
      <c r="A4" s="125" t="s">
        <v>352</v>
      </c>
      <c r="B4" s="25" t="s">
        <v>37</v>
      </c>
      <c r="C4" s="26">
        <f t="shared" ref="C4:C36" si="0">SUM(D4:V4)</f>
        <v>706339</v>
      </c>
      <c r="D4" s="26">
        <v>49638</v>
      </c>
      <c r="E4" s="26">
        <v>40562</v>
      </c>
      <c r="F4" s="26">
        <v>6409</v>
      </c>
      <c r="G4" s="26">
        <v>27277</v>
      </c>
      <c r="H4" s="26">
        <v>232370</v>
      </c>
      <c r="I4" s="26">
        <v>69398</v>
      </c>
      <c r="J4" s="26">
        <v>5384</v>
      </c>
      <c r="K4" s="26" t="s">
        <v>381</v>
      </c>
      <c r="L4" s="26">
        <v>13094</v>
      </c>
      <c r="M4" s="26">
        <v>109611</v>
      </c>
      <c r="N4" s="26">
        <v>13255</v>
      </c>
      <c r="O4" s="26">
        <v>3860</v>
      </c>
      <c r="P4" s="26">
        <v>3058</v>
      </c>
      <c r="Q4" s="26">
        <v>2763</v>
      </c>
      <c r="R4" s="26">
        <v>35510</v>
      </c>
      <c r="S4" s="26">
        <v>21716</v>
      </c>
      <c r="T4" s="26">
        <v>6014</v>
      </c>
      <c r="U4" s="26">
        <v>46183</v>
      </c>
      <c r="V4" s="26">
        <v>20237</v>
      </c>
    </row>
    <row r="5" spans="1:23" s="3" customFormat="1" ht="21.9" customHeight="1" x14ac:dyDescent="0.25">
      <c r="A5" s="125"/>
      <c r="B5" s="27" t="s">
        <v>4</v>
      </c>
      <c r="C5" s="26">
        <f t="shared" si="0"/>
        <v>17503</v>
      </c>
      <c r="D5" s="26">
        <v>67</v>
      </c>
      <c r="E5" s="26">
        <v>124</v>
      </c>
      <c r="F5" s="26">
        <v>8</v>
      </c>
      <c r="G5" s="26">
        <v>241</v>
      </c>
      <c r="H5" s="26">
        <v>1953</v>
      </c>
      <c r="I5" s="26">
        <v>978</v>
      </c>
      <c r="J5" s="26">
        <v>8</v>
      </c>
      <c r="K5" s="26" t="s">
        <v>381</v>
      </c>
      <c r="L5" s="26">
        <v>156</v>
      </c>
      <c r="M5" s="26">
        <v>430</v>
      </c>
      <c r="N5" s="26">
        <v>44</v>
      </c>
      <c r="O5" s="26">
        <v>15</v>
      </c>
      <c r="P5" s="26">
        <v>0</v>
      </c>
      <c r="Q5" s="26">
        <v>1</v>
      </c>
      <c r="R5" s="26">
        <v>206</v>
      </c>
      <c r="S5" s="26">
        <v>11764</v>
      </c>
      <c r="T5" s="26">
        <v>81</v>
      </c>
      <c r="U5" s="26">
        <v>591</v>
      </c>
      <c r="V5" s="26">
        <v>836</v>
      </c>
    </row>
    <row r="6" spans="1:23" s="3" customFormat="1" ht="21.9" customHeight="1" x14ac:dyDescent="0.25">
      <c r="A6" s="125" t="s">
        <v>353</v>
      </c>
      <c r="B6" s="27" t="s">
        <v>37</v>
      </c>
      <c r="C6" s="26">
        <f t="shared" si="0"/>
        <v>838664</v>
      </c>
      <c r="D6" s="26">
        <v>88560</v>
      </c>
      <c r="E6" s="26">
        <v>36625</v>
      </c>
      <c r="F6" s="26">
        <v>6682</v>
      </c>
      <c r="G6" s="26">
        <v>27504</v>
      </c>
      <c r="H6" s="26">
        <v>263654</v>
      </c>
      <c r="I6" s="26">
        <v>75853</v>
      </c>
      <c r="J6" s="26">
        <v>8532</v>
      </c>
      <c r="K6" s="26" t="s">
        <v>381</v>
      </c>
      <c r="L6" s="26">
        <v>15102</v>
      </c>
      <c r="M6" s="26">
        <v>133680</v>
      </c>
      <c r="N6" s="26">
        <v>15910</v>
      </c>
      <c r="O6" s="26">
        <v>5275</v>
      </c>
      <c r="P6" s="26">
        <v>2399</v>
      </c>
      <c r="Q6" s="26">
        <v>2500</v>
      </c>
      <c r="R6" s="26">
        <v>44060</v>
      </c>
      <c r="S6" s="26">
        <v>26356</v>
      </c>
      <c r="T6" s="26">
        <v>6465</v>
      </c>
      <c r="U6" s="26">
        <v>52439</v>
      </c>
      <c r="V6" s="26">
        <v>27068</v>
      </c>
    </row>
    <row r="7" spans="1:23" s="3" customFormat="1" ht="21.9" customHeight="1" x14ac:dyDescent="0.25">
      <c r="A7" s="125"/>
      <c r="B7" s="27" t="s">
        <v>4</v>
      </c>
      <c r="C7" s="26">
        <f t="shared" si="0"/>
        <v>18817</v>
      </c>
      <c r="D7" s="26">
        <v>258</v>
      </c>
      <c r="E7" s="26">
        <v>126</v>
      </c>
      <c r="F7" s="26">
        <v>18</v>
      </c>
      <c r="G7" s="26">
        <v>299</v>
      </c>
      <c r="H7" s="26">
        <v>2034</v>
      </c>
      <c r="I7" s="26">
        <v>1100</v>
      </c>
      <c r="J7" s="26">
        <v>0</v>
      </c>
      <c r="K7" s="26" t="s">
        <v>381</v>
      </c>
      <c r="L7" s="26">
        <v>293</v>
      </c>
      <c r="M7" s="26">
        <v>568</v>
      </c>
      <c r="N7" s="26">
        <v>35</v>
      </c>
      <c r="O7" s="26">
        <v>14</v>
      </c>
      <c r="P7" s="26">
        <v>8</v>
      </c>
      <c r="Q7" s="26">
        <v>0</v>
      </c>
      <c r="R7" s="26">
        <v>191</v>
      </c>
      <c r="S7" s="26">
        <v>12615</v>
      </c>
      <c r="T7" s="26">
        <v>9</v>
      </c>
      <c r="U7" s="26">
        <v>241</v>
      </c>
      <c r="V7" s="26">
        <v>1008</v>
      </c>
    </row>
    <row r="8" spans="1:23" s="3" customFormat="1" ht="21.9" customHeight="1" x14ac:dyDescent="0.25">
      <c r="A8" s="125" t="s">
        <v>354</v>
      </c>
      <c r="B8" s="27" t="s">
        <v>37</v>
      </c>
      <c r="C8" s="26">
        <f t="shared" si="0"/>
        <v>913729</v>
      </c>
      <c r="D8" s="26">
        <v>62488</v>
      </c>
      <c r="E8" s="26">
        <v>46002</v>
      </c>
      <c r="F8" s="26">
        <v>6863</v>
      </c>
      <c r="G8" s="26">
        <v>27581</v>
      </c>
      <c r="H8" s="26">
        <v>281078</v>
      </c>
      <c r="I8" s="26">
        <v>80721</v>
      </c>
      <c r="J8" s="26">
        <v>5812</v>
      </c>
      <c r="K8" s="26" t="s">
        <v>381</v>
      </c>
      <c r="L8" s="26">
        <v>16153</v>
      </c>
      <c r="M8" s="26">
        <v>142543</v>
      </c>
      <c r="N8" s="26">
        <v>29098</v>
      </c>
      <c r="O8" s="26">
        <v>6996</v>
      </c>
      <c r="P8" s="26">
        <v>2852</v>
      </c>
      <c r="Q8" s="26">
        <v>2763</v>
      </c>
      <c r="R8" s="26">
        <v>70781</v>
      </c>
      <c r="S8" s="26">
        <v>33553</v>
      </c>
      <c r="T8" s="26">
        <v>13418</v>
      </c>
      <c r="U8" s="26">
        <v>53926</v>
      </c>
      <c r="V8" s="26">
        <v>31101</v>
      </c>
    </row>
    <row r="9" spans="1:23" s="3" customFormat="1" ht="21.9" customHeight="1" x14ac:dyDescent="0.25">
      <c r="A9" s="125"/>
      <c r="B9" s="27" t="s">
        <v>4</v>
      </c>
      <c r="C9" s="26">
        <f t="shared" si="0"/>
        <v>20216</v>
      </c>
      <c r="D9" s="26">
        <v>41</v>
      </c>
      <c r="E9" s="26">
        <v>1209</v>
      </c>
      <c r="F9" s="26">
        <v>13</v>
      </c>
      <c r="G9" s="26">
        <v>152</v>
      </c>
      <c r="H9" s="26">
        <v>1408</v>
      </c>
      <c r="I9" s="26">
        <v>1124</v>
      </c>
      <c r="J9" s="26">
        <v>3</v>
      </c>
      <c r="K9" s="26" t="s">
        <v>381</v>
      </c>
      <c r="L9" s="26">
        <v>313</v>
      </c>
      <c r="M9" s="26">
        <v>550</v>
      </c>
      <c r="N9" s="26">
        <v>150</v>
      </c>
      <c r="O9" s="26">
        <v>10</v>
      </c>
      <c r="P9" s="26">
        <v>3</v>
      </c>
      <c r="Q9" s="26">
        <v>0</v>
      </c>
      <c r="R9" s="26">
        <v>190</v>
      </c>
      <c r="S9" s="26">
        <v>13635</v>
      </c>
      <c r="T9" s="26">
        <v>29</v>
      </c>
      <c r="U9" s="26">
        <v>349</v>
      </c>
      <c r="V9" s="26">
        <v>1037</v>
      </c>
    </row>
    <row r="10" spans="1:23" s="3" customFormat="1" ht="21.9" customHeight="1" x14ac:dyDescent="0.25">
      <c r="A10" s="125" t="s">
        <v>355</v>
      </c>
      <c r="B10" s="27" t="s">
        <v>37</v>
      </c>
      <c r="C10" s="26">
        <f t="shared" si="0"/>
        <v>834814</v>
      </c>
      <c r="D10" s="26">
        <v>44278</v>
      </c>
      <c r="E10" s="26">
        <v>50071</v>
      </c>
      <c r="F10" s="26">
        <v>9722</v>
      </c>
      <c r="G10" s="26">
        <v>29896</v>
      </c>
      <c r="H10" s="26">
        <v>283541</v>
      </c>
      <c r="I10" s="26">
        <v>88062</v>
      </c>
      <c r="J10" s="26">
        <v>5924</v>
      </c>
      <c r="K10" s="26" t="s">
        <v>381</v>
      </c>
      <c r="L10" s="26">
        <v>12417</v>
      </c>
      <c r="M10" s="26">
        <v>101974</v>
      </c>
      <c r="N10" s="26">
        <v>18272</v>
      </c>
      <c r="O10" s="26">
        <v>3981</v>
      </c>
      <c r="P10" s="26">
        <v>3442</v>
      </c>
      <c r="Q10" s="26">
        <v>2867</v>
      </c>
      <c r="R10" s="26">
        <v>51089</v>
      </c>
      <c r="S10" s="26">
        <v>40918</v>
      </c>
      <c r="T10" s="26">
        <v>11623</v>
      </c>
      <c r="U10" s="26">
        <v>52688</v>
      </c>
      <c r="V10" s="26">
        <v>24049</v>
      </c>
    </row>
    <row r="11" spans="1:23" s="3" customFormat="1" ht="21.9" customHeight="1" x14ac:dyDescent="0.25">
      <c r="A11" s="125"/>
      <c r="B11" s="27" t="s">
        <v>4</v>
      </c>
      <c r="C11" s="26">
        <f t="shared" si="0"/>
        <v>17775</v>
      </c>
      <c r="D11" s="26">
        <v>58</v>
      </c>
      <c r="E11" s="26">
        <v>119</v>
      </c>
      <c r="F11" s="26">
        <v>12</v>
      </c>
      <c r="G11" s="26">
        <v>268</v>
      </c>
      <c r="H11" s="26">
        <v>1561</v>
      </c>
      <c r="I11" s="26">
        <v>1185</v>
      </c>
      <c r="J11" s="26">
        <v>18</v>
      </c>
      <c r="K11" s="26" t="s">
        <v>381</v>
      </c>
      <c r="L11" s="26">
        <v>288</v>
      </c>
      <c r="M11" s="26">
        <v>618</v>
      </c>
      <c r="N11" s="26">
        <v>28</v>
      </c>
      <c r="O11" s="26">
        <v>8</v>
      </c>
      <c r="P11" s="26">
        <v>9</v>
      </c>
      <c r="Q11" s="26">
        <v>0</v>
      </c>
      <c r="R11" s="26">
        <v>256</v>
      </c>
      <c r="S11" s="26">
        <v>11898</v>
      </c>
      <c r="T11" s="26">
        <v>88</v>
      </c>
      <c r="U11" s="26">
        <v>360</v>
      </c>
      <c r="V11" s="26">
        <v>1001</v>
      </c>
    </row>
    <row r="12" spans="1:23" s="3" customFormat="1" ht="21.9" customHeight="1" x14ac:dyDescent="0.25">
      <c r="A12" s="125" t="s">
        <v>356</v>
      </c>
      <c r="B12" s="27" t="s">
        <v>37</v>
      </c>
      <c r="C12" s="26">
        <f t="shared" si="0"/>
        <v>848696</v>
      </c>
      <c r="D12" s="26">
        <v>41338</v>
      </c>
      <c r="E12" s="26">
        <v>42437</v>
      </c>
      <c r="F12" s="26">
        <v>6702</v>
      </c>
      <c r="G12" s="26">
        <v>22333</v>
      </c>
      <c r="H12" s="26">
        <v>238643</v>
      </c>
      <c r="I12" s="26">
        <v>74430</v>
      </c>
      <c r="J12" s="26">
        <v>6209</v>
      </c>
      <c r="K12" s="26" t="s">
        <v>381</v>
      </c>
      <c r="L12" s="26">
        <v>14340</v>
      </c>
      <c r="M12" s="26">
        <v>223998</v>
      </c>
      <c r="N12" s="26">
        <v>21200</v>
      </c>
      <c r="O12" s="26">
        <v>4722</v>
      </c>
      <c r="P12" s="26">
        <v>2921</v>
      </c>
      <c r="Q12" s="26">
        <v>1730</v>
      </c>
      <c r="R12" s="26">
        <v>34426</v>
      </c>
      <c r="S12" s="26">
        <v>18585</v>
      </c>
      <c r="T12" s="26">
        <v>15601</v>
      </c>
      <c r="U12" s="26">
        <v>41940</v>
      </c>
      <c r="V12" s="26">
        <v>37141</v>
      </c>
    </row>
    <row r="13" spans="1:23" s="3" customFormat="1" ht="21.9" customHeight="1" x14ac:dyDescent="0.25">
      <c r="A13" s="125"/>
      <c r="B13" s="27" t="s">
        <v>4</v>
      </c>
      <c r="C13" s="26">
        <f t="shared" si="0"/>
        <v>11769</v>
      </c>
      <c r="D13" s="26">
        <v>39</v>
      </c>
      <c r="E13" s="26">
        <v>105</v>
      </c>
      <c r="F13" s="26">
        <v>15</v>
      </c>
      <c r="G13" s="26">
        <v>228</v>
      </c>
      <c r="H13" s="26">
        <v>1383</v>
      </c>
      <c r="I13" s="26">
        <v>1181</v>
      </c>
      <c r="J13" s="26">
        <v>15</v>
      </c>
      <c r="K13" s="26" t="s">
        <v>381</v>
      </c>
      <c r="L13" s="26">
        <v>182</v>
      </c>
      <c r="M13" s="26">
        <v>721</v>
      </c>
      <c r="N13" s="26">
        <v>26</v>
      </c>
      <c r="O13" s="26">
        <v>12</v>
      </c>
      <c r="P13" s="26">
        <v>6</v>
      </c>
      <c r="Q13" s="26">
        <v>7</v>
      </c>
      <c r="R13" s="26">
        <v>215</v>
      </c>
      <c r="S13" s="26">
        <v>6230</v>
      </c>
      <c r="T13" s="26">
        <v>547</v>
      </c>
      <c r="U13" s="26">
        <v>269</v>
      </c>
      <c r="V13" s="26">
        <v>588</v>
      </c>
      <c r="W13" s="28"/>
    </row>
    <row r="14" spans="1:23" s="3" customFormat="1" ht="21.9" customHeight="1" x14ac:dyDescent="0.25">
      <c r="A14" s="125" t="s">
        <v>357</v>
      </c>
      <c r="B14" s="27" t="s">
        <v>37</v>
      </c>
      <c r="C14" s="26">
        <f t="shared" si="0"/>
        <v>725912</v>
      </c>
      <c r="D14" s="26">
        <v>37297</v>
      </c>
      <c r="E14" s="26">
        <v>69226</v>
      </c>
      <c r="F14" s="26">
        <v>6588</v>
      </c>
      <c r="G14" s="26">
        <v>24084</v>
      </c>
      <c r="H14" s="26">
        <v>230671</v>
      </c>
      <c r="I14" s="26">
        <v>72364</v>
      </c>
      <c r="J14" s="26">
        <v>8179</v>
      </c>
      <c r="K14" s="26" t="s">
        <v>381</v>
      </c>
      <c r="L14" s="26">
        <v>6040</v>
      </c>
      <c r="M14" s="26">
        <v>99043</v>
      </c>
      <c r="N14" s="26">
        <v>17461</v>
      </c>
      <c r="O14" s="26">
        <v>3590</v>
      </c>
      <c r="P14" s="26">
        <v>6199</v>
      </c>
      <c r="Q14" s="26">
        <v>1761</v>
      </c>
      <c r="R14" s="26">
        <v>32880</v>
      </c>
      <c r="S14" s="26">
        <v>23997</v>
      </c>
      <c r="T14" s="26">
        <v>15518</v>
      </c>
      <c r="U14" s="26">
        <v>43880</v>
      </c>
      <c r="V14" s="26">
        <v>27134</v>
      </c>
    </row>
    <row r="15" spans="1:23" s="3" customFormat="1" ht="21.9" customHeight="1" x14ac:dyDescent="0.25">
      <c r="A15" s="125"/>
      <c r="B15" s="27" t="s">
        <v>4</v>
      </c>
      <c r="C15" s="26">
        <f t="shared" si="0"/>
        <v>8984</v>
      </c>
      <c r="D15" s="26">
        <v>41</v>
      </c>
      <c r="E15" s="26">
        <v>100</v>
      </c>
      <c r="F15" s="26">
        <v>11</v>
      </c>
      <c r="G15" s="26">
        <v>311</v>
      </c>
      <c r="H15" s="26">
        <v>1041</v>
      </c>
      <c r="I15" s="26">
        <v>904</v>
      </c>
      <c r="J15" s="26">
        <v>11</v>
      </c>
      <c r="K15" s="26" t="s">
        <v>381</v>
      </c>
      <c r="L15" s="26">
        <v>182</v>
      </c>
      <c r="M15" s="26">
        <v>320</v>
      </c>
      <c r="N15" s="26">
        <v>22</v>
      </c>
      <c r="O15" s="26">
        <v>32</v>
      </c>
      <c r="P15" s="26">
        <v>4</v>
      </c>
      <c r="Q15" s="26">
        <v>0</v>
      </c>
      <c r="R15" s="26">
        <v>162</v>
      </c>
      <c r="S15" s="26">
        <v>4971</v>
      </c>
      <c r="T15" s="26">
        <v>76</v>
      </c>
      <c r="U15" s="26">
        <v>232</v>
      </c>
      <c r="V15" s="26">
        <v>564</v>
      </c>
    </row>
    <row r="16" spans="1:23" s="3" customFormat="1" ht="21.9" customHeight="1" x14ac:dyDescent="0.25">
      <c r="A16" s="125" t="s">
        <v>358</v>
      </c>
      <c r="B16" s="27" t="s">
        <v>37</v>
      </c>
      <c r="C16" s="26">
        <f t="shared" si="0"/>
        <v>676019</v>
      </c>
      <c r="D16" s="26">
        <v>24783</v>
      </c>
      <c r="E16" s="26">
        <v>43639</v>
      </c>
      <c r="F16" s="26">
        <v>8170</v>
      </c>
      <c r="G16" s="26">
        <v>18671</v>
      </c>
      <c r="H16" s="26">
        <v>201431</v>
      </c>
      <c r="I16" s="26">
        <v>60235</v>
      </c>
      <c r="J16" s="26">
        <v>8692</v>
      </c>
      <c r="K16" s="26" t="s">
        <v>381</v>
      </c>
      <c r="L16" s="26">
        <v>4864</v>
      </c>
      <c r="M16" s="26">
        <v>72287</v>
      </c>
      <c r="N16" s="26">
        <v>77650</v>
      </c>
      <c r="O16" s="26">
        <v>7542</v>
      </c>
      <c r="P16" s="26">
        <v>6996</v>
      </c>
      <c r="Q16" s="26">
        <v>2688</v>
      </c>
      <c r="R16" s="26">
        <v>41054</v>
      </c>
      <c r="S16" s="26">
        <v>24282</v>
      </c>
      <c r="T16" s="26">
        <v>12519</v>
      </c>
      <c r="U16" s="26">
        <v>40086</v>
      </c>
      <c r="V16" s="26">
        <v>20430</v>
      </c>
    </row>
    <row r="17" spans="1:22" s="3" customFormat="1" ht="21.9" customHeight="1" x14ac:dyDescent="0.25">
      <c r="A17" s="125"/>
      <c r="B17" s="27" t="s">
        <v>4</v>
      </c>
      <c r="C17" s="26">
        <f t="shared" si="0"/>
        <v>9145</v>
      </c>
      <c r="D17" s="26">
        <v>51</v>
      </c>
      <c r="E17" s="26">
        <v>154</v>
      </c>
      <c r="F17" s="26">
        <v>60</v>
      </c>
      <c r="G17" s="26">
        <v>263</v>
      </c>
      <c r="H17" s="26">
        <v>1552</v>
      </c>
      <c r="I17" s="26">
        <v>956</v>
      </c>
      <c r="J17" s="26">
        <v>1</v>
      </c>
      <c r="K17" s="26" t="s">
        <v>381</v>
      </c>
      <c r="L17" s="26">
        <v>140</v>
      </c>
      <c r="M17" s="26">
        <v>554</v>
      </c>
      <c r="N17" s="26">
        <v>280</v>
      </c>
      <c r="O17" s="26">
        <v>82</v>
      </c>
      <c r="P17" s="26">
        <v>20</v>
      </c>
      <c r="Q17" s="26">
        <v>0</v>
      </c>
      <c r="R17" s="26">
        <v>249</v>
      </c>
      <c r="S17" s="26">
        <v>3941</v>
      </c>
      <c r="T17" s="26">
        <v>181</v>
      </c>
      <c r="U17" s="26">
        <v>294</v>
      </c>
      <c r="V17" s="26">
        <v>367</v>
      </c>
    </row>
    <row r="18" spans="1:22" s="3" customFormat="1" ht="21.9" customHeight="1" x14ac:dyDescent="0.25">
      <c r="A18" s="125" t="s">
        <v>359</v>
      </c>
      <c r="B18" s="27" t="s">
        <v>37</v>
      </c>
      <c r="C18" s="26">
        <f t="shared" si="0"/>
        <v>564130</v>
      </c>
      <c r="D18" s="26">
        <v>36628</v>
      </c>
      <c r="E18" s="26">
        <v>41735</v>
      </c>
      <c r="F18" s="26">
        <v>6349</v>
      </c>
      <c r="G18" s="26">
        <v>16427</v>
      </c>
      <c r="H18" s="26">
        <v>162421</v>
      </c>
      <c r="I18" s="26">
        <v>57676</v>
      </c>
      <c r="J18" s="26">
        <v>5363</v>
      </c>
      <c r="K18" s="26" t="s">
        <v>381</v>
      </c>
      <c r="L18" s="26">
        <v>3921</v>
      </c>
      <c r="M18" s="26">
        <v>67246</v>
      </c>
      <c r="N18" s="26">
        <v>30942</v>
      </c>
      <c r="O18" s="26">
        <v>13113</v>
      </c>
      <c r="P18" s="26">
        <v>5232</v>
      </c>
      <c r="Q18" s="26">
        <v>1637</v>
      </c>
      <c r="R18" s="26">
        <v>30840</v>
      </c>
      <c r="S18" s="26">
        <v>20854</v>
      </c>
      <c r="T18" s="26">
        <v>8028</v>
      </c>
      <c r="U18" s="26">
        <v>36995</v>
      </c>
      <c r="V18" s="26">
        <v>18723</v>
      </c>
    </row>
    <row r="19" spans="1:22" s="3" customFormat="1" ht="21.9" customHeight="1" x14ac:dyDescent="0.25">
      <c r="A19" s="125"/>
      <c r="B19" s="27" t="s">
        <v>4</v>
      </c>
      <c r="C19" s="26">
        <f t="shared" si="0"/>
        <v>7873</v>
      </c>
      <c r="D19" s="26">
        <v>41</v>
      </c>
      <c r="E19" s="26">
        <v>145</v>
      </c>
      <c r="F19" s="26">
        <v>60</v>
      </c>
      <c r="G19" s="26">
        <v>507</v>
      </c>
      <c r="H19" s="26">
        <v>1538</v>
      </c>
      <c r="I19" s="26">
        <v>1011</v>
      </c>
      <c r="J19" s="26">
        <v>1</v>
      </c>
      <c r="K19" s="26" t="s">
        <v>381</v>
      </c>
      <c r="L19" s="26">
        <v>159</v>
      </c>
      <c r="M19" s="26">
        <v>358</v>
      </c>
      <c r="N19" s="26">
        <v>50</v>
      </c>
      <c r="O19" s="26">
        <v>142</v>
      </c>
      <c r="P19" s="26">
        <v>6</v>
      </c>
      <c r="Q19" s="26">
        <v>5</v>
      </c>
      <c r="R19" s="26">
        <v>370</v>
      </c>
      <c r="S19" s="26">
        <v>2847</v>
      </c>
      <c r="T19" s="26">
        <v>99</v>
      </c>
      <c r="U19" s="26">
        <v>341</v>
      </c>
      <c r="V19" s="26">
        <v>193</v>
      </c>
    </row>
    <row r="20" spans="1:22" s="3" customFormat="1" ht="21.9" customHeight="1" x14ac:dyDescent="0.25">
      <c r="A20" s="125" t="s">
        <v>360</v>
      </c>
      <c r="B20" s="27" t="s">
        <v>37</v>
      </c>
      <c r="C20" s="26">
        <f t="shared" si="0"/>
        <v>388293</v>
      </c>
      <c r="D20" s="26">
        <v>15946</v>
      </c>
      <c r="E20" s="26">
        <v>28151</v>
      </c>
      <c r="F20" s="26">
        <v>6660</v>
      </c>
      <c r="G20" s="26">
        <v>12361</v>
      </c>
      <c r="H20" s="26">
        <v>116244</v>
      </c>
      <c r="I20" s="26">
        <v>40533</v>
      </c>
      <c r="J20" s="26">
        <v>5199</v>
      </c>
      <c r="K20" s="26" t="s">
        <v>381</v>
      </c>
      <c r="L20" s="26">
        <v>3266</v>
      </c>
      <c r="M20" s="26">
        <v>45861</v>
      </c>
      <c r="N20" s="26">
        <v>13228</v>
      </c>
      <c r="O20" s="26">
        <v>8081</v>
      </c>
      <c r="P20" s="26">
        <v>4799</v>
      </c>
      <c r="Q20" s="26">
        <v>1879</v>
      </c>
      <c r="R20" s="26">
        <v>22731</v>
      </c>
      <c r="S20" s="26">
        <v>6905</v>
      </c>
      <c r="T20" s="26">
        <v>10884</v>
      </c>
      <c r="U20" s="26">
        <v>24096</v>
      </c>
      <c r="V20" s="26">
        <v>21469</v>
      </c>
    </row>
    <row r="21" spans="1:22" s="3" customFormat="1" ht="21.9" customHeight="1" x14ac:dyDescent="0.25">
      <c r="A21" s="125"/>
      <c r="B21" s="27" t="s">
        <v>4</v>
      </c>
      <c r="C21" s="26">
        <f t="shared" si="0"/>
        <v>4309</v>
      </c>
      <c r="D21" s="26">
        <v>48</v>
      </c>
      <c r="E21" s="26">
        <v>139</v>
      </c>
      <c r="F21" s="26">
        <v>38</v>
      </c>
      <c r="G21" s="26">
        <v>213</v>
      </c>
      <c r="H21" s="26">
        <v>1203</v>
      </c>
      <c r="I21" s="26">
        <v>887</v>
      </c>
      <c r="J21" s="26">
        <v>1</v>
      </c>
      <c r="K21" s="26" t="s">
        <v>381</v>
      </c>
      <c r="L21" s="26">
        <v>191</v>
      </c>
      <c r="M21" s="26">
        <v>429</v>
      </c>
      <c r="N21" s="26">
        <v>23</v>
      </c>
      <c r="O21" s="26">
        <v>92</v>
      </c>
      <c r="P21" s="26">
        <v>59</v>
      </c>
      <c r="Q21" s="26">
        <v>14</v>
      </c>
      <c r="R21" s="26">
        <v>210</v>
      </c>
      <c r="S21" s="26">
        <v>147</v>
      </c>
      <c r="T21" s="26">
        <v>25</v>
      </c>
      <c r="U21" s="26">
        <v>333</v>
      </c>
      <c r="V21" s="26">
        <v>257</v>
      </c>
    </row>
    <row r="22" spans="1:22" s="3" customFormat="1" ht="21.9" customHeight="1" x14ac:dyDescent="0.25">
      <c r="A22" s="125" t="s">
        <v>361</v>
      </c>
      <c r="B22" s="27" t="s">
        <v>37</v>
      </c>
      <c r="C22" s="26">
        <f t="shared" si="0"/>
        <v>474985</v>
      </c>
      <c r="D22" s="26">
        <v>18621</v>
      </c>
      <c r="E22" s="26">
        <v>24744</v>
      </c>
      <c r="F22" s="26">
        <v>6515</v>
      </c>
      <c r="G22" s="26">
        <v>14157</v>
      </c>
      <c r="H22" s="26">
        <v>173152</v>
      </c>
      <c r="I22" s="26">
        <v>51036</v>
      </c>
      <c r="J22" s="26">
        <v>6296</v>
      </c>
      <c r="K22" s="26" t="s">
        <v>381</v>
      </c>
      <c r="L22" s="26">
        <v>3308</v>
      </c>
      <c r="M22" s="26">
        <v>53725</v>
      </c>
      <c r="N22" s="26">
        <v>14563</v>
      </c>
      <c r="O22" s="26">
        <v>7800</v>
      </c>
      <c r="P22" s="26">
        <v>3655</v>
      </c>
      <c r="Q22" s="26">
        <v>645</v>
      </c>
      <c r="R22" s="26">
        <v>27815</v>
      </c>
      <c r="S22" s="26">
        <v>6514</v>
      </c>
      <c r="T22" s="26">
        <v>10818</v>
      </c>
      <c r="U22" s="26">
        <v>25253</v>
      </c>
      <c r="V22" s="26">
        <v>26368</v>
      </c>
    </row>
    <row r="23" spans="1:22" s="3" customFormat="1" ht="21.9" customHeight="1" x14ac:dyDescent="0.25">
      <c r="A23" s="125"/>
      <c r="B23" s="27" t="s">
        <v>4</v>
      </c>
      <c r="C23" s="26">
        <f t="shared" si="0"/>
        <v>4391</v>
      </c>
      <c r="D23" s="26">
        <v>50</v>
      </c>
      <c r="E23" s="26">
        <v>104</v>
      </c>
      <c r="F23" s="26">
        <v>62</v>
      </c>
      <c r="G23" s="26">
        <v>199</v>
      </c>
      <c r="H23" s="26">
        <v>1205</v>
      </c>
      <c r="I23" s="26">
        <v>855</v>
      </c>
      <c r="J23" s="26">
        <v>9</v>
      </c>
      <c r="K23" s="26" t="s">
        <v>381</v>
      </c>
      <c r="L23" s="26">
        <v>246</v>
      </c>
      <c r="M23" s="26">
        <v>443</v>
      </c>
      <c r="N23" s="26">
        <v>23</v>
      </c>
      <c r="O23" s="26">
        <v>71</v>
      </c>
      <c r="P23" s="26">
        <v>45</v>
      </c>
      <c r="Q23" s="26">
        <v>16</v>
      </c>
      <c r="R23" s="26">
        <v>241</v>
      </c>
      <c r="S23" s="26">
        <v>108</v>
      </c>
      <c r="T23" s="26">
        <v>44</v>
      </c>
      <c r="U23" s="26">
        <v>314</v>
      </c>
      <c r="V23" s="26">
        <v>356</v>
      </c>
    </row>
    <row r="24" spans="1:22" s="3" customFormat="1" ht="21.9" customHeight="1" x14ac:dyDescent="0.25">
      <c r="A24" s="125" t="s">
        <v>362</v>
      </c>
      <c r="B24" s="27" t="s">
        <v>37</v>
      </c>
      <c r="C24" s="26">
        <f t="shared" si="0"/>
        <v>485652</v>
      </c>
      <c r="D24" s="26">
        <v>15789</v>
      </c>
      <c r="E24" s="26">
        <v>25582</v>
      </c>
      <c r="F24" s="26">
        <v>7814</v>
      </c>
      <c r="G24" s="26">
        <v>16958</v>
      </c>
      <c r="H24" s="26">
        <v>188660</v>
      </c>
      <c r="I24" s="26">
        <v>46984</v>
      </c>
      <c r="J24" s="26">
        <v>5739</v>
      </c>
      <c r="K24" s="26" t="s">
        <v>381</v>
      </c>
      <c r="L24" s="26">
        <v>3804</v>
      </c>
      <c r="M24" s="26">
        <v>52973</v>
      </c>
      <c r="N24" s="26">
        <v>20283</v>
      </c>
      <c r="O24" s="26">
        <v>8044</v>
      </c>
      <c r="P24" s="26">
        <v>5181</v>
      </c>
      <c r="Q24" s="26">
        <v>2166</v>
      </c>
      <c r="R24" s="26">
        <v>29681</v>
      </c>
      <c r="S24" s="26">
        <v>5781</v>
      </c>
      <c r="T24" s="26">
        <v>8420</v>
      </c>
      <c r="U24" s="26">
        <v>25614</v>
      </c>
      <c r="V24" s="26">
        <v>16179</v>
      </c>
    </row>
    <row r="25" spans="1:22" s="3" customFormat="1" ht="21.9" customHeight="1" x14ac:dyDescent="0.25">
      <c r="A25" s="125"/>
      <c r="B25" s="27" t="s">
        <v>4</v>
      </c>
      <c r="C25" s="26">
        <f t="shared" si="0"/>
        <v>5375</v>
      </c>
      <c r="D25" s="26">
        <v>46</v>
      </c>
      <c r="E25" s="26">
        <v>167</v>
      </c>
      <c r="F25" s="26">
        <v>57</v>
      </c>
      <c r="G25" s="26">
        <v>298</v>
      </c>
      <c r="H25" s="26">
        <v>1370</v>
      </c>
      <c r="I25" s="26">
        <v>1177</v>
      </c>
      <c r="J25" s="26">
        <v>11</v>
      </c>
      <c r="K25" s="26" t="s">
        <v>381</v>
      </c>
      <c r="L25" s="26">
        <v>252</v>
      </c>
      <c r="M25" s="26">
        <v>437</v>
      </c>
      <c r="N25" s="26">
        <v>37</v>
      </c>
      <c r="O25" s="26">
        <v>59</v>
      </c>
      <c r="P25" s="26">
        <v>89</v>
      </c>
      <c r="Q25" s="26">
        <v>63</v>
      </c>
      <c r="R25" s="26">
        <v>265</v>
      </c>
      <c r="S25" s="26">
        <v>412</v>
      </c>
      <c r="T25" s="26">
        <v>26</v>
      </c>
      <c r="U25" s="26">
        <v>457</v>
      </c>
      <c r="V25" s="26">
        <v>152</v>
      </c>
    </row>
    <row r="26" spans="1:22" s="3" customFormat="1" ht="21.9" customHeight="1" x14ac:dyDescent="0.25">
      <c r="A26" s="125" t="s">
        <v>363</v>
      </c>
      <c r="B26" s="27" t="s">
        <v>37</v>
      </c>
      <c r="C26" s="26">
        <f t="shared" si="0"/>
        <v>588936</v>
      </c>
      <c r="D26" s="26">
        <v>20204</v>
      </c>
      <c r="E26" s="26">
        <v>31685</v>
      </c>
      <c r="F26" s="26">
        <v>6897</v>
      </c>
      <c r="G26" s="26">
        <v>20492</v>
      </c>
      <c r="H26" s="26">
        <v>234502</v>
      </c>
      <c r="I26" s="26">
        <v>51023</v>
      </c>
      <c r="J26" s="26">
        <v>2746</v>
      </c>
      <c r="K26" s="26" t="s">
        <v>381</v>
      </c>
      <c r="L26" s="26">
        <v>4322</v>
      </c>
      <c r="M26" s="26">
        <v>69508</v>
      </c>
      <c r="N26" s="26">
        <v>18484</v>
      </c>
      <c r="O26" s="26">
        <v>8451</v>
      </c>
      <c r="P26" s="26">
        <v>3554</v>
      </c>
      <c r="Q26" s="26">
        <v>1225</v>
      </c>
      <c r="R26" s="26">
        <v>43476</v>
      </c>
      <c r="S26" s="26">
        <v>6947</v>
      </c>
      <c r="T26" s="26">
        <v>5931</v>
      </c>
      <c r="U26" s="26">
        <v>29890</v>
      </c>
      <c r="V26" s="26">
        <v>29599</v>
      </c>
    </row>
    <row r="27" spans="1:22" s="3" customFormat="1" ht="21.9" customHeight="1" x14ac:dyDescent="0.25">
      <c r="A27" s="125"/>
      <c r="B27" s="27" t="s">
        <v>4</v>
      </c>
      <c r="C27" s="26">
        <f t="shared" si="0"/>
        <v>3649</v>
      </c>
      <c r="D27" s="26">
        <v>26</v>
      </c>
      <c r="E27" s="26">
        <v>98</v>
      </c>
      <c r="F27" s="26">
        <v>60</v>
      </c>
      <c r="G27" s="26">
        <v>156</v>
      </c>
      <c r="H27" s="26">
        <v>933</v>
      </c>
      <c r="I27" s="26">
        <v>817</v>
      </c>
      <c r="J27" s="26">
        <v>2</v>
      </c>
      <c r="K27" s="26" t="s">
        <v>381</v>
      </c>
      <c r="L27" s="26">
        <v>170</v>
      </c>
      <c r="M27" s="26">
        <v>396</v>
      </c>
      <c r="N27" s="26">
        <v>21</v>
      </c>
      <c r="O27" s="26">
        <v>62</v>
      </c>
      <c r="P27" s="26">
        <v>35</v>
      </c>
      <c r="Q27" s="26">
        <v>3</v>
      </c>
      <c r="R27" s="26">
        <v>201</v>
      </c>
      <c r="S27" s="26">
        <v>149</v>
      </c>
      <c r="T27" s="26">
        <v>49</v>
      </c>
      <c r="U27" s="26">
        <v>297</v>
      </c>
      <c r="V27" s="26">
        <v>174</v>
      </c>
    </row>
    <row r="28" spans="1:22" s="3" customFormat="1" ht="21.9" customHeight="1" x14ac:dyDescent="0.25">
      <c r="A28" s="125" t="s">
        <v>364</v>
      </c>
      <c r="B28" s="27" t="s">
        <v>37</v>
      </c>
      <c r="C28" s="26">
        <f t="shared" si="0"/>
        <v>461206</v>
      </c>
      <c r="D28" s="26">
        <v>13525</v>
      </c>
      <c r="E28" s="26">
        <v>25304</v>
      </c>
      <c r="F28" s="26">
        <v>6340</v>
      </c>
      <c r="G28" s="26">
        <v>14124</v>
      </c>
      <c r="H28" s="26">
        <v>170748</v>
      </c>
      <c r="I28" s="26">
        <v>55623</v>
      </c>
      <c r="J28" s="26">
        <v>936</v>
      </c>
      <c r="K28" s="26">
        <v>3897</v>
      </c>
      <c r="L28" s="26">
        <v>4345</v>
      </c>
      <c r="M28" s="26">
        <v>62696</v>
      </c>
      <c r="N28" s="26">
        <v>11247</v>
      </c>
      <c r="O28" s="26">
        <v>6677</v>
      </c>
      <c r="P28" s="26">
        <v>2893</v>
      </c>
      <c r="Q28" s="26">
        <v>506</v>
      </c>
      <c r="R28" s="26">
        <v>26567</v>
      </c>
      <c r="S28" s="26">
        <v>3139</v>
      </c>
      <c r="T28" s="26">
        <v>2649</v>
      </c>
      <c r="U28" s="26">
        <v>33141</v>
      </c>
      <c r="V28" s="26">
        <v>16849</v>
      </c>
    </row>
    <row r="29" spans="1:22" s="3" customFormat="1" ht="21.9" customHeight="1" x14ac:dyDescent="0.25">
      <c r="A29" s="125"/>
      <c r="B29" s="27" t="s">
        <v>4</v>
      </c>
      <c r="C29" s="26">
        <f t="shared" si="0"/>
        <v>2857</v>
      </c>
      <c r="D29" s="26">
        <v>9</v>
      </c>
      <c r="E29" s="26">
        <v>57</v>
      </c>
      <c r="F29" s="26">
        <v>23</v>
      </c>
      <c r="G29" s="26">
        <v>76</v>
      </c>
      <c r="H29" s="26">
        <v>578</v>
      </c>
      <c r="I29" s="26">
        <v>802</v>
      </c>
      <c r="J29" s="26">
        <v>3</v>
      </c>
      <c r="K29" s="26">
        <v>24</v>
      </c>
      <c r="L29" s="26">
        <v>237</v>
      </c>
      <c r="M29" s="26">
        <v>373</v>
      </c>
      <c r="N29" s="26">
        <v>11</v>
      </c>
      <c r="O29" s="26">
        <v>19</v>
      </c>
      <c r="P29" s="26">
        <v>78</v>
      </c>
      <c r="Q29" s="26">
        <v>1</v>
      </c>
      <c r="R29" s="26">
        <v>90</v>
      </c>
      <c r="S29" s="26">
        <v>33</v>
      </c>
      <c r="T29" s="26">
        <v>24</v>
      </c>
      <c r="U29" s="26">
        <v>345</v>
      </c>
      <c r="V29" s="26">
        <v>74</v>
      </c>
    </row>
    <row r="30" spans="1:22" s="3" customFormat="1" ht="21.9" customHeight="1" x14ac:dyDescent="0.25">
      <c r="A30" s="125" t="s">
        <v>375</v>
      </c>
      <c r="B30" s="27" t="s">
        <v>37</v>
      </c>
      <c r="C30" s="26">
        <f t="shared" si="0"/>
        <v>452864</v>
      </c>
      <c r="D30" s="26">
        <v>9375</v>
      </c>
      <c r="E30" s="26">
        <v>74990</v>
      </c>
      <c r="F30" s="26">
        <v>3625</v>
      </c>
      <c r="G30" s="26">
        <v>11665</v>
      </c>
      <c r="H30" s="26">
        <v>146754</v>
      </c>
      <c r="I30" s="26">
        <v>50261</v>
      </c>
      <c r="J30" s="26">
        <v>1071</v>
      </c>
      <c r="K30" s="26">
        <v>2901</v>
      </c>
      <c r="L30" s="26">
        <v>4226</v>
      </c>
      <c r="M30" s="26">
        <v>65431</v>
      </c>
      <c r="N30" s="26">
        <v>7802</v>
      </c>
      <c r="O30" s="26">
        <v>5515</v>
      </c>
      <c r="P30" s="26">
        <v>2285</v>
      </c>
      <c r="Q30" s="26">
        <v>249</v>
      </c>
      <c r="R30" s="26">
        <v>20737</v>
      </c>
      <c r="S30" s="26">
        <v>2896</v>
      </c>
      <c r="T30" s="26">
        <v>1939</v>
      </c>
      <c r="U30" s="26">
        <v>34623</v>
      </c>
      <c r="V30" s="26">
        <v>6519</v>
      </c>
    </row>
    <row r="31" spans="1:22" s="3" customFormat="1" ht="21.9" customHeight="1" x14ac:dyDescent="0.25">
      <c r="A31" s="125"/>
      <c r="B31" s="27" t="s">
        <v>4</v>
      </c>
      <c r="C31" s="26">
        <f t="shared" si="0"/>
        <v>2201</v>
      </c>
      <c r="D31" s="26">
        <v>10</v>
      </c>
      <c r="E31" s="26">
        <v>23</v>
      </c>
      <c r="F31" s="26">
        <v>24</v>
      </c>
      <c r="G31" s="26">
        <v>85</v>
      </c>
      <c r="H31" s="26">
        <v>501</v>
      </c>
      <c r="I31" s="26">
        <v>590</v>
      </c>
      <c r="J31" s="26">
        <v>1</v>
      </c>
      <c r="K31" s="26">
        <v>17</v>
      </c>
      <c r="L31" s="26">
        <v>159</v>
      </c>
      <c r="M31" s="26">
        <v>283</v>
      </c>
      <c r="N31" s="26">
        <v>11</v>
      </c>
      <c r="O31" s="26">
        <v>12</v>
      </c>
      <c r="P31" s="26">
        <v>52</v>
      </c>
      <c r="Q31" s="26">
        <v>2</v>
      </c>
      <c r="R31" s="26">
        <v>53</v>
      </c>
      <c r="S31" s="26">
        <v>27</v>
      </c>
      <c r="T31" s="26">
        <v>3</v>
      </c>
      <c r="U31" s="26">
        <v>322</v>
      </c>
      <c r="V31" s="26">
        <v>26</v>
      </c>
    </row>
    <row r="32" spans="1:22" s="3" customFormat="1" ht="21.9" customHeight="1" x14ac:dyDescent="0.25">
      <c r="A32" s="125" t="s">
        <v>377</v>
      </c>
      <c r="B32" s="27" t="s">
        <v>37</v>
      </c>
      <c r="C32" s="122">
        <v>523962</v>
      </c>
      <c r="D32" s="122">
        <v>6983</v>
      </c>
      <c r="E32" s="122">
        <v>191261</v>
      </c>
      <c r="F32" s="122">
        <v>3877</v>
      </c>
      <c r="G32" s="122">
        <v>11136</v>
      </c>
      <c r="H32" s="122">
        <v>90593</v>
      </c>
      <c r="I32" s="122">
        <v>32572</v>
      </c>
      <c r="J32" s="123">
        <v>1546</v>
      </c>
      <c r="K32" s="122">
        <v>3383</v>
      </c>
      <c r="L32" s="122">
        <v>2103</v>
      </c>
      <c r="M32" s="122">
        <v>38775</v>
      </c>
      <c r="N32" s="123">
        <v>5634</v>
      </c>
      <c r="O32" s="123">
        <v>3116</v>
      </c>
      <c r="P32" s="122">
        <v>1386</v>
      </c>
      <c r="Q32" s="123">
        <v>291</v>
      </c>
      <c r="R32" s="122">
        <v>17106</v>
      </c>
      <c r="S32" s="123">
        <v>3130</v>
      </c>
      <c r="T32" s="123">
        <v>1521</v>
      </c>
      <c r="U32" s="122">
        <v>103829</v>
      </c>
      <c r="V32" s="122">
        <v>5720</v>
      </c>
    </row>
    <row r="33" spans="1:22" s="3" customFormat="1" ht="21.9" customHeight="1" x14ac:dyDescent="0.25">
      <c r="A33" s="125"/>
      <c r="B33" s="27" t="s">
        <v>4</v>
      </c>
      <c r="C33" s="122">
        <v>1804</v>
      </c>
      <c r="D33" s="122">
        <v>5</v>
      </c>
      <c r="E33" s="122">
        <v>122</v>
      </c>
      <c r="F33" s="122">
        <v>20</v>
      </c>
      <c r="G33" s="122">
        <v>61</v>
      </c>
      <c r="H33" s="122">
        <v>334</v>
      </c>
      <c r="I33" s="122">
        <v>480</v>
      </c>
      <c r="J33" s="123">
        <v>1</v>
      </c>
      <c r="K33" s="122">
        <v>45</v>
      </c>
      <c r="L33" s="122">
        <v>111</v>
      </c>
      <c r="M33" s="122">
        <v>250</v>
      </c>
      <c r="N33" s="123">
        <v>13</v>
      </c>
      <c r="O33" s="123">
        <v>9</v>
      </c>
      <c r="P33" s="122">
        <v>23</v>
      </c>
      <c r="Q33" s="123">
        <v>1</v>
      </c>
      <c r="R33" s="122">
        <v>50</v>
      </c>
      <c r="S33" s="123">
        <v>39</v>
      </c>
      <c r="T33" s="123">
        <v>10</v>
      </c>
      <c r="U33" s="122">
        <v>190</v>
      </c>
      <c r="V33" s="122">
        <v>40</v>
      </c>
    </row>
    <row r="34" spans="1:22" s="3" customFormat="1" ht="21.9" customHeight="1" x14ac:dyDescent="0.25">
      <c r="A34" s="125" t="s">
        <v>378</v>
      </c>
      <c r="B34" s="27" t="s">
        <v>37</v>
      </c>
      <c r="C34" s="26">
        <f t="shared" si="0"/>
        <v>591905</v>
      </c>
      <c r="D34" s="26">
        <v>6688</v>
      </c>
      <c r="E34" s="26">
        <v>127181</v>
      </c>
      <c r="F34" s="26">
        <v>3121</v>
      </c>
      <c r="G34" s="26">
        <v>17920</v>
      </c>
      <c r="H34" s="26">
        <v>193801</v>
      </c>
      <c r="I34" s="26">
        <v>34659</v>
      </c>
      <c r="J34" s="26">
        <v>905</v>
      </c>
      <c r="K34" s="26">
        <v>8312</v>
      </c>
      <c r="L34" s="26">
        <v>3486</v>
      </c>
      <c r="M34" s="26">
        <v>49016</v>
      </c>
      <c r="N34" s="26">
        <v>24057</v>
      </c>
      <c r="O34" s="26">
        <v>2600</v>
      </c>
      <c r="P34" s="26">
        <v>1076</v>
      </c>
      <c r="Q34" s="26">
        <v>183</v>
      </c>
      <c r="R34" s="26">
        <v>47929</v>
      </c>
      <c r="S34" s="26">
        <v>1606</v>
      </c>
      <c r="T34" s="26">
        <v>1971</v>
      </c>
      <c r="U34" s="26">
        <v>60938</v>
      </c>
      <c r="V34" s="26">
        <v>6456</v>
      </c>
    </row>
    <row r="35" spans="1:22" s="3" customFormat="1" ht="21.9" customHeight="1" x14ac:dyDescent="0.25">
      <c r="A35" s="125"/>
      <c r="B35" s="27" t="s">
        <v>4</v>
      </c>
      <c r="C35" s="26">
        <f t="shared" si="0"/>
        <v>1435</v>
      </c>
      <c r="D35" s="26">
        <v>10</v>
      </c>
      <c r="E35" s="26">
        <v>77</v>
      </c>
      <c r="F35" s="26">
        <v>21</v>
      </c>
      <c r="G35" s="26">
        <v>66</v>
      </c>
      <c r="H35" s="26">
        <v>293</v>
      </c>
      <c r="I35" s="26">
        <v>478</v>
      </c>
      <c r="J35" s="26">
        <v>0</v>
      </c>
      <c r="K35" s="26">
        <v>20</v>
      </c>
      <c r="L35" s="26">
        <v>84</v>
      </c>
      <c r="M35" s="26">
        <v>183</v>
      </c>
      <c r="N35" s="26">
        <v>18</v>
      </c>
      <c r="O35" s="26">
        <v>0</v>
      </c>
      <c r="P35" s="26">
        <v>28</v>
      </c>
      <c r="Q35" s="26">
        <v>1</v>
      </c>
      <c r="R35" s="26">
        <v>39</v>
      </c>
      <c r="S35" s="26">
        <v>10</v>
      </c>
      <c r="T35" s="26">
        <v>2</v>
      </c>
      <c r="U35" s="26">
        <v>78</v>
      </c>
      <c r="V35" s="26">
        <v>27</v>
      </c>
    </row>
    <row r="36" spans="1:22" s="3" customFormat="1" ht="21.9" customHeight="1" x14ac:dyDescent="0.25">
      <c r="A36" s="125" t="s">
        <v>389</v>
      </c>
      <c r="B36" s="27" t="s">
        <v>37</v>
      </c>
      <c r="C36" s="26">
        <f t="shared" si="0"/>
        <v>527499</v>
      </c>
      <c r="D36" s="26">
        <v>6535</v>
      </c>
      <c r="E36" s="26">
        <v>111543</v>
      </c>
      <c r="F36" s="26">
        <v>13429</v>
      </c>
      <c r="G36" s="26">
        <v>14148</v>
      </c>
      <c r="H36" s="26">
        <v>142201</v>
      </c>
      <c r="I36" s="26">
        <v>42103</v>
      </c>
      <c r="J36" s="26">
        <v>4768</v>
      </c>
      <c r="K36" s="26">
        <v>26542</v>
      </c>
      <c r="L36" s="26">
        <v>5245</v>
      </c>
      <c r="M36" s="26">
        <v>47370</v>
      </c>
      <c r="N36" s="26">
        <v>6176</v>
      </c>
      <c r="O36" s="26">
        <v>2967</v>
      </c>
      <c r="P36" s="26">
        <v>1604</v>
      </c>
      <c r="Q36" s="26">
        <v>969</v>
      </c>
      <c r="R36" s="26">
        <v>25451</v>
      </c>
      <c r="S36" s="26">
        <v>4562</v>
      </c>
      <c r="T36" s="26">
        <v>2200</v>
      </c>
      <c r="U36" s="26">
        <v>64567</v>
      </c>
      <c r="V36" s="26">
        <v>5119</v>
      </c>
    </row>
    <row r="37" spans="1:22" s="3" customFormat="1" ht="21.9" customHeight="1" x14ac:dyDescent="0.25">
      <c r="A37" s="125"/>
      <c r="B37" s="27" t="s">
        <v>4</v>
      </c>
      <c r="C37" s="26">
        <f>SUM(D37:V37)</f>
        <v>1919</v>
      </c>
      <c r="D37" s="26">
        <v>4</v>
      </c>
      <c r="E37" s="26">
        <v>89</v>
      </c>
      <c r="F37" s="26">
        <v>40</v>
      </c>
      <c r="G37" s="26">
        <v>64</v>
      </c>
      <c r="H37" s="26">
        <v>327</v>
      </c>
      <c r="I37" s="26">
        <v>615</v>
      </c>
      <c r="J37" s="26">
        <v>3</v>
      </c>
      <c r="K37" s="26">
        <v>33</v>
      </c>
      <c r="L37" s="26">
        <v>165</v>
      </c>
      <c r="M37" s="26">
        <v>292</v>
      </c>
      <c r="N37" s="26">
        <v>17</v>
      </c>
      <c r="O37" s="26">
        <v>3</v>
      </c>
      <c r="P37" s="26">
        <v>30</v>
      </c>
      <c r="Q37" s="26">
        <v>10</v>
      </c>
      <c r="R37" s="26">
        <v>51</v>
      </c>
      <c r="S37" s="26">
        <v>33</v>
      </c>
      <c r="T37" s="26">
        <v>4</v>
      </c>
      <c r="U37" s="26">
        <v>116</v>
      </c>
      <c r="V37" s="26">
        <v>23</v>
      </c>
    </row>
    <row r="38" spans="1:22" s="3" customFormat="1" ht="21.9" customHeight="1" x14ac:dyDescent="0.25">
      <c r="A38" s="125" t="s">
        <v>390</v>
      </c>
      <c r="B38" s="27" t="s">
        <v>37</v>
      </c>
      <c r="C38" s="26">
        <f>SUM(D38:V38)</f>
        <v>536004</v>
      </c>
      <c r="D38" s="26">
        <v>6943</v>
      </c>
      <c r="E38" s="26">
        <v>112554</v>
      </c>
      <c r="F38" s="26">
        <v>17410</v>
      </c>
      <c r="G38" s="26">
        <v>20569</v>
      </c>
      <c r="H38" s="26">
        <v>146008</v>
      </c>
      <c r="I38" s="26">
        <v>45053</v>
      </c>
      <c r="J38" s="26">
        <v>1639</v>
      </c>
      <c r="K38" s="26">
        <v>3097</v>
      </c>
      <c r="L38" s="26">
        <v>4764</v>
      </c>
      <c r="M38" s="26">
        <v>45690</v>
      </c>
      <c r="N38" s="26">
        <v>8270</v>
      </c>
      <c r="O38" s="26">
        <v>3096</v>
      </c>
      <c r="P38" s="26">
        <v>1874</v>
      </c>
      <c r="Q38" s="26">
        <v>836</v>
      </c>
      <c r="R38" s="26">
        <v>32825</v>
      </c>
      <c r="S38" s="26">
        <v>5102</v>
      </c>
      <c r="T38" s="26">
        <v>2553</v>
      </c>
      <c r="U38" s="26">
        <v>70900</v>
      </c>
      <c r="V38" s="26">
        <v>6821</v>
      </c>
    </row>
    <row r="39" spans="1:22" s="3" customFormat="1" ht="21.9" customHeight="1" x14ac:dyDescent="0.25">
      <c r="A39" s="125"/>
      <c r="B39" s="27" t="s">
        <v>4</v>
      </c>
      <c r="C39" s="26">
        <f>SUM(D39:V39)</f>
        <v>2047</v>
      </c>
      <c r="D39" s="26">
        <v>11</v>
      </c>
      <c r="E39" s="26">
        <v>69</v>
      </c>
      <c r="F39" s="26">
        <v>28</v>
      </c>
      <c r="G39" s="26">
        <v>75</v>
      </c>
      <c r="H39" s="26">
        <v>299</v>
      </c>
      <c r="I39" s="26">
        <v>646</v>
      </c>
      <c r="J39" s="26">
        <v>0</v>
      </c>
      <c r="K39" s="26">
        <v>18</v>
      </c>
      <c r="L39" s="26">
        <v>185</v>
      </c>
      <c r="M39" s="26">
        <v>344</v>
      </c>
      <c r="N39" s="26">
        <v>13</v>
      </c>
      <c r="O39" s="26">
        <v>0</v>
      </c>
      <c r="P39" s="26">
        <v>35</v>
      </c>
      <c r="Q39" s="26">
        <v>4</v>
      </c>
      <c r="R39" s="26">
        <v>106</v>
      </c>
      <c r="S39" s="26">
        <v>33</v>
      </c>
      <c r="T39" s="26">
        <v>9</v>
      </c>
      <c r="U39" s="26">
        <v>108</v>
      </c>
      <c r="V39" s="26">
        <v>64</v>
      </c>
    </row>
    <row r="40" spans="1:22" s="3" customFormat="1" ht="21.9" customHeight="1" x14ac:dyDescent="0.25">
      <c r="A40" s="125" t="s">
        <v>419</v>
      </c>
      <c r="B40" s="27" t="s">
        <v>37</v>
      </c>
      <c r="C40" s="26">
        <v>562284</v>
      </c>
      <c r="D40" s="26">
        <v>6991</v>
      </c>
      <c r="E40" s="26">
        <v>121420</v>
      </c>
      <c r="F40" s="26">
        <v>14989</v>
      </c>
      <c r="G40" s="26">
        <v>15300</v>
      </c>
      <c r="H40" s="26">
        <v>140257</v>
      </c>
      <c r="I40" s="26">
        <v>42294</v>
      </c>
      <c r="J40" s="26">
        <v>1407</v>
      </c>
      <c r="K40" s="26">
        <v>2104</v>
      </c>
      <c r="L40" s="26">
        <v>4298</v>
      </c>
      <c r="M40" s="26">
        <v>82378</v>
      </c>
      <c r="N40" s="26">
        <v>7105</v>
      </c>
      <c r="O40" s="26">
        <v>2215</v>
      </c>
      <c r="P40" s="26">
        <v>1416</v>
      </c>
      <c r="Q40" s="26">
        <v>586</v>
      </c>
      <c r="R40" s="26">
        <v>30758</v>
      </c>
      <c r="S40" s="26">
        <v>5483</v>
      </c>
      <c r="T40" s="26">
        <v>2720</v>
      </c>
      <c r="U40" s="26">
        <v>75496</v>
      </c>
      <c r="V40" s="26">
        <v>5067</v>
      </c>
    </row>
    <row r="41" spans="1:22" s="3" customFormat="1" ht="21.9" customHeight="1" x14ac:dyDescent="0.25">
      <c r="A41" s="125"/>
      <c r="B41" s="27" t="s">
        <v>4</v>
      </c>
      <c r="C41" s="26">
        <v>1798</v>
      </c>
      <c r="D41" s="26">
        <v>4</v>
      </c>
      <c r="E41" s="26">
        <v>48</v>
      </c>
      <c r="F41" s="26">
        <v>37</v>
      </c>
      <c r="G41" s="26">
        <v>62</v>
      </c>
      <c r="H41" s="26">
        <v>232</v>
      </c>
      <c r="I41" s="26">
        <v>539</v>
      </c>
      <c r="J41" s="26">
        <v>1</v>
      </c>
      <c r="K41" s="26">
        <v>10</v>
      </c>
      <c r="L41" s="26">
        <v>161</v>
      </c>
      <c r="M41" s="26">
        <v>408</v>
      </c>
      <c r="N41" s="26">
        <v>20</v>
      </c>
      <c r="O41" s="26">
        <v>1</v>
      </c>
      <c r="P41" s="26">
        <v>34</v>
      </c>
      <c r="Q41" s="26">
        <v>1</v>
      </c>
      <c r="R41" s="26">
        <v>13</v>
      </c>
      <c r="S41" s="26">
        <v>31</v>
      </c>
      <c r="T41" s="26">
        <v>4</v>
      </c>
      <c r="U41" s="26">
        <v>134</v>
      </c>
      <c r="V41" s="26">
        <v>58</v>
      </c>
    </row>
    <row r="42" spans="1:22" s="5" customFormat="1" ht="6" customHeight="1" x14ac:dyDescent="0.25">
      <c r="A42" s="117"/>
      <c r="B42" s="29"/>
      <c r="C42" s="30"/>
      <c r="D42" s="30"/>
      <c r="E42" s="30"/>
      <c r="F42" s="30"/>
      <c r="G42" s="30"/>
      <c r="H42" s="30"/>
      <c r="I42" s="30"/>
      <c r="J42" s="30"/>
      <c r="K42" s="30"/>
      <c r="L42" s="30"/>
      <c r="M42" s="30"/>
      <c r="N42" s="30"/>
      <c r="O42" s="30"/>
      <c r="P42" s="30"/>
      <c r="Q42" s="30"/>
      <c r="R42" s="30"/>
      <c r="S42" s="30"/>
      <c r="T42" s="30"/>
      <c r="U42" s="30"/>
      <c r="V42" s="30"/>
    </row>
    <row r="43" spans="1:22" s="5" customFormat="1" ht="16.2" x14ac:dyDescent="0.25">
      <c r="A43" s="31" t="s">
        <v>38</v>
      </c>
      <c r="B43" s="32"/>
      <c r="C43" s="32"/>
      <c r="D43" s="32"/>
      <c r="E43" s="32"/>
      <c r="F43" s="32"/>
      <c r="G43" s="32"/>
      <c r="H43" s="32"/>
      <c r="I43" s="32"/>
      <c r="J43" s="32"/>
      <c r="K43" s="32"/>
      <c r="L43" s="32"/>
      <c r="M43" s="32"/>
      <c r="N43" s="32"/>
      <c r="O43" s="32"/>
      <c r="P43" s="32"/>
      <c r="Q43" s="32"/>
      <c r="R43" s="32"/>
      <c r="S43" s="32"/>
      <c r="T43" s="32"/>
      <c r="U43" s="32"/>
      <c r="V43" s="32"/>
    </row>
    <row r="44" spans="1:22" ht="16.2" x14ac:dyDescent="0.25">
      <c r="A44" s="5" t="s">
        <v>420</v>
      </c>
    </row>
    <row r="45" spans="1:22" s="2" customFormat="1" ht="12" x14ac:dyDescent="0.25">
      <c r="K45" s="1"/>
      <c r="L45" s="1"/>
      <c r="M45" s="1"/>
      <c r="N45" s="1"/>
      <c r="O45" s="1"/>
      <c r="P45" s="1"/>
      <c r="Q45" s="1"/>
      <c r="R45" s="1"/>
      <c r="S45" s="1"/>
      <c r="T45" s="1"/>
      <c r="U45" s="1"/>
      <c r="V45" s="1"/>
    </row>
  </sheetData>
  <mergeCells count="21">
    <mergeCell ref="A40:A41"/>
    <mergeCell ref="A1:V1"/>
    <mergeCell ref="A22:A23"/>
    <mergeCell ref="A20:A21"/>
    <mergeCell ref="A28:A29"/>
    <mergeCell ref="A3:B3"/>
    <mergeCell ref="A4:A5"/>
    <mergeCell ref="A6:A7"/>
    <mergeCell ref="A8:A9"/>
    <mergeCell ref="A10:A11"/>
    <mergeCell ref="A12:A13"/>
    <mergeCell ref="A14:A15"/>
    <mergeCell ref="A16:A17"/>
    <mergeCell ref="A18:A19"/>
    <mergeCell ref="A32:A33"/>
    <mergeCell ref="A30:A31"/>
    <mergeCell ref="A24:A25"/>
    <mergeCell ref="A26:A27"/>
    <mergeCell ref="A38:A39"/>
    <mergeCell ref="A34:A35"/>
    <mergeCell ref="A36:A37"/>
  </mergeCells>
  <phoneticPr fontId="5" type="noConversion"/>
  <printOptions horizontalCentered="1"/>
  <pageMargins left="0.59055118110236227" right="0.59055118110236227" top="0.78740157480314965" bottom="1.1811023622047245" header="0.51181102362204722" footer="0.51181102362204722"/>
  <pageSetup paperSize="9" scale="8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AF82-242B-45A1-A305-C00F4C2C83F6}">
  <dimension ref="A1:GM61"/>
  <sheetViews>
    <sheetView tabSelected="1" zoomScale="80" zoomScaleNormal="80" workbookViewId="0">
      <selection sqref="A1:B1"/>
    </sheetView>
  </sheetViews>
  <sheetFormatPr defaultColWidth="9.6640625" defaultRowHeight="10.199999999999999" x14ac:dyDescent="0.25"/>
  <cols>
    <col min="1" max="1" width="18" style="1" customWidth="1"/>
    <col min="2" max="2" width="3" style="1" customWidth="1"/>
    <col min="3" max="3" width="26" style="1" customWidth="1"/>
    <col min="4" max="4" width="3" style="1" customWidth="1"/>
    <col min="5" max="5" width="15.6640625" style="1" customWidth="1"/>
    <col min="6" max="36" width="14" style="1" customWidth="1"/>
    <col min="37" max="37" width="19.83203125" style="1" customWidth="1"/>
    <col min="38" max="38" width="3" style="1" customWidth="1"/>
    <col min="39" max="39" width="26" style="1" customWidth="1"/>
    <col min="40" max="40" width="3" style="1" customWidth="1"/>
    <col min="41" max="71" width="14" style="1" customWidth="1"/>
    <col min="72" max="16384" width="9.6640625" style="1"/>
  </cols>
  <sheetData>
    <row r="1" spans="1:73" s="37" customFormat="1" ht="16.5"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E1" s="207" t="s">
        <v>45</v>
      </c>
      <c r="AF1" s="207"/>
      <c r="AG1" s="142" t="s">
        <v>46</v>
      </c>
      <c r="AH1" s="142"/>
      <c r="AI1" s="142"/>
      <c r="AJ1" s="142"/>
      <c r="AK1" s="161" t="s">
        <v>44</v>
      </c>
      <c r="AL1" s="162"/>
      <c r="AM1" s="35"/>
      <c r="AN1" s="36"/>
      <c r="AO1" s="36"/>
      <c r="AP1" s="5"/>
      <c r="AQ1" s="5"/>
      <c r="AR1" s="5"/>
      <c r="AS1" s="5"/>
      <c r="AT1" s="5"/>
      <c r="AU1" s="5"/>
      <c r="AV1" s="5"/>
      <c r="AW1" s="5"/>
      <c r="AX1" s="5"/>
      <c r="AY1" s="5"/>
      <c r="AZ1" s="5"/>
      <c r="BA1" s="5"/>
      <c r="BB1" s="5"/>
      <c r="BC1" s="5"/>
      <c r="BD1" s="5"/>
      <c r="BE1" s="5"/>
      <c r="BF1" s="5"/>
      <c r="BG1" s="5"/>
      <c r="BH1" s="5"/>
      <c r="BI1" s="5"/>
      <c r="BJ1" s="5"/>
      <c r="BK1" s="5"/>
      <c r="BL1" s="38"/>
      <c r="BN1" s="207" t="s">
        <v>45</v>
      </c>
      <c r="BO1" s="207"/>
      <c r="BP1" s="142" t="s">
        <v>46</v>
      </c>
      <c r="BQ1" s="142"/>
      <c r="BR1" s="142"/>
      <c r="BS1" s="142"/>
      <c r="BT1" s="38"/>
      <c r="BU1" s="38"/>
    </row>
    <row r="2" spans="1:73" s="37" customFormat="1" ht="17.25" customHeight="1" x14ac:dyDescent="0.3">
      <c r="A2" s="163" t="s">
        <v>391</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208" t="s">
        <v>392</v>
      </c>
      <c r="AF2" s="208"/>
      <c r="AG2" s="208" t="s">
        <v>10</v>
      </c>
      <c r="AH2" s="208"/>
      <c r="AI2" s="208"/>
      <c r="AJ2" s="208"/>
      <c r="AK2" s="163" t="s">
        <v>391</v>
      </c>
      <c r="AL2" s="164"/>
      <c r="AM2" s="39" t="s">
        <v>47</v>
      </c>
      <c r="AN2" s="40"/>
      <c r="AO2" s="40"/>
      <c r="AP2" s="33"/>
      <c r="AQ2" s="33"/>
      <c r="AR2" s="33"/>
      <c r="AS2" s="33"/>
      <c r="AT2" s="33"/>
      <c r="AU2" s="33"/>
      <c r="AV2" s="33"/>
      <c r="AW2" s="33"/>
      <c r="AX2" s="33"/>
      <c r="AY2" s="33"/>
      <c r="AZ2" s="33"/>
      <c r="BA2" s="33"/>
      <c r="BB2" s="33"/>
      <c r="BC2" s="33"/>
      <c r="BD2" s="33"/>
      <c r="BE2" s="33"/>
      <c r="BF2" s="33"/>
      <c r="BG2" s="33"/>
      <c r="BH2" s="33"/>
      <c r="BI2" s="33"/>
      <c r="BJ2" s="33"/>
      <c r="BK2" s="33"/>
      <c r="BL2" s="42"/>
      <c r="BM2" s="41"/>
      <c r="BN2" s="208" t="s">
        <v>392</v>
      </c>
      <c r="BO2" s="208"/>
      <c r="BP2" s="208" t="s">
        <v>10</v>
      </c>
      <c r="BQ2" s="208"/>
      <c r="BR2" s="208"/>
      <c r="BS2" s="208"/>
      <c r="BT2" s="43"/>
      <c r="BU2" s="43"/>
    </row>
    <row r="3" spans="1:73" s="37" customFormat="1" ht="6.6" customHeight="1" x14ac:dyDescent="0.25">
      <c r="A3" s="209"/>
      <c r="B3" s="36"/>
      <c r="C3" s="36"/>
      <c r="D3" s="36"/>
      <c r="E3" s="36"/>
      <c r="F3" s="36"/>
      <c r="G3" s="36"/>
      <c r="H3" s="36"/>
      <c r="I3" s="36"/>
      <c r="J3" s="36"/>
      <c r="K3" s="36"/>
      <c r="L3" s="36"/>
      <c r="M3" s="36"/>
      <c r="N3" s="36"/>
      <c r="O3" s="36"/>
      <c r="P3" s="36"/>
      <c r="Q3" s="36"/>
      <c r="R3" s="36"/>
      <c r="S3" s="36"/>
      <c r="T3" s="36"/>
      <c r="U3" s="1"/>
      <c r="V3" s="1"/>
      <c r="W3" s="1"/>
      <c r="X3" s="1"/>
      <c r="Y3" s="1"/>
      <c r="Z3" s="1"/>
      <c r="AA3" s="1"/>
      <c r="AB3" s="1"/>
      <c r="AC3" s="1"/>
      <c r="AD3" s="1"/>
      <c r="AE3" s="1"/>
      <c r="AF3" s="1"/>
      <c r="AG3" s="1"/>
      <c r="AH3" s="1"/>
      <c r="AI3" s="1"/>
      <c r="AJ3" s="1"/>
      <c r="AK3" s="209"/>
      <c r="AL3" s="36"/>
      <c r="AM3" s="36"/>
      <c r="AN3" s="36"/>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210"/>
      <c r="BU3" s="211"/>
    </row>
    <row r="4" spans="1:73" s="212" customFormat="1" ht="25.5" customHeight="1" x14ac:dyDescent="0.25">
      <c r="B4" s="213"/>
      <c r="C4" s="213"/>
      <c r="D4" s="213"/>
      <c r="E4" s="213"/>
      <c r="F4" s="213"/>
      <c r="G4" s="213"/>
      <c r="H4" s="213"/>
      <c r="I4" s="213"/>
      <c r="K4" s="213"/>
      <c r="M4" s="213"/>
      <c r="O4" s="213"/>
      <c r="P4" s="214" t="s">
        <v>384</v>
      </c>
      <c r="Q4" s="213"/>
      <c r="R4" s="213"/>
      <c r="S4" s="213"/>
      <c r="T4" s="213"/>
      <c r="U4" s="215"/>
      <c r="V4" s="215"/>
      <c r="W4" s="215"/>
      <c r="X4" s="215"/>
      <c r="Y4" s="215"/>
      <c r="Z4" s="215"/>
      <c r="AA4" s="216"/>
      <c r="AB4" s="216"/>
      <c r="AC4" s="216"/>
      <c r="AD4" s="216"/>
      <c r="AE4" s="216"/>
      <c r="AF4" s="216"/>
      <c r="AG4" s="216"/>
      <c r="AH4" s="216"/>
      <c r="AI4" s="216"/>
      <c r="AJ4" s="216"/>
      <c r="AL4" s="213"/>
      <c r="AM4" s="213"/>
      <c r="AN4" s="213"/>
      <c r="AO4" s="215"/>
      <c r="AP4" s="215"/>
      <c r="AQ4" s="215"/>
      <c r="AR4" s="215"/>
      <c r="AS4" s="215"/>
      <c r="AT4" s="216"/>
      <c r="AU4" s="217"/>
      <c r="AV4" s="217"/>
      <c r="AY4" s="214" t="s">
        <v>393</v>
      </c>
      <c r="AZ4" s="217"/>
      <c r="BA4" s="217"/>
      <c r="BB4" s="217"/>
      <c r="BC4" s="215"/>
      <c r="BD4" s="215"/>
      <c r="BE4" s="215"/>
      <c r="BF4" s="215"/>
      <c r="BG4" s="215"/>
      <c r="BH4" s="215"/>
      <c r="BI4" s="216"/>
      <c r="BJ4" s="217"/>
      <c r="BK4" s="217"/>
      <c r="BL4" s="217"/>
      <c r="BM4" s="217"/>
      <c r="BN4" s="217"/>
      <c r="BO4" s="217"/>
      <c r="BP4" s="217"/>
      <c r="BQ4" s="217"/>
      <c r="BR4" s="217"/>
      <c r="BS4" s="217"/>
      <c r="BT4" s="218"/>
      <c r="BU4" s="218"/>
    </row>
    <row r="5" spans="1:73" s="221" customFormat="1" ht="18.600000000000001" customHeight="1" x14ac:dyDescent="0.25">
      <c r="A5" s="219"/>
      <c r="B5" s="220"/>
      <c r="C5" s="220"/>
      <c r="D5" s="108"/>
      <c r="E5" s="108"/>
      <c r="F5" s="108"/>
      <c r="G5" s="108"/>
      <c r="H5" s="108"/>
      <c r="I5" s="108"/>
      <c r="J5" s="108"/>
      <c r="K5" s="108"/>
      <c r="L5" s="108"/>
      <c r="M5" s="108"/>
      <c r="N5" s="108"/>
      <c r="O5" s="220"/>
      <c r="P5" s="108"/>
      <c r="Q5" s="220"/>
      <c r="R5" s="108"/>
      <c r="S5" s="67" t="s">
        <v>394</v>
      </c>
      <c r="T5" s="108"/>
      <c r="U5" s="109"/>
      <c r="V5" s="109"/>
      <c r="W5" s="109"/>
      <c r="X5" s="110"/>
      <c r="Y5" s="111"/>
      <c r="Z5" s="109"/>
      <c r="AA5" s="109"/>
      <c r="AB5" s="109"/>
      <c r="AC5" s="109"/>
      <c r="AD5" s="109"/>
      <c r="AE5" s="109"/>
      <c r="AF5" s="109"/>
      <c r="AH5" s="109"/>
      <c r="AI5" s="33"/>
      <c r="AJ5" s="45" t="s">
        <v>48</v>
      </c>
      <c r="AK5" s="219"/>
      <c r="AL5" s="220"/>
      <c r="AM5" s="220"/>
      <c r="AN5" s="108"/>
      <c r="AO5" s="45"/>
      <c r="AP5" s="109"/>
      <c r="AQ5" s="109"/>
      <c r="AR5" s="109"/>
      <c r="AS5" s="109"/>
      <c r="AT5" s="109"/>
      <c r="AU5" s="109"/>
      <c r="AV5" s="109"/>
      <c r="AW5" s="109"/>
      <c r="AX5" s="109"/>
      <c r="AY5" s="109"/>
      <c r="AZ5" s="33"/>
      <c r="BA5" s="44" t="s">
        <v>394</v>
      </c>
      <c r="BB5" s="45"/>
      <c r="BC5" s="45"/>
      <c r="BD5" s="112"/>
      <c r="BE5" s="112"/>
      <c r="BF5" s="111"/>
      <c r="BG5" s="109"/>
      <c r="BH5" s="109"/>
      <c r="BI5" s="109"/>
      <c r="BJ5" s="109"/>
      <c r="BK5" s="109"/>
      <c r="BL5" s="109"/>
      <c r="BM5" s="111"/>
      <c r="BN5" s="111"/>
      <c r="BO5" s="111"/>
      <c r="BP5" s="111"/>
      <c r="BQ5" s="111"/>
      <c r="BR5" s="37"/>
      <c r="BS5" s="45" t="s">
        <v>48</v>
      </c>
      <c r="BT5" s="37"/>
    </row>
    <row r="6" spans="1:73" s="15" customFormat="1" ht="21.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38" t="s">
        <v>147</v>
      </c>
      <c r="V6" s="138"/>
      <c r="W6" s="138"/>
      <c r="X6" s="138"/>
      <c r="Y6" s="138"/>
      <c r="Z6" s="138"/>
      <c r="AA6" s="138"/>
      <c r="AB6" s="138"/>
      <c r="AC6" s="138"/>
      <c r="AD6" s="138"/>
      <c r="AE6" s="138"/>
      <c r="AF6" s="138"/>
      <c r="AG6" s="145" t="s">
        <v>148</v>
      </c>
      <c r="AH6" s="146"/>
      <c r="AI6" s="146"/>
      <c r="AJ6" s="146"/>
      <c r="AK6" s="222" t="s">
        <v>144</v>
      </c>
      <c r="AL6" s="222"/>
      <c r="AM6" s="222"/>
      <c r="AN6" s="223"/>
      <c r="AO6" s="145" t="s">
        <v>148</v>
      </c>
      <c r="AP6" s="146"/>
      <c r="AQ6" s="146"/>
      <c r="AR6" s="147"/>
      <c r="AS6" s="141" t="s">
        <v>149</v>
      </c>
      <c r="AT6" s="141"/>
      <c r="AU6" s="141"/>
      <c r="AV6" s="140" t="s">
        <v>395</v>
      </c>
      <c r="AW6" s="140" t="s">
        <v>150</v>
      </c>
      <c r="AX6" s="141" t="s">
        <v>58</v>
      </c>
      <c r="AY6" s="141"/>
      <c r="AZ6" s="141"/>
      <c r="BA6" s="142" t="s">
        <v>59</v>
      </c>
      <c r="BB6" s="142"/>
      <c r="BC6" s="143"/>
      <c r="BD6" s="144" t="s">
        <v>60</v>
      </c>
      <c r="BE6" s="144"/>
      <c r="BF6" s="144" t="s">
        <v>151</v>
      </c>
      <c r="BG6" s="144"/>
      <c r="BH6" s="140" t="s">
        <v>198</v>
      </c>
      <c r="BI6" s="144" t="s">
        <v>63</v>
      </c>
      <c r="BJ6" s="144"/>
      <c r="BK6" s="144"/>
      <c r="BL6" s="140" t="s">
        <v>152</v>
      </c>
      <c r="BM6" s="140" t="s">
        <v>153</v>
      </c>
      <c r="BN6" s="141" t="s">
        <v>97</v>
      </c>
      <c r="BO6" s="149"/>
      <c r="BP6" s="149"/>
      <c r="BQ6" s="149" t="s">
        <v>65</v>
      </c>
      <c r="BR6" s="143"/>
      <c r="BS6" s="151"/>
    </row>
    <row r="7" spans="1:73" s="15" customFormat="1" ht="24.9" customHeight="1" x14ac:dyDescent="0.25">
      <c r="A7" s="125"/>
      <c r="B7" s="125"/>
      <c r="C7" s="125"/>
      <c r="D7" s="125"/>
      <c r="E7" s="136"/>
      <c r="F7" s="139" t="s">
        <v>154</v>
      </c>
      <c r="G7" s="139" t="s">
        <v>155</v>
      </c>
      <c r="H7" s="139" t="s">
        <v>230</v>
      </c>
      <c r="I7" s="139" t="s">
        <v>199</v>
      </c>
      <c r="J7" s="139" t="s">
        <v>66</v>
      </c>
      <c r="K7" s="139" t="s">
        <v>200</v>
      </c>
      <c r="L7" s="139" t="s">
        <v>156</v>
      </c>
      <c r="M7" s="139" t="s">
        <v>396</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9" t="s">
        <v>99</v>
      </c>
      <c r="AC7" s="139" t="s">
        <v>114</v>
      </c>
      <c r="AD7" s="139" t="s">
        <v>162</v>
      </c>
      <c r="AE7" s="139" t="s">
        <v>137</v>
      </c>
      <c r="AF7" s="139" t="s">
        <v>100</v>
      </c>
      <c r="AG7" s="139" t="s">
        <v>122</v>
      </c>
      <c r="AH7" s="139" t="s">
        <v>163</v>
      </c>
      <c r="AI7" s="139" t="s">
        <v>164</v>
      </c>
      <c r="AJ7" s="139" t="s">
        <v>165</v>
      </c>
      <c r="AK7" s="224"/>
      <c r="AL7" s="125"/>
      <c r="AM7" s="125"/>
      <c r="AN7" s="225"/>
      <c r="AO7" s="139" t="s">
        <v>166</v>
      </c>
      <c r="AP7" s="139" t="s">
        <v>167</v>
      </c>
      <c r="AQ7" s="139" t="s">
        <v>168</v>
      </c>
      <c r="AR7" s="154" t="s">
        <v>232</v>
      </c>
      <c r="AS7" s="155" t="s">
        <v>169</v>
      </c>
      <c r="AT7" s="157" t="s">
        <v>397</v>
      </c>
      <c r="AU7" s="226" t="s">
        <v>398</v>
      </c>
      <c r="AV7" s="140"/>
      <c r="AW7" s="140"/>
      <c r="AX7" s="140" t="s">
        <v>170</v>
      </c>
      <c r="AY7" s="140" t="s">
        <v>171</v>
      </c>
      <c r="AZ7" s="140" t="s">
        <v>399</v>
      </c>
      <c r="BA7" s="140" t="s">
        <v>105</v>
      </c>
      <c r="BB7" s="140" t="s">
        <v>172</v>
      </c>
      <c r="BC7" s="140" t="s">
        <v>234</v>
      </c>
      <c r="BD7" s="140" t="s">
        <v>400</v>
      </c>
      <c r="BE7" s="140" t="s">
        <v>173</v>
      </c>
      <c r="BF7" s="140" t="s">
        <v>110</v>
      </c>
      <c r="BG7" s="140" t="s">
        <v>236</v>
      </c>
      <c r="BH7" s="140"/>
      <c r="BI7" s="140" t="s">
        <v>237</v>
      </c>
      <c r="BJ7" s="140" t="s">
        <v>174</v>
      </c>
      <c r="BK7" s="140" t="s">
        <v>238</v>
      </c>
      <c r="BL7" s="140"/>
      <c r="BM7" s="140"/>
      <c r="BN7" s="140" t="s">
        <v>239</v>
      </c>
      <c r="BO7" s="140" t="s">
        <v>240</v>
      </c>
      <c r="BP7" s="140" t="s">
        <v>401</v>
      </c>
      <c r="BQ7" s="140" t="s">
        <v>112</v>
      </c>
      <c r="BR7" s="140" t="s">
        <v>175</v>
      </c>
      <c r="BS7" s="150" t="s">
        <v>241</v>
      </c>
    </row>
    <row r="8" spans="1:73" s="15" customFormat="1" ht="24.9"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224"/>
      <c r="AL8" s="125"/>
      <c r="AM8" s="125"/>
      <c r="AN8" s="225"/>
      <c r="AO8" s="139"/>
      <c r="AP8" s="139"/>
      <c r="AQ8" s="139"/>
      <c r="AR8" s="154"/>
      <c r="AS8" s="156"/>
      <c r="AT8" s="227"/>
      <c r="AU8" s="228"/>
      <c r="AV8" s="140"/>
      <c r="AW8" s="140"/>
      <c r="AX8" s="140"/>
      <c r="AY8" s="140"/>
      <c r="AZ8" s="140"/>
      <c r="BA8" s="152"/>
      <c r="BB8" s="140"/>
      <c r="BC8" s="140"/>
      <c r="BD8" s="143"/>
      <c r="BE8" s="143"/>
      <c r="BF8" s="152"/>
      <c r="BG8" s="140"/>
      <c r="BH8" s="140"/>
      <c r="BI8" s="153"/>
      <c r="BJ8" s="153"/>
      <c r="BK8" s="152"/>
      <c r="BL8" s="140"/>
      <c r="BM8" s="140"/>
      <c r="BN8" s="140"/>
      <c r="BO8" s="140"/>
      <c r="BP8" s="152"/>
      <c r="BQ8" s="152"/>
      <c r="BR8" s="140"/>
      <c r="BS8" s="150"/>
    </row>
    <row r="9" spans="1:73" s="15" customFormat="1" ht="24.9"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224"/>
      <c r="AL9" s="125"/>
      <c r="AM9" s="125"/>
      <c r="AN9" s="225"/>
      <c r="AO9" s="139"/>
      <c r="AP9" s="139"/>
      <c r="AQ9" s="139"/>
      <c r="AR9" s="154"/>
      <c r="AS9" s="156"/>
      <c r="AT9" s="227"/>
      <c r="AU9" s="228"/>
      <c r="AV9" s="140"/>
      <c r="AW9" s="140"/>
      <c r="AX9" s="140"/>
      <c r="AY9" s="140"/>
      <c r="AZ9" s="140"/>
      <c r="BA9" s="152"/>
      <c r="BB9" s="140"/>
      <c r="BC9" s="140"/>
      <c r="BD9" s="143"/>
      <c r="BE9" s="143"/>
      <c r="BF9" s="152"/>
      <c r="BG9" s="140"/>
      <c r="BH9" s="140"/>
      <c r="BI9" s="153"/>
      <c r="BJ9" s="153"/>
      <c r="BK9" s="152"/>
      <c r="BL9" s="140"/>
      <c r="BM9" s="140"/>
      <c r="BN9" s="140"/>
      <c r="BO9" s="140"/>
      <c r="BP9" s="152"/>
      <c r="BQ9" s="152"/>
      <c r="BR9" s="140"/>
      <c r="BS9" s="150"/>
    </row>
    <row r="10" spans="1:73" s="15" customFormat="1" ht="24.9"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224"/>
      <c r="AL10" s="125"/>
      <c r="AM10" s="125"/>
      <c r="AN10" s="225"/>
      <c r="AO10" s="139"/>
      <c r="AP10" s="139"/>
      <c r="AQ10" s="139"/>
      <c r="AR10" s="154"/>
      <c r="AS10" s="156"/>
      <c r="AT10" s="227"/>
      <c r="AU10" s="228"/>
      <c r="AV10" s="140"/>
      <c r="AW10" s="140"/>
      <c r="AX10" s="140"/>
      <c r="AY10" s="140"/>
      <c r="AZ10" s="140"/>
      <c r="BA10" s="152"/>
      <c r="BB10" s="140"/>
      <c r="BC10" s="140"/>
      <c r="BD10" s="143"/>
      <c r="BE10" s="143"/>
      <c r="BF10" s="152"/>
      <c r="BG10" s="140"/>
      <c r="BH10" s="140"/>
      <c r="BI10" s="153"/>
      <c r="BJ10" s="153"/>
      <c r="BK10" s="152"/>
      <c r="BL10" s="140"/>
      <c r="BM10" s="140"/>
      <c r="BN10" s="140"/>
      <c r="BO10" s="140"/>
      <c r="BP10" s="152"/>
      <c r="BQ10" s="152"/>
      <c r="BR10" s="140"/>
      <c r="BS10" s="150"/>
    </row>
    <row r="11" spans="1:73" s="15" customFormat="1" ht="24.9"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229"/>
      <c r="AL11" s="134"/>
      <c r="AM11" s="134"/>
      <c r="AN11" s="230"/>
      <c r="AO11" s="139"/>
      <c r="AP11" s="139"/>
      <c r="AQ11" s="139"/>
      <c r="AR11" s="154"/>
      <c r="AS11" s="156"/>
      <c r="AT11" s="227"/>
      <c r="AU11" s="228"/>
      <c r="AV11" s="140"/>
      <c r="AW11" s="140"/>
      <c r="AX11" s="140"/>
      <c r="AY11" s="140"/>
      <c r="AZ11" s="140"/>
      <c r="BA11" s="152"/>
      <c r="BB11" s="140"/>
      <c r="BC11" s="140"/>
      <c r="BD11" s="143"/>
      <c r="BE11" s="143"/>
      <c r="BF11" s="152"/>
      <c r="BG11" s="140"/>
      <c r="BH11" s="140"/>
      <c r="BI11" s="153"/>
      <c r="BJ11" s="153"/>
      <c r="BK11" s="152"/>
      <c r="BL11" s="140"/>
      <c r="BM11" s="140"/>
      <c r="BN11" s="140"/>
      <c r="BO11" s="140"/>
      <c r="BP11" s="152"/>
      <c r="BQ11" s="152"/>
      <c r="BR11" s="140"/>
      <c r="BS11" s="150"/>
    </row>
    <row r="12" spans="1:73" s="15" customFormat="1" ht="18.600000000000001" customHeight="1" x14ac:dyDescent="0.25">
      <c r="A12" s="231" t="s">
        <v>402</v>
      </c>
      <c r="B12" s="107"/>
      <c r="C12" s="232" t="s">
        <v>403</v>
      </c>
      <c r="D12" s="233"/>
      <c r="E12" s="16">
        <v>562284</v>
      </c>
      <c r="F12" s="16">
        <v>2433</v>
      </c>
      <c r="G12" s="16">
        <v>1263</v>
      </c>
      <c r="H12" s="16">
        <v>1518</v>
      </c>
      <c r="I12" s="16">
        <v>159</v>
      </c>
      <c r="J12" s="16">
        <v>612</v>
      </c>
      <c r="K12" s="16">
        <v>1006</v>
      </c>
      <c r="L12" s="16">
        <v>84099</v>
      </c>
      <c r="M12" s="16">
        <v>35618</v>
      </c>
      <c r="N12" s="16">
        <v>1703</v>
      </c>
      <c r="O12" s="16">
        <v>13292</v>
      </c>
      <c r="P12" s="16">
        <v>1695</v>
      </c>
      <c r="Q12" s="16">
        <v>2</v>
      </c>
      <c r="R12" s="16">
        <v>7296</v>
      </c>
      <c r="S12" s="16">
        <v>6608</v>
      </c>
      <c r="T12" s="16">
        <v>1396</v>
      </c>
      <c r="U12" s="16">
        <v>4826</v>
      </c>
      <c r="V12" s="16">
        <v>12327</v>
      </c>
      <c r="W12" s="16">
        <v>472</v>
      </c>
      <c r="X12" s="16">
        <v>892</v>
      </c>
      <c r="Y12" s="16">
        <v>1885</v>
      </c>
      <c r="Z12" s="16">
        <v>14522</v>
      </c>
      <c r="AA12" s="16">
        <v>3777</v>
      </c>
      <c r="AB12" s="16">
        <v>2832</v>
      </c>
      <c r="AC12" s="16">
        <v>7666</v>
      </c>
      <c r="AD12" s="16">
        <v>62657</v>
      </c>
      <c r="AE12" s="16">
        <v>27600</v>
      </c>
      <c r="AF12" s="16">
        <v>801</v>
      </c>
      <c r="AG12" s="16">
        <v>23187</v>
      </c>
      <c r="AH12" s="16">
        <v>2514</v>
      </c>
      <c r="AI12" s="16">
        <v>135</v>
      </c>
      <c r="AJ12" s="16">
        <v>5254</v>
      </c>
      <c r="AK12" s="231" t="s">
        <v>402</v>
      </c>
      <c r="AL12" s="107"/>
      <c r="AM12" s="232" t="s">
        <v>403</v>
      </c>
      <c r="AN12" s="233"/>
      <c r="AO12" s="16">
        <v>943</v>
      </c>
      <c r="AP12" s="16">
        <v>3053</v>
      </c>
      <c r="AQ12" s="16">
        <v>4360</v>
      </c>
      <c r="AR12" s="16">
        <v>2848</v>
      </c>
      <c r="AS12" s="16">
        <v>498</v>
      </c>
      <c r="AT12" s="16">
        <v>36</v>
      </c>
      <c r="AU12" s="16">
        <v>873</v>
      </c>
      <c r="AV12" s="16">
        <v>2104</v>
      </c>
      <c r="AW12" s="16">
        <v>4298</v>
      </c>
      <c r="AX12" s="16">
        <v>4451</v>
      </c>
      <c r="AY12" s="16">
        <v>45552</v>
      </c>
      <c r="AZ12" s="16">
        <v>32375</v>
      </c>
      <c r="BA12" s="16">
        <v>189</v>
      </c>
      <c r="BB12" s="16">
        <v>6099</v>
      </c>
      <c r="BC12" s="16">
        <v>817</v>
      </c>
      <c r="BD12" s="16">
        <v>1307</v>
      </c>
      <c r="BE12" s="16">
        <v>908</v>
      </c>
      <c r="BF12" s="16">
        <v>794</v>
      </c>
      <c r="BG12" s="16">
        <v>622</v>
      </c>
      <c r="BH12" s="16">
        <v>586</v>
      </c>
      <c r="BI12" s="16">
        <v>5077</v>
      </c>
      <c r="BJ12" s="16">
        <v>8457</v>
      </c>
      <c r="BK12" s="16">
        <v>17224</v>
      </c>
      <c r="BL12" s="16">
        <v>5483</v>
      </c>
      <c r="BM12" s="16">
        <v>2720</v>
      </c>
      <c r="BN12" s="16">
        <v>52094</v>
      </c>
      <c r="BO12" s="16">
        <v>8232</v>
      </c>
      <c r="BP12" s="16">
        <v>15170</v>
      </c>
      <c r="BQ12" s="16">
        <v>88</v>
      </c>
      <c r="BR12" s="16">
        <v>0</v>
      </c>
      <c r="BS12" s="16">
        <v>4979</v>
      </c>
    </row>
    <row r="13" spans="1:73" s="15" customFormat="1" ht="18.600000000000001" customHeight="1" x14ac:dyDescent="0.25">
      <c r="A13" s="231"/>
      <c r="B13" s="3"/>
      <c r="C13" s="234" t="s">
        <v>404</v>
      </c>
      <c r="D13" s="235"/>
      <c r="E13" s="16">
        <v>1798</v>
      </c>
      <c r="F13" s="26">
        <v>0</v>
      </c>
      <c r="G13" s="26">
        <v>0</v>
      </c>
      <c r="H13" s="26">
        <v>2</v>
      </c>
      <c r="I13" s="26">
        <v>0</v>
      </c>
      <c r="J13" s="26">
        <v>0</v>
      </c>
      <c r="K13" s="26">
        <v>2</v>
      </c>
      <c r="L13" s="26">
        <v>28</v>
      </c>
      <c r="M13" s="26">
        <v>20</v>
      </c>
      <c r="N13" s="26">
        <v>0</v>
      </c>
      <c r="O13" s="26">
        <v>17</v>
      </c>
      <c r="P13" s="26">
        <v>20</v>
      </c>
      <c r="Q13" s="26">
        <v>0</v>
      </c>
      <c r="R13" s="26">
        <v>34</v>
      </c>
      <c r="S13" s="26">
        <v>28</v>
      </c>
      <c r="T13" s="26">
        <v>0</v>
      </c>
      <c r="U13" s="26">
        <v>4</v>
      </c>
      <c r="V13" s="26">
        <v>31</v>
      </c>
      <c r="W13" s="26">
        <v>0</v>
      </c>
      <c r="X13" s="26">
        <v>3</v>
      </c>
      <c r="Y13" s="26">
        <v>1</v>
      </c>
      <c r="Z13" s="26">
        <v>11</v>
      </c>
      <c r="AA13" s="26">
        <v>13</v>
      </c>
      <c r="AB13" s="26">
        <v>39</v>
      </c>
      <c r="AC13" s="26">
        <v>15</v>
      </c>
      <c r="AD13" s="26">
        <v>60</v>
      </c>
      <c r="AE13" s="26">
        <v>53</v>
      </c>
      <c r="AF13" s="26">
        <v>2</v>
      </c>
      <c r="AG13" s="26">
        <v>453</v>
      </c>
      <c r="AH13" s="26">
        <v>0</v>
      </c>
      <c r="AI13" s="26">
        <v>0</v>
      </c>
      <c r="AJ13" s="26">
        <v>23</v>
      </c>
      <c r="AK13" s="231"/>
      <c r="AL13" s="3"/>
      <c r="AM13" s="234" t="s">
        <v>404</v>
      </c>
      <c r="AN13" s="235"/>
      <c r="AO13" s="26">
        <v>6</v>
      </c>
      <c r="AP13" s="26">
        <v>0</v>
      </c>
      <c r="AQ13" s="26">
        <v>52</v>
      </c>
      <c r="AR13" s="26">
        <v>5</v>
      </c>
      <c r="AS13" s="26">
        <v>1</v>
      </c>
      <c r="AT13" s="26">
        <v>0</v>
      </c>
      <c r="AU13" s="26">
        <v>0</v>
      </c>
      <c r="AV13" s="26">
        <v>10</v>
      </c>
      <c r="AW13" s="26">
        <v>161</v>
      </c>
      <c r="AX13" s="26">
        <v>2</v>
      </c>
      <c r="AY13" s="26">
        <v>341</v>
      </c>
      <c r="AZ13" s="26">
        <v>65</v>
      </c>
      <c r="BA13" s="26">
        <v>0</v>
      </c>
      <c r="BB13" s="26">
        <v>16</v>
      </c>
      <c r="BC13" s="26">
        <v>4</v>
      </c>
      <c r="BD13" s="26">
        <v>0</v>
      </c>
      <c r="BE13" s="26">
        <v>1</v>
      </c>
      <c r="BF13" s="26">
        <v>16</v>
      </c>
      <c r="BG13" s="26">
        <v>18</v>
      </c>
      <c r="BH13" s="26">
        <v>1</v>
      </c>
      <c r="BI13" s="26">
        <v>1</v>
      </c>
      <c r="BJ13" s="26">
        <v>8</v>
      </c>
      <c r="BK13" s="26">
        <v>4</v>
      </c>
      <c r="BL13" s="26">
        <v>31</v>
      </c>
      <c r="BM13" s="26">
        <v>4</v>
      </c>
      <c r="BN13" s="26">
        <v>85</v>
      </c>
      <c r="BO13" s="26">
        <v>13</v>
      </c>
      <c r="BP13" s="26">
        <v>36</v>
      </c>
      <c r="BQ13" s="26">
        <v>0</v>
      </c>
      <c r="BR13" s="26">
        <v>0</v>
      </c>
      <c r="BS13" s="26">
        <v>58</v>
      </c>
    </row>
    <row r="14" spans="1:73" s="15" customFormat="1" ht="18.600000000000001" customHeight="1" x14ac:dyDescent="0.25">
      <c r="A14" s="125" t="s">
        <v>405</v>
      </c>
      <c r="B14" s="4"/>
      <c r="C14" s="47" t="s">
        <v>75</v>
      </c>
      <c r="D14" s="235"/>
      <c r="E14" s="16">
        <v>89088</v>
      </c>
      <c r="F14" s="16">
        <v>877</v>
      </c>
      <c r="G14" s="16">
        <v>3</v>
      </c>
      <c r="H14" s="16">
        <v>17</v>
      </c>
      <c r="I14" s="16">
        <v>10</v>
      </c>
      <c r="J14" s="16">
        <v>6</v>
      </c>
      <c r="K14" s="16">
        <v>101</v>
      </c>
      <c r="L14" s="16">
        <v>7504</v>
      </c>
      <c r="M14" s="16">
        <v>3399</v>
      </c>
      <c r="N14" s="16">
        <v>46</v>
      </c>
      <c r="O14" s="16">
        <v>536</v>
      </c>
      <c r="P14" s="16">
        <v>204</v>
      </c>
      <c r="Q14" s="16">
        <v>0</v>
      </c>
      <c r="R14" s="16">
        <v>531</v>
      </c>
      <c r="S14" s="16">
        <v>2058</v>
      </c>
      <c r="T14" s="16">
        <v>20</v>
      </c>
      <c r="U14" s="16">
        <v>439</v>
      </c>
      <c r="V14" s="16">
        <v>1168</v>
      </c>
      <c r="W14" s="16">
        <v>15</v>
      </c>
      <c r="X14" s="16">
        <v>53</v>
      </c>
      <c r="Y14" s="16">
        <v>288</v>
      </c>
      <c r="Z14" s="16">
        <v>927</v>
      </c>
      <c r="AA14" s="16">
        <v>775</v>
      </c>
      <c r="AB14" s="16">
        <v>38</v>
      </c>
      <c r="AC14" s="16">
        <v>1114</v>
      </c>
      <c r="AD14" s="16">
        <v>9768</v>
      </c>
      <c r="AE14" s="16">
        <v>3277</v>
      </c>
      <c r="AF14" s="16">
        <v>69</v>
      </c>
      <c r="AG14" s="16">
        <v>2817</v>
      </c>
      <c r="AH14" s="16">
        <v>308</v>
      </c>
      <c r="AI14" s="16">
        <v>52</v>
      </c>
      <c r="AJ14" s="16">
        <v>265</v>
      </c>
      <c r="AK14" s="125" t="s">
        <v>405</v>
      </c>
      <c r="AL14" s="4"/>
      <c r="AM14" s="47" t="s">
        <v>75</v>
      </c>
      <c r="AN14" s="235"/>
      <c r="AO14" s="16">
        <v>164</v>
      </c>
      <c r="AP14" s="16">
        <v>1643</v>
      </c>
      <c r="AQ14" s="16">
        <v>145</v>
      </c>
      <c r="AR14" s="16">
        <v>221</v>
      </c>
      <c r="AS14" s="16">
        <v>11</v>
      </c>
      <c r="AT14" s="16">
        <v>0</v>
      </c>
      <c r="AU14" s="16">
        <v>1</v>
      </c>
      <c r="AV14" s="16">
        <v>324</v>
      </c>
      <c r="AW14" s="16">
        <v>236</v>
      </c>
      <c r="AX14" s="16">
        <v>2648</v>
      </c>
      <c r="AY14" s="16">
        <v>1831</v>
      </c>
      <c r="AZ14" s="16">
        <v>22838</v>
      </c>
      <c r="BA14" s="16">
        <v>47</v>
      </c>
      <c r="BB14" s="16">
        <v>1817</v>
      </c>
      <c r="BC14" s="16">
        <v>181</v>
      </c>
      <c r="BD14" s="16">
        <v>27</v>
      </c>
      <c r="BE14" s="16">
        <v>60</v>
      </c>
      <c r="BF14" s="16">
        <v>64</v>
      </c>
      <c r="BG14" s="16">
        <v>44</v>
      </c>
      <c r="BH14" s="16">
        <v>0</v>
      </c>
      <c r="BI14" s="16">
        <v>2796</v>
      </c>
      <c r="BJ14" s="16">
        <v>2094</v>
      </c>
      <c r="BK14" s="16">
        <v>7088</v>
      </c>
      <c r="BL14" s="16">
        <v>73</v>
      </c>
      <c r="BM14" s="16">
        <v>6</v>
      </c>
      <c r="BN14" s="16">
        <v>1867</v>
      </c>
      <c r="BO14" s="16">
        <v>568</v>
      </c>
      <c r="BP14" s="16">
        <v>5376</v>
      </c>
      <c r="BQ14" s="16">
        <v>0</v>
      </c>
      <c r="BR14" s="16">
        <v>0</v>
      </c>
      <c r="BS14" s="16">
        <v>233</v>
      </c>
    </row>
    <row r="15" spans="1:73" s="15" customFormat="1" ht="18.600000000000001" customHeight="1" x14ac:dyDescent="0.25">
      <c r="A15" s="125"/>
      <c r="B15" s="4"/>
      <c r="C15" s="47" t="s">
        <v>76</v>
      </c>
      <c r="D15" s="235"/>
      <c r="E15" s="16">
        <v>100</v>
      </c>
      <c r="F15" s="26">
        <v>0</v>
      </c>
      <c r="G15" s="26">
        <v>0</v>
      </c>
      <c r="H15" s="26">
        <v>0</v>
      </c>
      <c r="I15" s="26">
        <v>0</v>
      </c>
      <c r="J15" s="26">
        <v>0</v>
      </c>
      <c r="K15" s="26">
        <v>0</v>
      </c>
      <c r="L15" s="26">
        <v>1</v>
      </c>
      <c r="M15" s="26">
        <v>1</v>
      </c>
      <c r="N15" s="26">
        <v>0</v>
      </c>
      <c r="O15" s="26">
        <v>1</v>
      </c>
      <c r="P15" s="26">
        <v>4</v>
      </c>
      <c r="Q15" s="26">
        <v>0</v>
      </c>
      <c r="R15" s="26">
        <v>0</v>
      </c>
      <c r="S15" s="26">
        <v>0</v>
      </c>
      <c r="T15" s="26">
        <v>0</v>
      </c>
      <c r="U15" s="16">
        <v>0</v>
      </c>
      <c r="V15" s="16">
        <v>0</v>
      </c>
      <c r="W15" s="16">
        <v>0</v>
      </c>
      <c r="X15" s="16">
        <v>1</v>
      </c>
      <c r="Y15" s="16">
        <v>0</v>
      </c>
      <c r="Z15" s="16">
        <v>0</v>
      </c>
      <c r="AA15" s="16">
        <v>0</v>
      </c>
      <c r="AB15" s="16">
        <v>0</v>
      </c>
      <c r="AC15" s="16">
        <v>1</v>
      </c>
      <c r="AD15" s="16">
        <v>2</v>
      </c>
      <c r="AE15" s="16">
        <v>0</v>
      </c>
      <c r="AF15" s="16">
        <v>0</v>
      </c>
      <c r="AG15" s="16">
        <v>33</v>
      </c>
      <c r="AH15" s="16">
        <v>0</v>
      </c>
      <c r="AI15" s="16">
        <v>0</v>
      </c>
      <c r="AJ15" s="16">
        <v>2</v>
      </c>
      <c r="AK15" s="125"/>
      <c r="AL15" s="4"/>
      <c r="AM15" s="47" t="s">
        <v>76</v>
      </c>
      <c r="AN15" s="235"/>
      <c r="AO15" s="16">
        <v>1</v>
      </c>
      <c r="AP15" s="16">
        <v>0</v>
      </c>
      <c r="AQ15" s="16">
        <v>0</v>
      </c>
      <c r="AR15" s="16">
        <v>0</v>
      </c>
      <c r="AS15" s="16">
        <v>1</v>
      </c>
      <c r="AT15" s="16">
        <v>0</v>
      </c>
      <c r="AU15" s="16">
        <v>0</v>
      </c>
      <c r="AV15" s="16">
        <v>0</v>
      </c>
      <c r="AW15" s="16">
        <v>6</v>
      </c>
      <c r="AX15" s="16">
        <v>0</v>
      </c>
      <c r="AY15" s="16">
        <v>17</v>
      </c>
      <c r="AZ15" s="16">
        <v>0</v>
      </c>
      <c r="BA15" s="16">
        <v>0</v>
      </c>
      <c r="BB15" s="16">
        <v>1</v>
      </c>
      <c r="BC15" s="16">
        <v>2</v>
      </c>
      <c r="BD15" s="16">
        <v>0</v>
      </c>
      <c r="BE15" s="16">
        <v>0</v>
      </c>
      <c r="BF15" s="16">
        <v>1</v>
      </c>
      <c r="BG15" s="16">
        <v>1</v>
      </c>
      <c r="BH15" s="16">
        <v>0</v>
      </c>
      <c r="BI15" s="16">
        <v>0</v>
      </c>
      <c r="BJ15" s="16">
        <v>0</v>
      </c>
      <c r="BK15" s="16">
        <v>0</v>
      </c>
      <c r="BL15" s="16">
        <v>0</v>
      </c>
      <c r="BM15" s="16">
        <v>0</v>
      </c>
      <c r="BN15" s="16">
        <v>19</v>
      </c>
      <c r="BO15" s="16">
        <v>0</v>
      </c>
      <c r="BP15" s="16">
        <v>3</v>
      </c>
      <c r="BQ15" s="16">
        <v>0</v>
      </c>
      <c r="BR15" s="16">
        <v>0</v>
      </c>
      <c r="BS15" s="16">
        <v>2</v>
      </c>
    </row>
    <row r="16" spans="1:73" s="15" customFormat="1" ht="18.600000000000001" customHeight="1" x14ac:dyDescent="0.25">
      <c r="A16" s="125" t="s">
        <v>406</v>
      </c>
      <c r="B16" s="4"/>
      <c r="C16" s="47" t="s">
        <v>75</v>
      </c>
      <c r="D16" s="235"/>
      <c r="E16" s="16">
        <v>71932</v>
      </c>
      <c r="F16" s="16">
        <v>421</v>
      </c>
      <c r="G16" s="16">
        <v>858</v>
      </c>
      <c r="H16" s="16">
        <v>1104</v>
      </c>
      <c r="I16" s="16">
        <v>0</v>
      </c>
      <c r="J16" s="16">
        <v>136</v>
      </c>
      <c r="K16" s="16">
        <v>57</v>
      </c>
      <c r="L16" s="16">
        <v>8045</v>
      </c>
      <c r="M16" s="16">
        <v>445</v>
      </c>
      <c r="N16" s="16">
        <v>0</v>
      </c>
      <c r="O16" s="16">
        <v>542</v>
      </c>
      <c r="P16" s="16">
        <v>69</v>
      </c>
      <c r="Q16" s="16">
        <v>0</v>
      </c>
      <c r="R16" s="16">
        <v>394</v>
      </c>
      <c r="S16" s="16">
        <v>196</v>
      </c>
      <c r="T16" s="16">
        <v>128</v>
      </c>
      <c r="U16" s="16">
        <v>187</v>
      </c>
      <c r="V16" s="16">
        <v>2751</v>
      </c>
      <c r="W16" s="16">
        <v>4</v>
      </c>
      <c r="X16" s="16">
        <v>50</v>
      </c>
      <c r="Y16" s="16">
        <v>61</v>
      </c>
      <c r="Z16" s="16">
        <v>3107</v>
      </c>
      <c r="AA16" s="16">
        <v>110</v>
      </c>
      <c r="AB16" s="16">
        <v>192</v>
      </c>
      <c r="AC16" s="16">
        <v>577</v>
      </c>
      <c r="AD16" s="16">
        <v>10205</v>
      </c>
      <c r="AE16" s="16">
        <v>4099</v>
      </c>
      <c r="AF16" s="16">
        <v>94</v>
      </c>
      <c r="AG16" s="16">
        <v>1183</v>
      </c>
      <c r="AH16" s="16">
        <v>31</v>
      </c>
      <c r="AI16" s="16">
        <v>0</v>
      </c>
      <c r="AJ16" s="16">
        <v>144</v>
      </c>
      <c r="AK16" s="125" t="s">
        <v>406</v>
      </c>
      <c r="AL16" s="4"/>
      <c r="AM16" s="47" t="s">
        <v>75</v>
      </c>
      <c r="AN16" s="235"/>
      <c r="AO16" s="16">
        <v>22</v>
      </c>
      <c r="AP16" s="16">
        <v>102</v>
      </c>
      <c r="AQ16" s="16">
        <v>639</v>
      </c>
      <c r="AR16" s="16">
        <v>84</v>
      </c>
      <c r="AS16" s="16">
        <v>23</v>
      </c>
      <c r="AT16" s="16">
        <v>5</v>
      </c>
      <c r="AU16" s="16">
        <v>1</v>
      </c>
      <c r="AV16" s="16">
        <v>146</v>
      </c>
      <c r="AW16" s="16">
        <v>576</v>
      </c>
      <c r="AX16" s="16">
        <v>801</v>
      </c>
      <c r="AY16" s="16">
        <v>18293</v>
      </c>
      <c r="AZ16" s="16">
        <v>2275</v>
      </c>
      <c r="BA16" s="16">
        <v>7</v>
      </c>
      <c r="BB16" s="16">
        <v>319</v>
      </c>
      <c r="BC16" s="16">
        <v>137</v>
      </c>
      <c r="BD16" s="16">
        <v>2</v>
      </c>
      <c r="BE16" s="16">
        <v>5</v>
      </c>
      <c r="BF16" s="16">
        <v>28</v>
      </c>
      <c r="BG16" s="16">
        <v>103</v>
      </c>
      <c r="BH16" s="16">
        <v>17</v>
      </c>
      <c r="BI16" s="16">
        <v>49</v>
      </c>
      <c r="BJ16" s="16">
        <v>357</v>
      </c>
      <c r="BK16" s="16">
        <v>1389</v>
      </c>
      <c r="BL16" s="16">
        <v>95</v>
      </c>
      <c r="BM16" s="16">
        <v>957</v>
      </c>
      <c r="BN16" s="16">
        <v>7518</v>
      </c>
      <c r="BO16" s="16">
        <v>166</v>
      </c>
      <c r="BP16" s="16">
        <v>1885</v>
      </c>
      <c r="BQ16" s="16">
        <v>10</v>
      </c>
      <c r="BR16" s="16">
        <v>0</v>
      </c>
      <c r="BS16" s="16">
        <v>731</v>
      </c>
    </row>
    <row r="17" spans="1:71" s="15" customFormat="1" ht="18.600000000000001" customHeight="1" x14ac:dyDescent="0.25">
      <c r="A17" s="125"/>
      <c r="B17" s="4"/>
      <c r="C17" s="47" t="s">
        <v>76</v>
      </c>
      <c r="D17" s="235"/>
      <c r="E17" s="16">
        <v>468</v>
      </c>
      <c r="F17" s="26">
        <v>0</v>
      </c>
      <c r="G17" s="26">
        <v>0</v>
      </c>
      <c r="H17" s="26">
        <v>1</v>
      </c>
      <c r="I17" s="26">
        <v>0</v>
      </c>
      <c r="J17" s="26">
        <v>0</v>
      </c>
      <c r="K17" s="26">
        <v>1</v>
      </c>
      <c r="L17" s="26">
        <v>10</v>
      </c>
      <c r="M17" s="26">
        <v>3</v>
      </c>
      <c r="N17" s="26">
        <v>0</v>
      </c>
      <c r="O17" s="26">
        <v>0</v>
      </c>
      <c r="P17" s="26">
        <v>0</v>
      </c>
      <c r="Q17" s="26">
        <v>0</v>
      </c>
      <c r="R17" s="26">
        <v>9</v>
      </c>
      <c r="S17" s="26">
        <v>2</v>
      </c>
      <c r="T17" s="26">
        <v>0</v>
      </c>
      <c r="U17" s="16">
        <v>1</v>
      </c>
      <c r="V17" s="16">
        <v>10</v>
      </c>
      <c r="W17" s="16">
        <v>0</v>
      </c>
      <c r="X17" s="16">
        <v>0</v>
      </c>
      <c r="Y17" s="16">
        <v>0</v>
      </c>
      <c r="Z17" s="16">
        <v>3</v>
      </c>
      <c r="AA17" s="16">
        <v>0</v>
      </c>
      <c r="AB17" s="16">
        <v>7</v>
      </c>
      <c r="AC17" s="16">
        <v>2</v>
      </c>
      <c r="AD17" s="16">
        <v>19</v>
      </c>
      <c r="AE17" s="16">
        <v>30</v>
      </c>
      <c r="AF17" s="16">
        <v>0</v>
      </c>
      <c r="AG17" s="16">
        <v>139</v>
      </c>
      <c r="AH17" s="16">
        <v>0</v>
      </c>
      <c r="AI17" s="16">
        <v>0</v>
      </c>
      <c r="AJ17" s="16">
        <v>8</v>
      </c>
      <c r="AK17" s="125"/>
      <c r="AL17" s="4"/>
      <c r="AM17" s="47" t="s">
        <v>76</v>
      </c>
      <c r="AN17" s="235"/>
      <c r="AO17" s="16">
        <v>0</v>
      </c>
      <c r="AP17" s="16">
        <v>0</v>
      </c>
      <c r="AQ17" s="16">
        <v>9</v>
      </c>
      <c r="AR17" s="16">
        <v>1</v>
      </c>
      <c r="AS17" s="16">
        <v>0</v>
      </c>
      <c r="AT17" s="16">
        <v>0</v>
      </c>
      <c r="AU17" s="16">
        <v>0</v>
      </c>
      <c r="AV17" s="16">
        <v>4</v>
      </c>
      <c r="AW17" s="16">
        <v>46</v>
      </c>
      <c r="AX17" s="16">
        <v>0</v>
      </c>
      <c r="AY17" s="16">
        <v>103</v>
      </c>
      <c r="AZ17" s="16">
        <v>0</v>
      </c>
      <c r="BA17" s="16">
        <v>0</v>
      </c>
      <c r="BB17" s="16">
        <v>4</v>
      </c>
      <c r="BC17" s="16">
        <v>2</v>
      </c>
      <c r="BD17" s="16">
        <v>0</v>
      </c>
      <c r="BE17" s="16">
        <v>0</v>
      </c>
      <c r="BF17" s="16">
        <v>3</v>
      </c>
      <c r="BG17" s="16">
        <v>5</v>
      </c>
      <c r="BH17" s="16">
        <v>0</v>
      </c>
      <c r="BI17" s="16">
        <v>0</v>
      </c>
      <c r="BJ17" s="16">
        <v>7</v>
      </c>
      <c r="BK17" s="16">
        <v>0</v>
      </c>
      <c r="BL17" s="16">
        <v>12</v>
      </c>
      <c r="BM17" s="16">
        <v>0</v>
      </c>
      <c r="BN17" s="16">
        <v>7</v>
      </c>
      <c r="BO17" s="16">
        <v>5</v>
      </c>
      <c r="BP17" s="16">
        <v>13</v>
      </c>
      <c r="BQ17" s="16">
        <v>0</v>
      </c>
      <c r="BR17" s="16">
        <v>0</v>
      </c>
      <c r="BS17" s="16">
        <v>2</v>
      </c>
    </row>
    <row r="18" spans="1:71" s="15" customFormat="1" ht="18.600000000000001" customHeight="1" x14ac:dyDescent="0.25">
      <c r="A18" s="125" t="s">
        <v>176</v>
      </c>
      <c r="B18" s="5"/>
      <c r="C18" s="47" t="s">
        <v>75</v>
      </c>
      <c r="D18" s="235"/>
      <c r="E18" s="16">
        <v>81832</v>
      </c>
      <c r="F18" s="16">
        <v>69</v>
      </c>
      <c r="G18" s="16">
        <v>90</v>
      </c>
      <c r="H18" s="16">
        <v>17</v>
      </c>
      <c r="I18" s="16">
        <v>65</v>
      </c>
      <c r="J18" s="16">
        <v>25</v>
      </c>
      <c r="K18" s="16">
        <v>108</v>
      </c>
      <c r="L18" s="16">
        <v>13337</v>
      </c>
      <c r="M18" s="16">
        <v>3897</v>
      </c>
      <c r="N18" s="16">
        <v>302</v>
      </c>
      <c r="O18" s="16">
        <v>2407</v>
      </c>
      <c r="P18" s="16">
        <v>107</v>
      </c>
      <c r="Q18" s="16">
        <v>0</v>
      </c>
      <c r="R18" s="16">
        <v>817</v>
      </c>
      <c r="S18" s="16">
        <v>643</v>
      </c>
      <c r="T18" s="16">
        <v>845</v>
      </c>
      <c r="U18" s="16">
        <v>1433</v>
      </c>
      <c r="V18" s="16">
        <v>1260</v>
      </c>
      <c r="W18" s="16">
        <v>144</v>
      </c>
      <c r="X18" s="16">
        <v>507</v>
      </c>
      <c r="Y18" s="16">
        <v>234</v>
      </c>
      <c r="Z18" s="16">
        <v>4682</v>
      </c>
      <c r="AA18" s="16">
        <v>510</v>
      </c>
      <c r="AB18" s="16">
        <v>767</v>
      </c>
      <c r="AC18" s="16">
        <v>1850</v>
      </c>
      <c r="AD18" s="16">
        <v>12908</v>
      </c>
      <c r="AE18" s="16">
        <v>3889</v>
      </c>
      <c r="AF18" s="16">
        <v>368</v>
      </c>
      <c r="AG18" s="16">
        <v>3224</v>
      </c>
      <c r="AH18" s="16">
        <v>1372</v>
      </c>
      <c r="AI18" s="16">
        <v>1</v>
      </c>
      <c r="AJ18" s="16">
        <v>1028</v>
      </c>
      <c r="AK18" s="125" t="s">
        <v>176</v>
      </c>
      <c r="AL18" s="5"/>
      <c r="AM18" s="47" t="s">
        <v>75</v>
      </c>
      <c r="AN18" s="235"/>
      <c r="AO18" s="16">
        <v>77</v>
      </c>
      <c r="AP18" s="16">
        <v>391</v>
      </c>
      <c r="AQ18" s="16">
        <v>397</v>
      </c>
      <c r="AR18" s="16">
        <v>486</v>
      </c>
      <c r="AS18" s="16">
        <v>0</v>
      </c>
      <c r="AT18" s="16">
        <v>0</v>
      </c>
      <c r="AU18" s="16">
        <v>2</v>
      </c>
      <c r="AV18" s="16">
        <v>402</v>
      </c>
      <c r="AW18" s="16">
        <v>304</v>
      </c>
      <c r="AX18" s="16">
        <v>164</v>
      </c>
      <c r="AY18" s="16">
        <v>6526</v>
      </c>
      <c r="AZ18" s="16">
        <v>501</v>
      </c>
      <c r="BA18" s="16">
        <v>2</v>
      </c>
      <c r="BB18" s="16">
        <v>1123</v>
      </c>
      <c r="BC18" s="16">
        <v>51</v>
      </c>
      <c r="BD18" s="16">
        <v>22</v>
      </c>
      <c r="BE18" s="16">
        <v>15</v>
      </c>
      <c r="BF18" s="16">
        <v>21</v>
      </c>
      <c r="BG18" s="16">
        <v>35</v>
      </c>
      <c r="BH18" s="16">
        <v>29</v>
      </c>
      <c r="BI18" s="16">
        <v>460</v>
      </c>
      <c r="BJ18" s="16">
        <v>2025</v>
      </c>
      <c r="BK18" s="16">
        <v>3003</v>
      </c>
      <c r="BL18" s="16">
        <v>109</v>
      </c>
      <c r="BM18" s="16">
        <v>22</v>
      </c>
      <c r="BN18" s="16">
        <v>6145</v>
      </c>
      <c r="BO18" s="16">
        <v>498</v>
      </c>
      <c r="BP18" s="16">
        <v>1954</v>
      </c>
      <c r="BQ18" s="16">
        <v>46</v>
      </c>
      <c r="BR18" s="16">
        <v>0</v>
      </c>
      <c r="BS18" s="16">
        <v>116</v>
      </c>
    </row>
    <row r="19" spans="1:71" s="15" customFormat="1" ht="18.600000000000001" customHeight="1" x14ac:dyDescent="0.25">
      <c r="A19" s="125"/>
      <c r="B19" s="5"/>
      <c r="C19" s="47" t="s">
        <v>76</v>
      </c>
      <c r="D19" s="235"/>
      <c r="E19" s="16">
        <v>170</v>
      </c>
      <c r="F19" s="26">
        <v>0</v>
      </c>
      <c r="G19" s="26">
        <v>0</v>
      </c>
      <c r="H19" s="26">
        <v>0</v>
      </c>
      <c r="I19" s="26">
        <v>0</v>
      </c>
      <c r="J19" s="26">
        <v>0</v>
      </c>
      <c r="K19" s="26">
        <v>0</v>
      </c>
      <c r="L19" s="26">
        <v>7</v>
      </c>
      <c r="M19" s="26">
        <v>1</v>
      </c>
      <c r="N19" s="26">
        <v>0</v>
      </c>
      <c r="O19" s="26">
        <v>0</v>
      </c>
      <c r="P19" s="26">
        <v>0</v>
      </c>
      <c r="Q19" s="26">
        <v>0</v>
      </c>
      <c r="R19" s="26">
        <v>5</v>
      </c>
      <c r="S19" s="26">
        <v>1</v>
      </c>
      <c r="T19" s="26">
        <v>0</v>
      </c>
      <c r="U19" s="16">
        <v>0</v>
      </c>
      <c r="V19" s="16">
        <v>7</v>
      </c>
      <c r="W19" s="16">
        <v>0</v>
      </c>
      <c r="X19" s="16">
        <v>0</v>
      </c>
      <c r="Y19" s="16">
        <v>0</v>
      </c>
      <c r="Z19" s="16">
        <v>1</v>
      </c>
      <c r="AA19" s="16">
        <v>7</v>
      </c>
      <c r="AB19" s="16">
        <v>2</v>
      </c>
      <c r="AC19" s="16">
        <v>3</v>
      </c>
      <c r="AD19" s="16">
        <v>5</v>
      </c>
      <c r="AE19" s="16">
        <v>8</v>
      </c>
      <c r="AF19" s="16">
        <v>0</v>
      </c>
      <c r="AG19" s="16">
        <v>29</v>
      </c>
      <c r="AH19" s="16">
        <v>0</v>
      </c>
      <c r="AI19" s="16">
        <v>0</v>
      </c>
      <c r="AJ19" s="16">
        <v>1</v>
      </c>
      <c r="AK19" s="125"/>
      <c r="AL19" s="5"/>
      <c r="AM19" s="47" t="s">
        <v>76</v>
      </c>
      <c r="AN19" s="235"/>
      <c r="AO19" s="16">
        <v>0</v>
      </c>
      <c r="AP19" s="16">
        <v>0</v>
      </c>
      <c r="AQ19" s="16">
        <v>11</v>
      </c>
      <c r="AR19" s="16">
        <v>0</v>
      </c>
      <c r="AS19" s="16">
        <v>0</v>
      </c>
      <c r="AT19" s="16">
        <v>0</v>
      </c>
      <c r="AU19" s="16">
        <v>0</v>
      </c>
      <c r="AV19" s="16">
        <v>0</v>
      </c>
      <c r="AW19" s="16">
        <v>16</v>
      </c>
      <c r="AX19" s="16">
        <v>1</v>
      </c>
      <c r="AY19" s="16">
        <v>31</v>
      </c>
      <c r="AZ19" s="16">
        <v>13</v>
      </c>
      <c r="BA19" s="16">
        <v>0</v>
      </c>
      <c r="BB19" s="16">
        <v>1</v>
      </c>
      <c r="BC19" s="16">
        <v>0</v>
      </c>
      <c r="BD19" s="16">
        <v>0</v>
      </c>
      <c r="BE19" s="16">
        <v>0</v>
      </c>
      <c r="BF19" s="16">
        <v>0</v>
      </c>
      <c r="BG19" s="16">
        <v>0</v>
      </c>
      <c r="BH19" s="16">
        <v>0</v>
      </c>
      <c r="BI19" s="16">
        <v>0</v>
      </c>
      <c r="BJ19" s="16">
        <v>0</v>
      </c>
      <c r="BK19" s="16">
        <v>0</v>
      </c>
      <c r="BL19" s="16">
        <v>0</v>
      </c>
      <c r="BM19" s="16">
        <v>1</v>
      </c>
      <c r="BN19" s="16">
        <v>3</v>
      </c>
      <c r="BO19" s="16">
        <v>1</v>
      </c>
      <c r="BP19" s="16">
        <v>7</v>
      </c>
      <c r="BQ19" s="16">
        <v>0</v>
      </c>
      <c r="BR19" s="16">
        <v>0</v>
      </c>
      <c r="BS19" s="16">
        <v>8</v>
      </c>
    </row>
    <row r="20" spans="1:71" s="15" customFormat="1" ht="18.600000000000001" customHeight="1" x14ac:dyDescent="0.25">
      <c r="A20" s="125" t="s">
        <v>77</v>
      </c>
      <c r="B20" s="4"/>
      <c r="C20" s="47" t="s">
        <v>75</v>
      </c>
      <c r="D20" s="235"/>
      <c r="E20" s="16">
        <v>88023</v>
      </c>
      <c r="F20" s="16">
        <v>187</v>
      </c>
      <c r="G20" s="16">
        <v>106</v>
      </c>
      <c r="H20" s="16">
        <v>109</v>
      </c>
      <c r="I20" s="16">
        <v>59</v>
      </c>
      <c r="J20" s="16">
        <v>84</v>
      </c>
      <c r="K20" s="16">
        <v>172</v>
      </c>
      <c r="L20" s="16">
        <v>16749</v>
      </c>
      <c r="M20" s="16">
        <v>11302</v>
      </c>
      <c r="N20" s="16">
        <v>694</v>
      </c>
      <c r="O20" s="16">
        <v>1526</v>
      </c>
      <c r="P20" s="16">
        <v>194</v>
      </c>
      <c r="Q20" s="16">
        <v>0</v>
      </c>
      <c r="R20" s="16">
        <v>1282</v>
      </c>
      <c r="S20" s="16">
        <v>904</v>
      </c>
      <c r="T20" s="16">
        <v>128</v>
      </c>
      <c r="U20" s="16">
        <v>1019</v>
      </c>
      <c r="V20" s="16">
        <v>1039</v>
      </c>
      <c r="W20" s="16">
        <v>143</v>
      </c>
      <c r="X20" s="16">
        <v>98</v>
      </c>
      <c r="Y20" s="16">
        <v>228</v>
      </c>
      <c r="Z20" s="16">
        <v>2177</v>
      </c>
      <c r="AA20" s="16">
        <v>903</v>
      </c>
      <c r="AB20" s="16">
        <v>142</v>
      </c>
      <c r="AC20" s="16">
        <v>1259</v>
      </c>
      <c r="AD20" s="16">
        <v>8283</v>
      </c>
      <c r="AE20" s="16">
        <v>6285</v>
      </c>
      <c r="AF20" s="16">
        <v>11</v>
      </c>
      <c r="AG20" s="16">
        <v>3419</v>
      </c>
      <c r="AH20" s="16">
        <v>409</v>
      </c>
      <c r="AI20" s="16">
        <v>47</v>
      </c>
      <c r="AJ20" s="16">
        <v>786</v>
      </c>
      <c r="AK20" s="125" t="s">
        <v>77</v>
      </c>
      <c r="AL20" s="4"/>
      <c r="AM20" s="47" t="s">
        <v>75</v>
      </c>
      <c r="AN20" s="235"/>
      <c r="AO20" s="16">
        <v>354</v>
      </c>
      <c r="AP20" s="16">
        <v>149</v>
      </c>
      <c r="AQ20" s="16">
        <v>604</v>
      </c>
      <c r="AR20" s="16">
        <v>563</v>
      </c>
      <c r="AS20" s="16">
        <v>20</v>
      </c>
      <c r="AT20" s="16">
        <v>1</v>
      </c>
      <c r="AU20" s="16">
        <v>5</v>
      </c>
      <c r="AV20" s="16">
        <v>164</v>
      </c>
      <c r="AW20" s="16">
        <v>532</v>
      </c>
      <c r="AX20" s="16">
        <v>334</v>
      </c>
      <c r="AY20" s="16">
        <v>2753</v>
      </c>
      <c r="AZ20" s="16">
        <v>558</v>
      </c>
      <c r="BA20" s="16">
        <v>46</v>
      </c>
      <c r="BB20" s="16">
        <v>479</v>
      </c>
      <c r="BC20" s="16">
        <v>106</v>
      </c>
      <c r="BD20" s="16">
        <v>13</v>
      </c>
      <c r="BE20" s="16">
        <v>25</v>
      </c>
      <c r="BF20" s="16">
        <v>31</v>
      </c>
      <c r="BG20" s="16">
        <v>3</v>
      </c>
      <c r="BH20" s="16">
        <v>28</v>
      </c>
      <c r="BI20" s="16">
        <v>500</v>
      </c>
      <c r="BJ20" s="16">
        <v>1463</v>
      </c>
      <c r="BK20" s="16">
        <v>2489</v>
      </c>
      <c r="BL20" s="16">
        <v>97</v>
      </c>
      <c r="BM20" s="16">
        <v>28</v>
      </c>
      <c r="BN20" s="16">
        <v>11675</v>
      </c>
      <c r="BO20" s="16">
        <v>1792</v>
      </c>
      <c r="BP20" s="16">
        <v>1229</v>
      </c>
      <c r="BQ20" s="16">
        <v>5</v>
      </c>
      <c r="BR20" s="16">
        <v>0</v>
      </c>
      <c r="BS20" s="16">
        <v>2233</v>
      </c>
    </row>
    <row r="21" spans="1:71" s="15" customFormat="1" ht="18.600000000000001" customHeight="1" x14ac:dyDescent="0.25">
      <c r="A21" s="125"/>
      <c r="B21" s="4"/>
      <c r="C21" s="47" t="s">
        <v>76</v>
      </c>
      <c r="D21" s="235"/>
      <c r="E21" s="16">
        <v>144</v>
      </c>
      <c r="F21" s="16">
        <v>0</v>
      </c>
      <c r="G21" s="16">
        <v>0</v>
      </c>
      <c r="H21" s="16">
        <v>0</v>
      </c>
      <c r="I21" s="16">
        <v>0</v>
      </c>
      <c r="J21" s="16">
        <v>0</v>
      </c>
      <c r="K21" s="16">
        <v>0</v>
      </c>
      <c r="L21" s="16">
        <v>0</v>
      </c>
      <c r="M21" s="16">
        <v>0</v>
      </c>
      <c r="N21" s="16">
        <v>0</v>
      </c>
      <c r="O21" s="16">
        <v>2</v>
      </c>
      <c r="P21" s="16">
        <v>0</v>
      </c>
      <c r="Q21" s="16">
        <v>0</v>
      </c>
      <c r="R21" s="16">
        <v>2</v>
      </c>
      <c r="S21" s="16">
        <v>3</v>
      </c>
      <c r="T21" s="16">
        <v>0</v>
      </c>
      <c r="U21" s="16">
        <v>0</v>
      </c>
      <c r="V21" s="16">
        <v>0</v>
      </c>
      <c r="W21" s="16">
        <v>0</v>
      </c>
      <c r="X21" s="16">
        <v>0</v>
      </c>
      <c r="Y21" s="16">
        <v>0</v>
      </c>
      <c r="Z21" s="16">
        <v>0</v>
      </c>
      <c r="AA21" s="16">
        <v>1</v>
      </c>
      <c r="AB21" s="16">
        <v>4</v>
      </c>
      <c r="AC21" s="16">
        <v>1</v>
      </c>
      <c r="AD21" s="16">
        <v>6</v>
      </c>
      <c r="AE21" s="16">
        <v>6</v>
      </c>
      <c r="AF21" s="16">
        <v>0</v>
      </c>
      <c r="AG21" s="16">
        <v>38</v>
      </c>
      <c r="AH21" s="16">
        <v>0</v>
      </c>
      <c r="AI21" s="16">
        <v>0</v>
      </c>
      <c r="AJ21" s="16">
        <v>3</v>
      </c>
      <c r="AK21" s="125"/>
      <c r="AL21" s="4"/>
      <c r="AM21" s="47" t="s">
        <v>76</v>
      </c>
      <c r="AN21" s="235"/>
      <c r="AO21" s="16">
        <v>0</v>
      </c>
      <c r="AP21" s="16">
        <v>0</v>
      </c>
      <c r="AQ21" s="16">
        <v>1</v>
      </c>
      <c r="AR21" s="16">
        <v>0</v>
      </c>
      <c r="AS21" s="16">
        <v>0</v>
      </c>
      <c r="AT21" s="16">
        <v>0</v>
      </c>
      <c r="AU21" s="16">
        <v>0</v>
      </c>
      <c r="AV21" s="16">
        <v>1</v>
      </c>
      <c r="AW21" s="16">
        <v>5</v>
      </c>
      <c r="AX21" s="16">
        <v>1</v>
      </c>
      <c r="AY21" s="16">
        <v>12</v>
      </c>
      <c r="AZ21" s="16">
        <v>5</v>
      </c>
      <c r="BA21" s="16">
        <v>0</v>
      </c>
      <c r="BB21" s="16">
        <v>4</v>
      </c>
      <c r="BC21" s="16">
        <v>0</v>
      </c>
      <c r="BD21" s="16">
        <v>0</v>
      </c>
      <c r="BE21" s="16">
        <v>1</v>
      </c>
      <c r="BF21" s="16">
        <v>0</v>
      </c>
      <c r="BG21" s="16">
        <v>0</v>
      </c>
      <c r="BH21" s="16">
        <v>0</v>
      </c>
      <c r="BI21" s="16">
        <v>0</v>
      </c>
      <c r="BJ21" s="16">
        <v>0</v>
      </c>
      <c r="BK21" s="16">
        <v>0</v>
      </c>
      <c r="BL21" s="16">
        <v>1</v>
      </c>
      <c r="BM21" s="16">
        <v>3</v>
      </c>
      <c r="BN21" s="16">
        <v>3</v>
      </c>
      <c r="BO21" s="16">
        <v>0</v>
      </c>
      <c r="BP21" s="16">
        <v>1</v>
      </c>
      <c r="BQ21" s="16">
        <v>0</v>
      </c>
      <c r="BR21" s="16">
        <v>0</v>
      </c>
      <c r="BS21" s="16">
        <v>40</v>
      </c>
    </row>
    <row r="22" spans="1:71" s="15" customFormat="1" ht="18.600000000000001" customHeight="1" x14ac:dyDescent="0.25">
      <c r="A22" s="125" t="s">
        <v>79</v>
      </c>
      <c r="B22" s="4"/>
      <c r="C22" s="47" t="s">
        <v>75</v>
      </c>
      <c r="D22" s="235"/>
      <c r="E22" s="16">
        <v>45448</v>
      </c>
      <c r="F22" s="16">
        <v>184</v>
      </c>
      <c r="G22" s="16">
        <v>92</v>
      </c>
      <c r="H22" s="16">
        <v>164</v>
      </c>
      <c r="I22" s="16">
        <v>3</v>
      </c>
      <c r="J22" s="16">
        <v>46</v>
      </c>
      <c r="K22" s="16">
        <v>140</v>
      </c>
      <c r="L22" s="16">
        <v>1582</v>
      </c>
      <c r="M22" s="16">
        <v>1132</v>
      </c>
      <c r="N22" s="16">
        <v>0</v>
      </c>
      <c r="O22" s="16">
        <v>1014</v>
      </c>
      <c r="P22" s="16">
        <v>56</v>
      </c>
      <c r="Q22" s="16">
        <v>0</v>
      </c>
      <c r="R22" s="16">
        <v>402</v>
      </c>
      <c r="S22" s="16">
        <v>470</v>
      </c>
      <c r="T22" s="16">
        <v>7</v>
      </c>
      <c r="U22" s="16">
        <v>472</v>
      </c>
      <c r="V22" s="16">
        <v>1498</v>
      </c>
      <c r="W22" s="16">
        <v>62</v>
      </c>
      <c r="X22" s="16">
        <v>21</v>
      </c>
      <c r="Y22" s="16">
        <v>350</v>
      </c>
      <c r="Z22" s="16">
        <v>594</v>
      </c>
      <c r="AA22" s="16">
        <v>166</v>
      </c>
      <c r="AB22" s="16">
        <v>232</v>
      </c>
      <c r="AC22" s="16">
        <v>978</v>
      </c>
      <c r="AD22" s="16">
        <v>12787</v>
      </c>
      <c r="AE22" s="16">
        <v>4608</v>
      </c>
      <c r="AF22" s="16">
        <v>111</v>
      </c>
      <c r="AG22" s="16">
        <v>2329</v>
      </c>
      <c r="AH22" s="16">
        <v>70</v>
      </c>
      <c r="AI22" s="16">
        <v>6</v>
      </c>
      <c r="AJ22" s="16">
        <v>1439</v>
      </c>
      <c r="AK22" s="125" t="s">
        <v>79</v>
      </c>
      <c r="AL22" s="4"/>
      <c r="AM22" s="47" t="s">
        <v>75</v>
      </c>
      <c r="AN22" s="235"/>
      <c r="AO22" s="16">
        <v>34</v>
      </c>
      <c r="AP22" s="16">
        <v>538</v>
      </c>
      <c r="AQ22" s="16">
        <v>403</v>
      </c>
      <c r="AR22" s="16">
        <v>428</v>
      </c>
      <c r="AS22" s="16">
        <v>20</v>
      </c>
      <c r="AT22" s="16">
        <v>1</v>
      </c>
      <c r="AU22" s="16">
        <v>5</v>
      </c>
      <c r="AV22" s="16">
        <v>130</v>
      </c>
      <c r="AW22" s="16">
        <v>263</v>
      </c>
      <c r="AX22" s="16">
        <v>148</v>
      </c>
      <c r="AY22" s="16">
        <v>5072</v>
      </c>
      <c r="AZ22" s="16">
        <v>586</v>
      </c>
      <c r="BA22" s="16">
        <v>2</v>
      </c>
      <c r="BB22" s="16">
        <v>432</v>
      </c>
      <c r="BC22" s="16">
        <v>17</v>
      </c>
      <c r="BD22" s="16">
        <v>54</v>
      </c>
      <c r="BE22" s="16">
        <v>76</v>
      </c>
      <c r="BF22" s="16">
        <v>24</v>
      </c>
      <c r="BG22" s="16">
        <v>25</v>
      </c>
      <c r="BH22" s="16">
        <v>54</v>
      </c>
      <c r="BI22" s="16">
        <v>151</v>
      </c>
      <c r="BJ22" s="16">
        <v>715</v>
      </c>
      <c r="BK22" s="16">
        <v>1287</v>
      </c>
      <c r="BL22" s="16">
        <v>358</v>
      </c>
      <c r="BM22" s="16">
        <v>94</v>
      </c>
      <c r="BN22" s="16">
        <v>2677</v>
      </c>
      <c r="BO22" s="16">
        <v>407</v>
      </c>
      <c r="BP22" s="16">
        <v>330</v>
      </c>
      <c r="BQ22" s="16">
        <v>0</v>
      </c>
      <c r="BR22" s="16">
        <v>0</v>
      </c>
      <c r="BS22" s="16">
        <v>102</v>
      </c>
    </row>
    <row r="23" spans="1:71" s="15" customFormat="1" ht="18.600000000000001" customHeight="1" x14ac:dyDescent="0.25">
      <c r="A23" s="125"/>
      <c r="B23" s="4"/>
      <c r="C23" s="47" t="s">
        <v>76</v>
      </c>
      <c r="D23" s="235"/>
      <c r="E23" s="16">
        <v>173</v>
      </c>
      <c r="F23" s="16">
        <v>0</v>
      </c>
      <c r="G23" s="16">
        <v>0</v>
      </c>
      <c r="H23" s="16">
        <v>1</v>
      </c>
      <c r="I23" s="16">
        <v>0</v>
      </c>
      <c r="J23" s="16">
        <v>0</v>
      </c>
      <c r="K23" s="16">
        <v>1</v>
      </c>
      <c r="L23" s="16">
        <v>4</v>
      </c>
      <c r="M23" s="16">
        <v>10</v>
      </c>
      <c r="N23" s="16">
        <v>0</v>
      </c>
      <c r="O23" s="16">
        <v>0</v>
      </c>
      <c r="P23" s="16">
        <v>1</v>
      </c>
      <c r="Q23" s="16">
        <v>0</v>
      </c>
      <c r="R23" s="16">
        <v>5</v>
      </c>
      <c r="S23" s="16">
        <v>4</v>
      </c>
      <c r="T23" s="16">
        <v>0</v>
      </c>
      <c r="U23" s="16">
        <v>1</v>
      </c>
      <c r="V23" s="16">
        <v>2</v>
      </c>
      <c r="W23" s="16">
        <v>0</v>
      </c>
      <c r="X23" s="16">
        <v>0</v>
      </c>
      <c r="Y23" s="16">
        <v>0</v>
      </c>
      <c r="Z23" s="16">
        <v>0</v>
      </c>
      <c r="AA23" s="16">
        <v>5</v>
      </c>
      <c r="AB23" s="16">
        <v>5</v>
      </c>
      <c r="AC23" s="16">
        <v>0</v>
      </c>
      <c r="AD23" s="16">
        <v>5</v>
      </c>
      <c r="AE23" s="16">
        <v>4</v>
      </c>
      <c r="AF23" s="16">
        <v>1</v>
      </c>
      <c r="AG23" s="16">
        <v>41</v>
      </c>
      <c r="AH23" s="16">
        <v>0</v>
      </c>
      <c r="AI23" s="16">
        <v>0</v>
      </c>
      <c r="AJ23" s="16">
        <v>2</v>
      </c>
      <c r="AK23" s="125"/>
      <c r="AL23" s="4"/>
      <c r="AM23" s="47" t="s">
        <v>76</v>
      </c>
      <c r="AN23" s="235"/>
      <c r="AO23" s="16">
        <v>0</v>
      </c>
      <c r="AP23" s="16">
        <v>0</v>
      </c>
      <c r="AQ23" s="16">
        <v>13</v>
      </c>
      <c r="AR23" s="16">
        <v>0</v>
      </c>
      <c r="AS23" s="16">
        <v>0</v>
      </c>
      <c r="AT23" s="16">
        <v>0</v>
      </c>
      <c r="AU23" s="16">
        <v>0</v>
      </c>
      <c r="AV23" s="16">
        <v>1</v>
      </c>
      <c r="AW23" s="16">
        <v>13</v>
      </c>
      <c r="AX23" s="16">
        <v>0</v>
      </c>
      <c r="AY23" s="16">
        <v>25</v>
      </c>
      <c r="AZ23" s="16">
        <v>5</v>
      </c>
      <c r="BA23" s="16">
        <v>0</v>
      </c>
      <c r="BB23" s="16">
        <v>2</v>
      </c>
      <c r="BC23" s="16">
        <v>0</v>
      </c>
      <c r="BD23" s="16">
        <v>0</v>
      </c>
      <c r="BE23" s="16">
        <v>0</v>
      </c>
      <c r="BF23" s="16">
        <v>0</v>
      </c>
      <c r="BG23" s="16">
        <v>8</v>
      </c>
      <c r="BH23" s="16">
        <v>0</v>
      </c>
      <c r="BI23" s="16">
        <v>0</v>
      </c>
      <c r="BJ23" s="16">
        <v>0</v>
      </c>
      <c r="BK23" s="16">
        <v>0</v>
      </c>
      <c r="BL23" s="16">
        <v>1</v>
      </c>
      <c r="BM23" s="16">
        <v>0</v>
      </c>
      <c r="BN23" s="16">
        <v>5</v>
      </c>
      <c r="BO23" s="16">
        <v>2</v>
      </c>
      <c r="BP23" s="16">
        <v>5</v>
      </c>
      <c r="BQ23" s="16">
        <v>0</v>
      </c>
      <c r="BR23" s="16">
        <v>0</v>
      </c>
      <c r="BS23" s="16">
        <v>1</v>
      </c>
    </row>
    <row r="24" spans="1:71" s="15" customFormat="1" ht="18.600000000000001" customHeight="1" x14ac:dyDescent="0.25">
      <c r="A24" s="125" t="s">
        <v>407</v>
      </c>
      <c r="B24" s="4"/>
      <c r="C24" s="47" t="s">
        <v>75</v>
      </c>
      <c r="D24" s="235"/>
      <c r="E24" s="16">
        <v>47646</v>
      </c>
      <c r="F24" s="16">
        <v>255</v>
      </c>
      <c r="G24" s="16">
        <v>26</v>
      </c>
      <c r="H24" s="16">
        <v>18</v>
      </c>
      <c r="I24" s="16">
        <v>3</v>
      </c>
      <c r="J24" s="16">
        <v>76</v>
      </c>
      <c r="K24" s="16">
        <v>56</v>
      </c>
      <c r="L24" s="16">
        <v>18023</v>
      </c>
      <c r="M24" s="16">
        <v>5187</v>
      </c>
      <c r="N24" s="16">
        <v>197</v>
      </c>
      <c r="O24" s="16">
        <v>1249</v>
      </c>
      <c r="P24" s="16">
        <v>182</v>
      </c>
      <c r="Q24" s="16">
        <v>0</v>
      </c>
      <c r="R24" s="16">
        <v>686</v>
      </c>
      <c r="S24" s="16">
        <v>555</v>
      </c>
      <c r="T24" s="16">
        <v>133</v>
      </c>
      <c r="U24" s="16">
        <v>286</v>
      </c>
      <c r="V24" s="16">
        <v>871</v>
      </c>
      <c r="W24" s="16">
        <v>33</v>
      </c>
      <c r="X24" s="16">
        <v>21</v>
      </c>
      <c r="Y24" s="16">
        <v>112</v>
      </c>
      <c r="Z24" s="16">
        <v>883</v>
      </c>
      <c r="AA24" s="16">
        <v>398</v>
      </c>
      <c r="AB24" s="16">
        <v>125</v>
      </c>
      <c r="AC24" s="16">
        <v>623</v>
      </c>
      <c r="AD24" s="16">
        <v>2527</v>
      </c>
      <c r="AE24" s="16">
        <v>2458</v>
      </c>
      <c r="AF24" s="16">
        <v>29</v>
      </c>
      <c r="AG24" s="16">
        <v>1684</v>
      </c>
      <c r="AH24" s="16">
        <v>60</v>
      </c>
      <c r="AI24" s="16">
        <v>1</v>
      </c>
      <c r="AJ24" s="16">
        <v>220</v>
      </c>
      <c r="AK24" s="125" t="s">
        <v>407</v>
      </c>
      <c r="AL24" s="4"/>
      <c r="AM24" s="47" t="s">
        <v>75</v>
      </c>
      <c r="AN24" s="235"/>
      <c r="AO24" s="16">
        <v>19</v>
      </c>
      <c r="AP24" s="16">
        <v>49</v>
      </c>
      <c r="AQ24" s="16">
        <v>192</v>
      </c>
      <c r="AR24" s="16">
        <v>208</v>
      </c>
      <c r="AS24" s="16">
        <v>22</v>
      </c>
      <c r="AT24" s="16">
        <v>0</v>
      </c>
      <c r="AU24" s="16">
        <v>1</v>
      </c>
      <c r="AV24" s="16">
        <v>100</v>
      </c>
      <c r="AW24" s="16">
        <v>406</v>
      </c>
      <c r="AX24" s="16">
        <v>177</v>
      </c>
      <c r="AY24" s="16">
        <v>1975</v>
      </c>
      <c r="AZ24" s="16">
        <v>1381</v>
      </c>
      <c r="BA24" s="16">
        <v>31</v>
      </c>
      <c r="BB24" s="16">
        <v>351</v>
      </c>
      <c r="BC24" s="16">
        <v>59</v>
      </c>
      <c r="BD24" s="16">
        <v>54</v>
      </c>
      <c r="BE24" s="16">
        <v>80</v>
      </c>
      <c r="BF24" s="16">
        <v>68</v>
      </c>
      <c r="BG24" s="16">
        <v>149</v>
      </c>
      <c r="BH24" s="16">
        <v>59</v>
      </c>
      <c r="BI24" s="16">
        <v>263</v>
      </c>
      <c r="BJ24" s="16">
        <v>546</v>
      </c>
      <c r="BK24" s="16">
        <v>601</v>
      </c>
      <c r="BL24" s="16">
        <v>236</v>
      </c>
      <c r="BM24" s="16">
        <v>8</v>
      </c>
      <c r="BN24" s="16">
        <v>1960</v>
      </c>
      <c r="BO24" s="16">
        <v>484</v>
      </c>
      <c r="BP24" s="16">
        <v>757</v>
      </c>
      <c r="BQ24" s="16">
        <v>0</v>
      </c>
      <c r="BR24" s="16">
        <v>0</v>
      </c>
      <c r="BS24" s="16">
        <v>433</v>
      </c>
    </row>
    <row r="25" spans="1:71" s="15" customFormat="1" ht="18.600000000000001" customHeight="1" x14ac:dyDescent="0.25">
      <c r="A25" s="125"/>
      <c r="B25" s="4"/>
      <c r="C25" s="47" t="s">
        <v>76</v>
      </c>
      <c r="D25" s="235"/>
      <c r="E25" s="16">
        <v>146</v>
      </c>
      <c r="F25" s="16">
        <v>0</v>
      </c>
      <c r="G25" s="16">
        <v>0</v>
      </c>
      <c r="H25" s="16">
        <v>0</v>
      </c>
      <c r="I25" s="16">
        <v>0</v>
      </c>
      <c r="J25" s="16">
        <v>0</v>
      </c>
      <c r="K25" s="16">
        <v>0</v>
      </c>
      <c r="L25" s="16">
        <v>1</v>
      </c>
      <c r="M25" s="16">
        <v>0</v>
      </c>
      <c r="N25" s="16">
        <v>0</v>
      </c>
      <c r="O25" s="16">
        <v>1</v>
      </c>
      <c r="P25" s="16">
        <v>8</v>
      </c>
      <c r="Q25" s="16">
        <v>0</v>
      </c>
      <c r="R25" s="16">
        <v>1</v>
      </c>
      <c r="S25" s="16">
        <v>2</v>
      </c>
      <c r="T25" s="16">
        <v>0</v>
      </c>
      <c r="U25" s="16">
        <v>0</v>
      </c>
      <c r="V25" s="16">
        <v>0</v>
      </c>
      <c r="W25" s="16">
        <v>0</v>
      </c>
      <c r="X25" s="16">
        <v>0</v>
      </c>
      <c r="Y25" s="16">
        <v>0</v>
      </c>
      <c r="Z25" s="16">
        <v>0</v>
      </c>
      <c r="AA25" s="16">
        <v>0</v>
      </c>
      <c r="AB25" s="16">
        <v>4</v>
      </c>
      <c r="AC25" s="16">
        <v>1</v>
      </c>
      <c r="AD25" s="16">
        <v>7</v>
      </c>
      <c r="AE25" s="16">
        <v>2</v>
      </c>
      <c r="AF25" s="16">
        <v>0</v>
      </c>
      <c r="AG25" s="16">
        <v>30</v>
      </c>
      <c r="AH25" s="16">
        <v>0</v>
      </c>
      <c r="AI25" s="16">
        <v>0</v>
      </c>
      <c r="AJ25" s="16">
        <v>0</v>
      </c>
      <c r="AK25" s="125"/>
      <c r="AL25" s="4"/>
      <c r="AM25" s="47" t="s">
        <v>76</v>
      </c>
      <c r="AN25" s="235"/>
      <c r="AO25" s="16">
        <v>0</v>
      </c>
      <c r="AP25" s="16">
        <v>0</v>
      </c>
      <c r="AQ25" s="16">
        <v>4</v>
      </c>
      <c r="AR25" s="16">
        <v>0</v>
      </c>
      <c r="AS25" s="16">
        <v>0</v>
      </c>
      <c r="AT25" s="16">
        <v>0</v>
      </c>
      <c r="AU25" s="16">
        <v>0</v>
      </c>
      <c r="AV25" s="16">
        <v>4</v>
      </c>
      <c r="AW25" s="16">
        <v>16</v>
      </c>
      <c r="AX25" s="16">
        <v>0</v>
      </c>
      <c r="AY25" s="16">
        <v>20</v>
      </c>
      <c r="AZ25" s="16">
        <v>3</v>
      </c>
      <c r="BA25" s="16">
        <v>0</v>
      </c>
      <c r="BB25" s="16">
        <v>0</v>
      </c>
      <c r="BC25" s="16">
        <v>0</v>
      </c>
      <c r="BD25" s="16">
        <v>0</v>
      </c>
      <c r="BE25" s="16">
        <v>0</v>
      </c>
      <c r="BF25" s="16">
        <v>5</v>
      </c>
      <c r="BG25" s="16">
        <v>2</v>
      </c>
      <c r="BH25" s="16">
        <v>0</v>
      </c>
      <c r="BI25" s="16">
        <v>0</v>
      </c>
      <c r="BJ25" s="16">
        <v>0</v>
      </c>
      <c r="BK25" s="16">
        <v>0</v>
      </c>
      <c r="BL25" s="16">
        <v>5</v>
      </c>
      <c r="BM25" s="16">
        <v>0</v>
      </c>
      <c r="BN25" s="16">
        <v>22</v>
      </c>
      <c r="BO25" s="16">
        <v>4</v>
      </c>
      <c r="BP25" s="16">
        <v>0</v>
      </c>
      <c r="BQ25" s="16">
        <v>0</v>
      </c>
      <c r="BR25" s="16">
        <v>0</v>
      </c>
      <c r="BS25" s="16">
        <v>4</v>
      </c>
    </row>
    <row r="26" spans="1:71" s="15" customFormat="1" ht="18.600000000000001" customHeight="1" x14ac:dyDescent="0.25">
      <c r="A26" s="125" t="s">
        <v>408</v>
      </c>
      <c r="B26" s="4"/>
      <c r="C26" s="47" t="s">
        <v>75</v>
      </c>
      <c r="D26" s="235"/>
      <c r="E26" s="16">
        <v>16480</v>
      </c>
      <c r="F26" s="16">
        <v>27</v>
      </c>
      <c r="G26" s="16">
        <v>1</v>
      </c>
      <c r="H26" s="16">
        <v>0</v>
      </c>
      <c r="I26" s="16">
        <v>4</v>
      </c>
      <c r="J26" s="16">
        <v>8</v>
      </c>
      <c r="K26" s="16">
        <v>21</v>
      </c>
      <c r="L26" s="16">
        <v>1931</v>
      </c>
      <c r="M26" s="16">
        <v>458</v>
      </c>
      <c r="N26" s="16">
        <v>9</v>
      </c>
      <c r="O26" s="16">
        <v>424</v>
      </c>
      <c r="P26" s="16">
        <v>95</v>
      </c>
      <c r="Q26" s="16">
        <v>0</v>
      </c>
      <c r="R26" s="16">
        <v>504</v>
      </c>
      <c r="S26" s="16">
        <v>153</v>
      </c>
      <c r="T26" s="16">
        <v>41</v>
      </c>
      <c r="U26" s="16">
        <v>106</v>
      </c>
      <c r="V26" s="16">
        <v>239</v>
      </c>
      <c r="W26" s="16">
        <v>7</v>
      </c>
      <c r="X26" s="16">
        <v>23</v>
      </c>
      <c r="Y26" s="16">
        <v>54</v>
      </c>
      <c r="Z26" s="16">
        <v>111</v>
      </c>
      <c r="AA26" s="16">
        <v>105</v>
      </c>
      <c r="AB26" s="16">
        <v>344</v>
      </c>
      <c r="AC26" s="16">
        <v>134</v>
      </c>
      <c r="AD26" s="16">
        <v>621</v>
      </c>
      <c r="AE26" s="16">
        <v>109</v>
      </c>
      <c r="AF26" s="16">
        <v>3</v>
      </c>
      <c r="AG26" s="16">
        <v>1404</v>
      </c>
      <c r="AH26" s="16">
        <v>12</v>
      </c>
      <c r="AI26" s="16">
        <v>5</v>
      </c>
      <c r="AJ26" s="16">
        <v>65</v>
      </c>
      <c r="AK26" s="125" t="s">
        <v>408</v>
      </c>
      <c r="AL26" s="4"/>
      <c r="AM26" s="47" t="s">
        <v>75</v>
      </c>
      <c r="AN26" s="235"/>
      <c r="AO26" s="16">
        <v>145</v>
      </c>
      <c r="AP26" s="16">
        <v>5</v>
      </c>
      <c r="AQ26" s="16">
        <v>169</v>
      </c>
      <c r="AR26" s="16">
        <v>126</v>
      </c>
      <c r="AS26" s="16">
        <v>2</v>
      </c>
      <c r="AT26" s="16">
        <v>0</v>
      </c>
      <c r="AU26" s="16">
        <v>0</v>
      </c>
      <c r="AV26" s="16">
        <v>59</v>
      </c>
      <c r="AW26" s="16">
        <v>959</v>
      </c>
      <c r="AX26" s="16">
        <v>31</v>
      </c>
      <c r="AY26" s="16">
        <v>3390</v>
      </c>
      <c r="AZ26" s="16">
        <v>358</v>
      </c>
      <c r="BA26" s="16">
        <v>4</v>
      </c>
      <c r="BB26" s="16">
        <v>80</v>
      </c>
      <c r="BC26" s="16">
        <v>15</v>
      </c>
      <c r="BD26" s="16">
        <v>122</v>
      </c>
      <c r="BE26" s="16">
        <v>20</v>
      </c>
      <c r="BF26" s="16">
        <v>34</v>
      </c>
      <c r="BG26" s="16">
        <v>70</v>
      </c>
      <c r="BH26" s="16">
        <v>3</v>
      </c>
      <c r="BI26" s="16">
        <v>47</v>
      </c>
      <c r="BJ26" s="16">
        <v>194</v>
      </c>
      <c r="BK26" s="16">
        <v>83</v>
      </c>
      <c r="BL26" s="16">
        <v>412</v>
      </c>
      <c r="BM26" s="16">
        <v>51</v>
      </c>
      <c r="BN26" s="16">
        <v>2405</v>
      </c>
      <c r="BO26" s="16">
        <v>384</v>
      </c>
      <c r="BP26" s="16">
        <v>279</v>
      </c>
      <c r="BQ26" s="16">
        <v>0</v>
      </c>
      <c r="BR26" s="16">
        <v>0</v>
      </c>
      <c r="BS26" s="16">
        <v>15</v>
      </c>
    </row>
    <row r="27" spans="1:71" s="15" customFormat="1" ht="18.600000000000001" customHeight="1" x14ac:dyDescent="0.25">
      <c r="A27" s="125"/>
      <c r="B27" s="4"/>
      <c r="C27" s="47" t="s">
        <v>76</v>
      </c>
      <c r="D27" s="235"/>
      <c r="E27" s="16">
        <v>32</v>
      </c>
      <c r="F27" s="26">
        <v>0</v>
      </c>
      <c r="G27" s="26">
        <v>0</v>
      </c>
      <c r="H27" s="26">
        <v>0</v>
      </c>
      <c r="I27" s="26">
        <v>0</v>
      </c>
      <c r="J27" s="26">
        <v>0</v>
      </c>
      <c r="K27" s="26">
        <v>0</v>
      </c>
      <c r="L27" s="26">
        <v>0</v>
      </c>
      <c r="M27" s="26">
        <v>0</v>
      </c>
      <c r="N27" s="26">
        <v>0</v>
      </c>
      <c r="O27" s="26">
        <v>0</v>
      </c>
      <c r="P27" s="26">
        <v>0</v>
      </c>
      <c r="Q27" s="26">
        <v>0</v>
      </c>
      <c r="R27" s="26">
        <v>0</v>
      </c>
      <c r="S27" s="26">
        <v>0</v>
      </c>
      <c r="T27" s="26">
        <v>0</v>
      </c>
      <c r="U27" s="16">
        <v>0</v>
      </c>
      <c r="V27" s="16">
        <v>0</v>
      </c>
      <c r="W27" s="16">
        <v>0</v>
      </c>
      <c r="X27" s="16">
        <v>0</v>
      </c>
      <c r="Y27" s="16">
        <v>0</v>
      </c>
      <c r="Z27" s="16">
        <v>0</v>
      </c>
      <c r="AA27" s="16">
        <v>0</v>
      </c>
      <c r="AB27" s="16">
        <v>2</v>
      </c>
      <c r="AC27" s="16">
        <v>0</v>
      </c>
      <c r="AD27" s="16">
        <v>0</v>
      </c>
      <c r="AE27" s="16">
        <v>0</v>
      </c>
      <c r="AF27" s="16">
        <v>0</v>
      </c>
      <c r="AG27" s="16">
        <v>14</v>
      </c>
      <c r="AH27" s="16">
        <v>0</v>
      </c>
      <c r="AI27" s="16">
        <v>0</v>
      </c>
      <c r="AJ27" s="16">
        <v>0</v>
      </c>
      <c r="AK27" s="125"/>
      <c r="AL27" s="4"/>
      <c r="AM27" s="47" t="s">
        <v>76</v>
      </c>
      <c r="AN27" s="235"/>
      <c r="AO27" s="16">
        <v>1</v>
      </c>
      <c r="AP27" s="16">
        <v>0</v>
      </c>
      <c r="AQ27" s="16">
        <v>0</v>
      </c>
      <c r="AR27" s="16">
        <v>0</v>
      </c>
      <c r="AS27" s="16">
        <v>0</v>
      </c>
      <c r="AT27" s="16">
        <v>0</v>
      </c>
      <c r="AU27" s="16">
        <v>0</v>
      </c>
      <c r="AV27" s="16">
        <v>0</v>
      </c>
      <c r="AW27" s="16">
        <v>2</v>
      </c>
      <c r="AX27" s="16">
        <v>0</v>
      </c>
      <c r="AY27" s="16">
        <v>5</v>
      </c>
      <c r="AZ27" s="16">
        <v>1</v>
      </c>
      <c r="BA27" s="16">
        <v>0</v>
      </c>
      <c r="BB27" s="16">
        <v>0</v>
      </c>
      <c r="BC27" s="16">
        <v>0</v>
      </c>
      <c r="BD27" s="16">
        <v>0</v>
      </c>
      <c r="BE27" s="16">
        <v>0</v>
      </c>
      <c r="BF27" s="16">
        <v>1</v>
      </c>
      <c r="BG27" s="16">
        <v>0</v>
      </c>
      <c r="BH27" s="16">
        <v>0</v>
      </c>
      <c r="BI27" s="16">
        <v>0</v>
      </c>
      <c r="BJ27" s="16">
        <v>0</v>
      </c>
      <c r="BK27" s="16">
        <v>0</v>
      </c>
      <c r="BL27" s="16">
        <v>3</v>
      </c>
      <c r="BM27" s="16">
        <v>0</v>
      </c>
      <c r="BN27" s="16">
        <v>2</v>
      </c>
      <c r="BO27" s="16">
        <v>0</v>
      </c>
      <c r="BP27" s="16">
        <v>0</v>
      </c>
      <c r="BQ27" s="16">
        <v>0</v>
      </c>
      <c r="BR27" s="16">
        <v>0</v>
      </c>
      <c r="BS27" s="16">
        <v>1</v>
      </c>
    </row>
    <row r="28" spans="1:71" s="15" customFormat="1" ht="18.600000000000001" customHeight="1" x14ac:dyDescent="0.25">
      <c r="A28" s="125" t="s">
        <v>82</v>
      </c>
      <c r="B28" s="4"/>
      <c r="C28" s="47" t="s">
        <v>75</v>
      </c>
      <c r="D28" s="235"/>
      <c r="E28" s="16">
        <v>3816</v>
      </c>
      <c r="F28" s="16">
        <v>4</v>
      </c>
      <c r="G28" s="16">
        <v>0</v>
      </c>
      <c r="H28" s="16">
        <v>4</v>
      </c>
      <c r="I28" s="16">
        <v>0</v>
      </c>
      <c r="J28" s="16">
        <v>4</v>
      </c>
      <c r="K28" s="16">
        <v>8</v>
      </c>
      <c r="L28" s="16">
        <v>919</v>
      </c>
      <c r="M28" s="16">
        <v>322</v>
      </c>
      <c r="N28" s="16">
        <v>0</v>
      </c>
      <c r="O28" s="16">
        <v>266</v>
      </c>
      <c r="P28" s="16">
        <v>4</v>
      </c>
      <c r="Q28" s="16">
        <v>0</v>
      </c>
      <c r="R28" s="16">
        <v>91</v>
      </c>
      <c r="S28" s="16">
        <v>20</v>
      </c>
      <c r="T28" s="16">
        <v>2</v>
      </c>
      <c r="U28" s="16">
        <v>14</v>
      </c>
      <c r="V28" s="16">
        <v>41</v>
      </c>
      <c r="W28" s="16">
        <v>0</v>
      </c>
      <c r="X28" s="16">
        <v>5</v>
      </c>
      <c r="Y28" s="16">
        <v>20</v>
      </c>
      <c r="Z28" s="16">
        <v>5</v>
      </c>
      <c r="AA28" s="16">
        <v>18</v>
      </c>
      <c r="AB28" s="16">
        <v>15</v>
      </c>
      <c r="AC28" s="16">
        <v>24</v>
      </c>
      <c r="AD28" s="16">
        <v>165</v>
      </c>
      <c r="AE28" s="16">
        <v>22</v>
      </c>
      <c r="AF28" s="16">
        <v>2</v>
      </c>
      <c r="AG28" s="16">
        <v>254</v>
      </c>
      <c r="AH28" s="16">
        <v>1</v>
      </c>
      <c r="AI28" s="16">
        <v>0</v>
      </c>
      <c r="AJ28" s="16">
        <v>13</v>
      </c>
      <c r="AK28" s="125" t="s">
        <v>82</v>
      </c>
      <c r="AL28" s="4"/>
      <c r="AM28" s="47" t="s">
        <v>75</v>
      </c>
      <c r="AN28" s="235"/>
      <c r="AO28" s="16">
        <v>11</v>
      </c>
      <c r="AP28" s="16">
        <v>3</v>
      </c>
      <c r="AQ28" s="16">
        <v>43</v>
      </c>
      <c r="AR28" s="16">
        <v>13</v>
      </c>
      <c r="AS28" s="16">
        <v>3</v>
      </c>
      <c r="AT28" s="16">
        <v>0</v>
      </c>
      <c r="AU28" s="16">
        <v>2</v>
      </c>
      <c r="AV28" s="16">
        <v>14</v>
      </c>
      <c r="AW28" s="16">
        <v>28</v>
      </c>
      <c r="AX28" s="16">
        <v>2</v>
      </c>
      <c r="AY28" s="16">
        <v>57</v>
      </c>
      <c r="AZ28" s="16">
        <v>45</v>
      </c>
      <c r="BA28" s="16">
        <v>1</v>
      </c>
      <c r="BB28" s="16">
        <v>6</v>
      </c>
      <c r="BC28" s="16">
        <v>2</v>
      </c>
      <c r="BD28" s="16">
        <v>0</v>
      </c>
      <c r="BE28" s="16">
        <v>1</v>
      </c>
      <c r="BF28" s="16">
        <v>10</v>
      </c>
      <c r="BG28" s="16">
        <v>4</v>
      </c>
      <c r="BH28" s="16">
        <v>0</v>
      </c>
      <c r="BI28" s="16">
        <v>0</v>
      </c>
      <c r="BJ28" s="16">
        <v>17</v>
      </c>
      <c r="BK28" s="16">
        <v>6</v>
      </c>
      <c r="BL28" s="16">
        <v>4</v>
      </c>
      <c r="BM28" s="16">
        <v>8</v>
      </c>
      <c r="BN28" s="16">
        <v>979</v>
      </c>
      <c r="BO28" s="16">
        <v>226</v>
      </c>
      <c r="BP28" s="16">
        <v>62</v>
      </c>
      <c r="BQ28" s="16">
        <v>0</v>
      </c>
      <c r="BR28" s="16">
        <v>0</v>
      </c>
      <c r="BS28" s="16">
        <v>26</v>
      </c>
    </row>
    <row r="29" spans="1:71" s="15" customFormat="1" ht="18.600000000000001" customHeight="1" x14ac:dyDescent="0.25">
      <c r="A29" s="125"/>
      <c r="B29" s="4"/>
      <c r="C29" s="47" t="s">
        <v>76</v>
      </c>
      <c r="D29" s="235"/>
      <c r="E29" s="16">
        <v>24</v>
      </c>
      <c r="F29" s="26">
        <v>0</v>
      </c>
      <c r="G29" s="26">
        <v>0</v>
      </c>
      <c r="H29" s="26">
        <v>0</v>
      </c>
      <c r="I29" s="26">
        <v>0</v>
      </c>
      <c r="J29" s="26">
        <v>0</v>
      </c>
      <c r="K29" s="26">
        <v>0</v>
      </c>
      <c r="L29" s="26">
        <v>0</v>
      </c>
      <c r="M29" s="26">
        <v>0</v>
      </c>
      <c r="N29" s="26">
        <v>0</v>
      </c>
      <c r="O29" s="26">
        <v>0</v>
      </c>
      <c r="P29" s="26">
        <v>0</v>
      </c>
      <c r="Q29" s="26">
        <v>0</v>
      </c>
      <c r="R29" s="26">
        <v>0</v>
      </c>
      <c r="S29" s="26">
        <v>0</v>
      </c>
      <c r="T29" s="26">
        <v>0</v>
      </c>
      <c r="U29" s="16">
        <v>0</v>
      </c>
      <c r="V29" s="16">
        <v>0</v>
      </c>
      <c r="W29" s="16">
        <v>0</v>
      </c>
      <c r="X29" s="16">
        <v>0</v>
      </c>
      <c r="Y29" s="16">
        <v>0</v>
      </c>
      <c r="Z29" s="16">
        <v>0</v>
      </c>
      <c r="AA29" s="16">
        <v>0</v>
      </c>
      <c r="AB29" s="16">
        <v>0</v>
      </c>
      <c r="AC29" s="16">
        <v>0</v>
      </c>
      <c r="AD29" s="16">
        <v>0</v>
      </c>
      <c r="AE29" s="16">
        <v>0</v>
      </c>
      <c r="AF29" s="16">
        <v>0</v>
      </c>
      <c r="AG29" s="16">
        <v>6</v>
      </c>
      <c r="AH29" s="16">
        <v>0</v>
      </c>
      <c r="AI29" s="16">
        <v>0</v>
      </c>
      <c r="AJ29" s="16">
        <v>0</v>
      </c>
      <c r="AK29" s="125"/>
      <c r="AL29" s="4"/>
      <c r="AM29" s="47" t="s">
        <v>76</v>
      </c>
      <c r="AN29" s="235"/>
      <c r="AO29" s="16">
        <v>2</v>
      </c>
      <c r="AP29" s="16">
        <v>0</v>
      </c>
      <c r="AQ29" s="16">
        <v>0</v>
      </c>
      <c r="AR29" s="16">
        <v>0</v>
      </c>
      <c r="AS29" s="16">
        <v>0</v>
      </c>
      <c r="AT29" s="16">
        <v>0</v>
      </c>
      <c r="AU29" s="16">
        <v>0</v>
      </c>
      <c r="AV29" s="16">
        <v>0</v>
      </c>
      <c r="AW29" s="16">
        <v>3</v>
      </c>
      <c r="AX29" s="16">
        <v>0</v>
      </c>
      <c r="AY29" s="16">
        <v>10</v>
      </c>
      <c r="AZ29" s="16">
        <v>0</v>
      </c>
      <c r="BA29" s="16">
        <v>0</v>
      </c>
      <c r="BB29" s="16">
        <v>0</v>
      </c>
      <c r="BC29" s="16">
        <v>0</v>
      </c>
      <c r="BD29" s="16">
        <v>0</v>
      </c>
      <c r="BE29" s="16">
        <v>0</v>
      </c>
      <c r="BF29" s="16">
        <v>0</v>
      </c>
      <c r="BG29" s="16">
        <v>0</v>
      </c>
      <c r="BH29" s="16">
        <v>0</v>
      </c>
      <c r="BI29" s="16">
        <v>0</v>
      </c>
      <c r="BJ29" s="16">
        <v>0</v>
      </c>
      <c r="BK29" s="16">
        <v>0</v>
      </c>
      <c r="BL29" s="16">
        <v>0</v>
      </c>
      <c r="BM29" s="16">
        <v>0</v>
      </c>
      <c r="BN29" s="16">
        <v>3</v>
      </c>
      <c r="BO29" s="16">
        <v>0</v>
      </c>
      <c r="BP29" s="16">
        <v>0</v>
      </c>
      <c r="BQ29" s="16">
        <v>0</v>
      </c>
      <c r="BR29" s="16">
        <v>0</v>
      </c>
      <c r="BS29" s="16">
        <v>0</v>
      </c>
    </row>
    <row r="30" spans="1:71" s="15" customFormat="1" ht="18.600000000000001" customHeight="1" x14ac:dyDescent="0.25">
      <c r="A30" s="125" t="s">
        <v>83</v>
      </c>
      <c r="B30" s="4"/>
      <c r="C30" s="47" t="s">
        <v>75</v>
      </c>
      <c r="D30" s="235"/>
      <c r="E30" s="16">
        <v>4318</v>
      </c>
      <c r="F30" s="16">
        <v>6</v>
      </c>
      <c r="G30" s="16">
        <v>1</v>
      </c>
      <c r="H30" s="16">
        <v>0</v>
      </c>
      <c r="I30" s="16">
        <v>0</v>
      </c>
      <c r="J30" s="16">
        <v>0</v>
      </c>
      <c r="K30" s="16">
        <v>3</v>
      </c>
      <c r="L30" s="16">
        <v>519</v>
      </c>
      <c r="M30" s="16">
        <v>234</v>
      </c>
      <c r="N30" s="16">
        <v>14</v>
      </c>
      <c r="O30" s="16">
        <v>289</v>
      </c>
      <c r="P30" s="16">
        <v>3</v>
      </c>
      <c r="Q30" s="16">
        <v>0</v>
      </c>
      <c r="R30" s="16">
        <v>131</v>
      </c>
      <c r="S30" s="16">
        <v>27</v>
      </c>
      <c r="T30" s="16">
        <v>0</v>
      </c>
      <c r="U30" s="16">
        <v>13</v>
      </c>
      <c r="V30" s="16">
        <v>63</v>
      </c>
      <c r="W30" s="16">
        <v>0</v>
      </c>
      <c r="X30" s="16">
        <v>1</v>
      </c>
      <c r="Y30" s="16">
        <v>0</v>
      </c>
      <c r="Z30" s="16">
        <v>36</v>
      </c>
      <c r="AA30" s="16">
        <v>16</v>
      </c>
      <c r="AB30" s="16">
        <v>17</v>
      </c>
      <c r="AC30" s="16">
        <v>9</v>
      </c>
      <c r="AD30" s="16">
        <v>113</v>
      </c>
      <c r="AE30" s="16">
        <v>23</v>
      </c>
      <c r="AF30" s="16">
        <v>2</v>
      </c>
      <c r="AG30" s="16">
        <v>276</v>
      </c>
      <c r="AH30" s="16">
        <v>0</v>
      </c>
      <c r="AI30" s="16">
        <v>0</v>
      </c>
      <c r="AJ30" s="16">
        <v>13</v>
      </c>
      <c r="AK30" s="125" t="s">
        <v>83</v>
      </c>
      <c r="AL30" s="4"/>
      <c r="AM30" s="47" t="s">
        <v>75</v>
      </c>
      <c r="AN30" s="235"/>
      <c r="AO30" s="16">
        <v>5</v>
      </c>
      <c r="AP30" s="16">
        <v>7</v>
      </c>
      <c r="AQ30" s="16">
        <v>67</v>
      </c>
      <c r="AR30" s="16">
        <v>4</v>
      </c>
      <c r="AS30" s="16">
        <v>3</v>
      </c>
      <c r="AT30" s="16">
        <v>0</v>
      </c>
      <c r="AU30" s="16">
        <v>0</v>
      </c>
      <c r="AV30" s="16">
        <v>2</v>
      </c>
      <c r="AW30" s="16">
        <v>27</v>
      </c>
      <c r="AX30" s="16">
        <v>0</v>
      </c>
      <c r="AY30" s="16">
        <v>63</v>
      </c>
      <c r="AZ30" s="16">
        <v>360</v>
      </c>
      <c r="BA30" s="16">
        <v>2</v>
      </c>
      <c r="BB30" s="16">
        <v>1</v>
      </c>
      <c r="BC30" s="16">
        <v>0</v>
      </c>
      <c r="BD30" s="16">
        <v>1</v>
      </c>
      <c r="BE30" s="16">
        <v>3</v>
      </c>
      <c r="BF30" s="16">
        <v>19</v>
      </c>
      <c r="BG30" s="16">
        <v>0</v>
      </c>
      <c r="BH30" s="16">
        <v>12</v>
      </c>
      <c r="BI30" s="16">
        <v>6</v>
      </c>
      <c r="BJ30" s="16">
        <v>24</v>
      </c>
      <c r="BK30" s="16">
        <v>9</v>
      </c>
      <c r="BL30" s="16">
        <v>5</v>
      </c>
      <c r="BM30" s="16">
        <v>2</v>
      </c>
      <c r="BN30" s="16">
        <v>1607</v>
      </c>
      <c r="BO30" s="16">
        <v>221</v>
      </c>
      <c r="BP30" s="16">
        <v>44</v>
      </c>
      <c r="BQ30" s="16">
        <v>0</v>
      </c>
      <c r="BR30" s="16">
        <v>0</v>
      </c>
      <c r="BS30" s="16">
        <v>15</v>
      </c>
    </row>
    <row r="31" spans="1:71" s="15" customFormat="1" ht="18.600000000000001" customHeight="1" x14ac:dyDescent="0.25">
      <c r="A31" s="125"/>
      <c r="B31" s="4"/>
      <c r="C31" s="47" t="s">
        <v>76</v>
      </c>
      <c r="D31" s="235"/>
      <c r="E31" s="16">
        <v>19</v>
      </c>
      <c r="F31" s="26">
        <v>0</v>
      </c>
      <c r="G31" s="26">
        <v>0</v>
      </c>
      <c r="H31" s="26">
        <v>0</v>
      </c>
      <c r="I31" s="26">
        <v>0</v>
      </c>
      <c r="J31" s="26">
        <v>0</v>
      </c>
      <c r="K31" s="26">
        <v>0</v>
      </c>
      <c r="L31" s="26">
        <v>0</v>
      </c>
      <c r="M31" s="26">
        <v>1</v>
      </c>
      <c r="N31" s="26">
        <v>0</v>
      </c>
      <c r="O31" s="26">
        <v>0</v>
      </c>
      <c r="P31" s="26">
        <v>0</v>
      </c>
      <c r="Q31" s="26">
        <v>0</v>
      </c>
      <c r="R31" s="26">
        <v>1</v>
      </c>
      <c r="S31" s="26">
        <v>0</v>
      </c>
      <c r="T31" s="26">
        <v>0</v>
      </c>
      <c r="U31" s="16">
        <v>0</v>
      </c>
      <c r="V31" s="16">
        <v>2</v>
      </c>
      <c r="W31" s="16">
        <v>0</v>
      </c>
      <c r="X31" s="16">
        <v>0</v>
      </c>
      <c r="Y31" s="16">
        <v>0</v>
      </c>
      <c r="Z31" s="16">
        <v>0</v>
      </c>
      <c r="AA31" s="16">
        <v>0</v>
      </c>
      <c r="AB31" s="16">
        <v>1</v>
      </c>
      <c r="AC31" s="16">
        <v>1</v>
      </c>
      <c r="AD31" s="16">
        <v>0</v>
      </c>
      <c r="AE31" s="16">
        <v>0</v>
      </c>
      <c r="AF31" s="16">
        <v>1</v>
      </c>
      <c r="AG31" s="16">
        <v>10</v>
      </c>
      <c r="AH31" s="16">
        <v>0</v>
      </c>
      <c r="AI31" s="16">
        <v>0</v>
      </c>
      <c r="AJ31" s="16">
        <v>0</v>
      </c>
      <c r="AK31" s="125"/>
      <c r="AL31" s="4"/>
      <c r="AM31" s="47" t="s">
        <v>76</v>
      </c>
      <c r="AN31" s="235"/>
      <c r="AO31" s="16">
        <v>0</v>
      </c>
      <c r="AP31" s="16">
        <v>0</v>
      </c>
      <c r="AQ31" s="16">
        <v>1</v>
      </c>
      <c r="AR31" s="16">
        <v>0</v>
      </c>
      <c r="AS31" s="16">
        <v>0</v>
      </c>
      <c r="AT31" s="16">
        <v>0</v>
      </c>
      <c r="AU31" s="16">
        <v>0</v>
      </c>
      <c r="AV31" s="16">
        <v>0</v>
      </c>
      <c r="AW31" s="16">
        <v>0</v>
      </c>
      <c r="AX31" s="16">
        <v>0</v>
      </c>
      <c r="AY31" s="16">
        <v>0</v>
      </c>
      <c r="AZ31" s="16">
        <v>0</v>
      </c>
      <c r="BA31" s="16">
        <v>0</v>
      </c>
      <c r="BB31" s="16">
        <v>0</v>
      </c>
      <c r="BC31" s="16">
        <v>0</v>
      </c>
      <c r="BD31" s="16">
        <v>0</v>
      </c>
      <c r="BE31" s="16">
        <v>0</v>
      </c>
      <c r="BF31" s="16">
        <v>1</v>
      </c>
      <c r="BG31" s="16">
        <v>0</v>
      </c>
      <c r="BH31" s="16">
        <v>0</v>
      </c>
      <c r="BI31" s="16">
        <v>0</v>
      </c>
      <c r="BJ31" s="16">
        <v>0</v>
      </c>
      <c r="BK31" s="16">
        <v>0</v>
      </c>
      <c r="BL31" s="16">
        <v>0</v>
      </c>
      <c r="BM31" s="16">
        <v>0</v>
      </c>
      <c r="BN31" s="16">
        <v>0</v>
      </c>
      <c r="BO31" s="16">
        <v>0</v>
      </c>
      <c r="BP31" s="16">
        <v>0</v>
      </c>
      <c r="BQ31" s="16">
        <v>0</v>
      </c>
      <c r="BR31" s="16">
        <v>0</v>
      </c>
      <c r="BS31" s="16">
        <v>0</v>
      </c>
    </row>
    <row r="32" spans="1:71" s="15" customFormat="1" ht="18.600000000000001" customHeight="1" x14ac:dyDescent="0.25">
      <c r="A32" s="125" t="s">
        <v>84</v>
      </c>
      <c r="B32" s="4"/>
      <c r="C32" s="47" t="s">
        <v>75</v>
      </c>
      <c r="D32" s="235"/>
      <c r="E32" s="16">
        <v>54793</v>
      </c>
      <c r="F32" s="16">
        <v>268</v>
      </c>
      <c r="G32" s="16">
        <v>66</v>
      </c>
      <c r="H32" s="16">
        <v>72</v>
      </c>
      <c r="I32" s="16">
        <v>12</v>
      </c>
      <c r="J32" s="16">
        <v>164</v>
      </c>
      <c r="K32" s="16">
        <v>300</v>
      </c>
      <c r="L32" s="16">
        <v>3661</v>
      </c>
      <c r="M32" s="16">
        <v>3367</v>
      </c>
      <c r="N32" s="16">
        <v>102</v>
      </c>
      <c r="O32" s="16">
        <v>1816</v>
      </c>
      <c r="P32" s="16">
        <v>601</v>
      </c>
      <c r="Q32" s="16">
        <v>0</v>
      </c>
      <c r="R32" s="16">
        <v>1058</v>
      </c>
      <c r="S32" s="16">
        <v>923</v>
      </c>
      <c r="T32" s="16">
        <v>62</v>
      </c>
      <c r="U32" s="16">
        <v>542</v>
      </c>
      <c r="V32" s="16">
        <v>1679</v>
      </c>
      <c r="W32" s="16">
        <v>16</v>
      </c>
      <c r="X32" s="16">
        <v>54</v>
      </c>
      <c r="Y32" s="16">
        <v>243</v>
      </c>
      <c r="Z32" s="16">
        <v>898</v>
      </c>
      <c r="AA32" s="16">
        <v>255</v>
      </c>
      <c r="AB32" s="16">
        <v>310</v>
      </c>
      <c r="AC32" s="16">
        <v>705</v>
      </c>
      <c r="AD32" s="16">
        <v>2362</v>
      </c>
      <c r="AE32" s="16">
        <v>1895</v>
      </c>
      <c r="AF32" s="16">
        <v>99</v>
      </c>
      <c r="AG32" s="16">
        <v>2535</v>
      </c>
      <c r="AH32" s="16">
        <v>181</v>
      </c>
      <c r="AI32" s="16">
        <v>17</v>
      </c>
      <c r="AJ32" s="16">
        <v>910</v>
      </c>
      <c r="AK32" s="125" t="s">
        <v>84</v>
      </c>
      <c r="AL32" s="4"/>
      <c r="AM32" s="47" t="s">
        <v>75</v>
      </c>
      <c r="AN32" s="235"/>
      <c r="AO32" s="16">
        <v>34</v>
      </c>
      <c r="AP32" s="16">
        <v>95</v>
      </c>
      <c r="AQ32" s="16">
        <v>775</v>
      </c>
      <c r="AR32" s="16">
        <v>316</v>
      </c>
      <c r="AS32" s="16">
        <v>370</v>
      </c>
      <c r="AT32" s="16">
        <v>20</v>
      </c>
      <c r="AU32" s="16">
        <v>855</v>
      </c>
      <c r="AV32" s="16">
        <v>642</v>
      </c>
      <c r="AW32" s="16">
        <v>345</v>
      </c>
      <c r="AX32" s="16">
        <v>84</v>
      </c>
      <c r="AY32" s="16">
        <v>3127</v>
      </c>
      <c r="AZ32" s="16">
        <v>1427</v>
      </c>
      <c r="BA32" s="16">
        <v>20</v>
      </c>
      <c r="BB32" s="16">
        <v>1244</v>
      </c>
      <c r="BC32" s="16">
        <v>196</v>
      </c>
      <c r="BD32" s="16">
        <v>729</v>
      </c>
      <c r="BE32" s="16">
        <v>526</v>
      </c>
      <c r="BF32" s="16">
        <v>315</v>
      </c>
      <c r="BG32" s="16">
        <v>166</v>
      </c>
      <c r="BH32" s="16">
        <v>330</v>
      </c>
      <c r="BI32" s="16">
        <v>677</v>
      </c>
      <c r="BJ32" s="16">
        <v>657</v>
      </c>
      <c r="BK32" s="16">
        <v>1080</v>
      </c>
      <c r="BL32" s="16">
        <v>4063</v>
      </c>
      <c r="BM32" s="16">
        <v>1352</v>
      </c>
      <c r="BN32" s="16">
        <v>6433</v>
      </c>
      <c r="BO32" s="16">
        <v>1392</v>
      </c>
      <c r="BP32" s="16">
        <v>1560</v>
      </c>
      <c r="BQ32" s="16">
        <v>12</v>
      </c>
      <c r="BR32" s="16">
        <v>0</v>
      </c>
      <c r="BS32" s="16">
        <v>778</v>
      </c>
    </row>
    <row r="33" spans="1:71" s="15" customFormat="1" ht="18.600000000000001" customHeight="1" x14ac:dyDescent="0.25">
      <c r="A33" s="125"/>
      <c r="B33" s="4"/>
      <c r="C33" s="47" t="s">
        <v>76</v>
      </c>
      <c r="D33" s="235"/>
      <c r="E33" s="16">
        <v>124</v>
      </c>
      <c r="F33" s="26">
        <v>0</v>
      </c>
      <c r="G33" s="26">
        <v>0</v>
      </c>
      <c r="H33" s="26">
        <v>0</v>
      </c>
      <c r="I33" s="26">
        <v>0</v>
      </c>
      <c r="J33" s="26">
        <v>0</v>
      </c>
      <c r="K33" s="26">
        <v>0</v>
      </c>
      <c r="L33" s="26">
        <v>0</v>
      </c>
      <c r="M33" s="26">
        <v>2</v>
      </c>
      <c r="N33" s="26">
        <v>0</v>
      </c>
      <c r="O33" s="26">
        <v>13</v>
      </c>
      <c r="P33" s="26">
        <v>4</v>
      </c>
      <c r="Q33" s="26">
        <v>0</v>
      </c>
      <c r="R33" s="26">
        <v>4</v>
      </c>
      <c r="S33" s="26">
        <v>3</v>
      </c>
      <c r="T33" s="26">
        <v>0</v>
      </c>
      <c r="U33" s="26">
        <v>1</v>
      </c>
      <c r="V33" s="26">
        <v>3</v>
      </c>
      <c r="W33" s="26">
        <v>0</v>
      </c>
      <c r="X33" s="26">
        <v>0</v>
      </c>
      <c r="Y33" s="26">
        <v>0</v>
      </c>
      <c r="Z33" s="26">
        <v>5</v>
      </c>
      <c r="AA33" s="26">
        <v>0</v>
      </c>
      <c r="AB33" s="26">
        <v>8</v>
      </c>
      <c r="AC33" s="26">
        <v>3</v>
      </c>
      <c r="AD33" s="26">
        <v>8</v>
      </c>
      <c r="AE33" s="26">
        <v>3</v>
      </c>
      <c r="AF33" s="26">
        <v>0</v>
      </c>
      <c r="AG33" s="26">
        <v>16</v>
      </c>
      <c r="AH33" s="26">
        <v>0</v>
      </c>
      <c r="AI33" s="26">
        <v>0</v>
      </c>
      <c r="AJ33" s="26">
        <v>4</v>
      </c>
      <c r="AK33" s="125"/>
      <c r="AL33" s="4"/>
      <c r="AM33" s="47" t="s">
        <v>76</v>
      </c>
      <c r="AN33" s="235"/>
      <c r="AO33" s="16">
        <v>0</v>
      </c>
      <c r="AP33" s="16">
        <v>0</v>
      </c>
      <c r="AQ33" s="16">
        <v>1</v>
      </c>
      <c r="AR33" s="16">
        <v>1</v>
      </c>
      <c r="AS33" s="16">
        <v>0</v>
      </c>
      <c r="AT33" s="16">
        <v>0</v>
      </c>
      <c r="AU33" s="16">
        <v>0</v>
      </c>
      <c r="AV33" s="16">
        <v>0</v>
      </c>
      <c r="AW33" s="16">
        <v>8</v>
      </c>
      <c r="AX33" s="16">
        <v>0</v>
      </c>
      <c r="AY33" s="16">
        <v>10</v>
      </c>
      <c r="AZ33" s="16">
        <v>3</v>
      </c>
      <c r="BA33" s="16">
        <v>0</v>
      </c>
      <c r="BB33" s="16">
        <v>2</v>
      </c>
      <c r="BC33" s="16">
        <v>0</v>
      </c>
      <c r="BD33" s="16">
        <v>0</v>
      </c>
      <c r="BE33" s="16">
        <v>0</v>
      </c>
      <c r="BF33" s="16">
        <v>4</v>
      </c>
      <c r="BG33" s="16">
        <v>0</v>
      </c>
      <c r="BH33" s="16">
        <v>0</v>
      </c>
      <c r="BI33" s="16">
        <v>1</v>
      </c>
      <c r="BJ33" s="16">
        <v>0</v>
      </c>
      <c r="BK33" s="16">
        <v>4</v>
      </c>
      <c r="BL33" s="16">
        <v>9</v>
      </c>
      <c r="BM33" s="16">
        <v>0</v>
      </c>
      <c r="BN33" s="16">
        <v>2</v>
      </c>
      <c r="BO33" s="16">
        <v>0</v>
      </c>
      <c r="BP33" s="16">
        <v>2</v>
      </c>
      <c r="BQ33" s="16">
        <v>0</v>
      </c>
      <c r="BR33" s="16">
        <v>0</v>
      </c>
      <c r="BS33" s="16">
        <v>0</v>
      </c>
    </row>
    <row r="34" spans="1:71" s="15" customFormat="1" ht="18.600000000000001" customHeight="1" x14ac:dyDescent="0.25">
      <c r="A34" s="125" t="s">
        <v>85</v>
      </c>
      <c r="B34" s="5"/>
      <c r="C34" s="47" t="s">
        <v>75</v>
      </c>
      <c r="D34" s="235"/>
      <c r="E34" s="16">
        <v>5620</v>
      </c>
      <c r="F34" s="16">
        <v>4</v>
      </c>
      <c r="G34" s="16">
        <v>2</v>
      </c>
      <c r="H34" s="16">
        <v>0</v>
      </c>
      <c r="I34" s="16">
        <v>0</v>
      </c>
      <c r="J34" s="16">
        <v>3</v>
      </c>
      <c r="K34" s="16">
        <v>3</v>
      </c>
      <c r="L34" s="26">
        <v>1062</v>
      </c>
      <c r="M34" s="26">
        <v>920</v>
      </c>
      <c r="N34" s="26">
        <v>15</v>
      </c>
      <c r="O34" s="26">
        <v>254</v>
      </c>
      <c r="P34" s="26">
        <v>19</v>
      </c>
      <c r="Q34" s="26">
        <v>0</v>
      </c>
      <c r="R34" s="26">
        <v>142</v>
      </c>
      <c r="S34" s="26">
        <v>36</v>
      </c>
      <c r="T34" s="26">
        <v>3</v>
      </c>
      <c r="U34" s="26">
        <v>43</v>
      </c>
      <c r="V34" s="26">
        <v>160</v>
      </c>
      <c r="W34" s="26">
        <v>21</v>
      </c>
      <c r="X34" s="26">
        <v>6</v>
      </c>
      <c r="Y34" s="26">
        <v>35</v>
      </c>
      <c r="Z34" s="26">
        <v>35</v>
      </c>
      <c r="AA34" s="26">
        <v>59</v>
      </c>
      <c r="AB34" s="26">
        <v>30</v>
      </c>
      <c r="AC34" s="26">
        <v>47</v>
      </c>
      <c r="AD34" s="26">
        <v>158</v>
      </c>
      <c r="AE34" s="26">
        <v>81</v>
      </c>
      <c r="AF34" s="26">
        <v>1</v>
      </c>
      <c r="AG34" s="26">
        <v>352</v>
      </c>
      <c r="AH34" s="26">
        <v>8</v>
      </c>
      <c r="AI34" s="26">
        <v>1</v>
      </c>
      <c r="AJ34" s="26">
        <v>69</v>
      </c>
      <c r="AK34" s="125" t="s">
        <v>85</v>
      </c>
      <c r="AL34" s="5"/>
      <c r="AM34" s="47" t="s">
        <v>75</v>
      </c>
      <c r="AN34" s="235"/>
      <c r="AO34" s="16">
        <v>13</v>
      </c>
      <c r="AP34" s="16">
        <v>2</v>
      </c>
      <c r="AQ34" s="16">
        <v>109</v>
      </c>
      <c r="AR34" s="16">
        <v>37</v>
      </c>
      <c r="AS34" s="16">
        <v>0</v>
      </c>
      <c r="AT34" s="16">
        <v>0</v>
      </c>
      <c r="AU34" s="16">
        <v>0</v>
      </c>
      <c r="AV34" s="16">
        <v>13</v>
      </c>
      <c r="AW34" s="16">
        <v>36</v>
      </c>
      <c r="AX34" s="16">
        <v>0</v>
      </c>
      <c r="AY34" s="16">
        <v>123</v>
      </c>
      <c r="AZ34" s="16">
        <v>142</v>
      </c>
      <c r="BA34" s="16">
        <v>8</v>
      </c>
      <c r="BB34" s="16">
        <v>21</v>
      </c>
      <c r="BC34" s="16">
        <v>7</v>
      </c>
      <c r="BD34" s="16">
        <v>14</v>
      </c>
      <c r="BE34" s="16">
        <v>9</v>
      </c>
      <c r="BF34" s="16">
        <v>17</v>
      </c>
      <c r="BG34" s="16">
        <v>4</v>
      </c>
      <c r="BH34" s="16">
        <v>5</v>
      </c>
      <c r="BI34" s="16">
        <v>11</v>
      </c>
      <c r="BJ34" s="16">
        <v>30</v>
      </c>
      <c r="BK34" s="16">
        <v>17</v>
      </c>
      <c r="BL34" s="16">
        <v>20</v>
      </c>
      <c r="BM34" s="16">
        <v>2</v>
      </c>
      <c r="BN34" s="16">
        <v>996</v>
      </c>
      <c r="BO34" s="16">
        <v>252</v>
      </c>
      <c r="BP34" s="16">
        <v>153</v>
      </c>
      <c r="BQ34" s="16">
        <v>0</v>
      </c>
      <c r="BR34" s="16">
        <v>0</v>
      </c>
      <c r="BS34" s="16">
        <v>10</v>
      </c>
    </row>
    <row r="35" spans="1:71" s="15" customFormat="1" ht="18.600000000000001" customHeight="1" x14ac:dyDescent="0.25">
      <c r="A35" s="125"/>
      <c r="B35" s="5"/>
      <c r="C35" s="47" t="s">
        <v>76</v>
      </c>
      <c r="D35" s="235"/>
      <c r="E35" s="16">
        <v>28</v>
      </c>
      <c r="F35" s="26">
        <v>0</v>
      </c>
      <c r="G35" s="26">
        <v>0</v>
      </c>
      <c r="H35" s="26">
        <v>0</v>
      </c>
      <c r="I35" s="26">
        <v>0</v>
      </c>
      <c r="J35" s="26">
        <v>0</v>
      </c>
      <c r="K35" s="26">
        <v>0</v>
      </c>
      <c r="L35" s="26">
        <v>0</v>
      </c>
      <c r="M35" s="26">
        <v>0</v>
      </c>
      <c r="N35" s="26">
        <v>0</v>
      </c>
      <c r="O35" s="26">
        <v>0</v>
      </c>
      <c r="P35" s="26">
        <v>1</v>
      </c>
      <c r="Q35" s="26">
        <v>0</v>
      </c>
      <c r="R35" s="26">
        <v>0</v>
      </c>
      <c r="S35" s="26">
        <v>0</v>
      </c>
      <c r="T35" s="26">
        <v>0</v>
      </c>
      <c r="U35" s="26">
        <v>0</v>
      </c>
      <c r="V35" s="26">
        <v>0</v>
      </c>
      <c r="W35" s="26">
        <v>0</v>
      </c>
      <c r="X35" s="26">
        <v>0</v>
      </c>
      <c r="Y35" s="26">
        <v>0</v>
      </c>
      <c r="Z35" s="26">
        <v>0</v>
      </c>
      <c r="AA35" s="26">
        <v>0</v>
      </c>
      <c r="AB35" s="26">
        <v>0</v>
      </c>
      <c r="AC35" s="26">
        <v>1</v>
      </c>
      <c r="AD35" s="26">
        <v>0</v>
      </c>
      <c r="AE35" s="26">
        <v>0</v>
      </c>
      <c r="AF35" s="26">
        <v>0</v>
      </c>
      <c r="AG35" s="26">
        <v>2</v>
      </c>
      <c r="AH35" s="26">
        <v>0</v>
      </c>
      <c r="AI35" s="26">
        <v>0</v>
      </c>
      <c r="AJ35" s="26">
        <v>1</v>
      </c>
      <c r="AK35" s="125"/>
      <c r="AL35" s="5"/>
      <c r="AM35" s="47" t="s">
        <v>76</v>
      </c>
      <c r="AN35" s="235"/>
      <c r="AO35" s="16">
        <v>0</v>
      </c>
      <c r="AP35" s="16">
        <v>0</v>
      </c>
      <c r="AQ35" s="16">
        <v>1</v>
      </c>
      <c r="AR35" s="16">
        <v>0</v>
      </c>
      <c r="AS35" s="16">
        <v>0</v>
      </c>
      <c r="AT35" s="16">
        <v>0</v>
      </c>
      <c r="AU35" s="16">
        <v>0</v>
      </c>
      <c r="AV35" s="16">
        <v>0</v>
      </c>
      <c r="AW35" s="16">
        <v>2</v>
      </c>
      <c r="AX35" s="16">
        <v>0</v>
      </c>
      <c r="AY35" s="16">
        <v>7</v>
      </c>
      <c r="AZ35" s="16">
        <v>9</v>
      </c>
      <c r="BA35" s="16">
        <v>0</v>
      </c>
      <c r="BB35" s="16">
        <v>0</v>
      </c>
      <c r="BC35" s="16">
        <v>0</v>
      </c>
      <c r="BD35" s="16">
        <v>0</v>
      </c>
      <c r="BE35" s="16">
        <v>0</v>
      </c>
      <c r="BF35" s="16">
        <v>0</v>
      </c>
      <c r="BG35" s="16">
        <v>0</v>
      </c>
      <c r="BH35" s="16">
        <v>0</v>
      </c>
      <c r="BI35" s="16">
        <v>0</v>
      </c>
      <c r="BJ35" s="16">
        <v>0</v>
      </c>
      <c r="BK35" s="16">
        <v>0</v>
      </c>
      <c r="BL35" s="16">
        <v>0</v>
      </c>
      <c r="BM35" s="16">
        <v>0</v>
      </c>
      <c r="BN35" s="16">
        <v>4</v>
      </c>
      <c r="BO35" s="16">
        <v>0</v>
      </c>
      <c r="BP35" s="16">
        <v>0</v>
      </c>
      <c r="BQ35" s="16">
        <v>0</v>
      </c>
      <c r="BR35" s="16">
        <v>0</v>
      </c>
      <c r="BS35" s="16">
        <v>0</v>
      </c>
    </row>
    <row r="36" spans="1:71" s="15" customFormat="1" ht="18.600000000000001" customHeight="1" x14ac:dyDescent="0.25">
      <c r="A36" s="125" t="s">
        <v>86</v>
      </c>
      <c r="B36" s="4"/>
      <c r="C36" s="47" t="s">
        <v>75</v>
      </c>
      <c r="D36" s="235"/>
      <c r="E36" s="16">
        <v>7790</v>
      </c>
      <c r="F36" s="16">
        <v>49</v>
      </c>
      <c r="G36" s="16">
        <v>13</v>
      </c>
      <c r="H36" s="16">
        <v>6</v>
      </c>
      <c r="I36" s="16">
        <v>3</v>
      </c>
      <c r="J36" s="16">
        <v>10</v>
      </c>
      <c r="K36" s="16">
        <v>6</v>
      </c>
      <c r="L36" s="26">
        <v>1367</v>
      </c>
      <c r="M36" s="26">
        <v>451</v>
      </c>
      <c r="N36" s="26">
        <v>36</v>
      </c>
      <c r="O36" s="26">
        <v>294</v>
      </c>
      <c r="P36" s="26">
        <v>19</v>
      </c>
      <c r="Q36" s="26">
        <v>0</v>
      </c>
      <c r="R36" s="26">
        <v>82</v>
      </c>
      <c r="S36" s="26">
        <v>67</v>
      </c>
      <c r="T36" s="26">
        <v>2</v>
      </c>
      <c r="U36" s="26">
        <v>45</v>
      </c>
      <c r="V36" s="26">
        <v>411</v>
      </c>
      <c r="W36" s="26">
        <v>1</v>
      </c>
      <c r="X36" s="26">
        <v>5</v>
      </c>
      <c r="Y36" s="26">
        <v>7</v>
      </c>
      <c r="Z36" s="26">
        <v>130</v>
      </c>
      <c r="AA36" s="26">
        <v>26</v>
      </c>
      <c r="AB36" s="26">
        <v>144</v>
      </c>
      <c r="AC36" s="26">
        <v>40</v>
      </c>
      <c r="AD36" s="26">
        <v>324</v>
      </c>
      <c r="AE36" s="26">
        <v>44</v>
      </c>
      <c r="AF36" s="26">
        <v>1</v>
      </c>
      <c r="AG36" s="26">
        <v>452</v>
      </c>
      <c r="AH36" s="26">
        <v>8</v>
      </c>
      <c r="AI36" s="26">
        <v>1</v>
      </c>
      <c r="AJ36" s="26">
        <v>20</v>
      </c>
      <c r="AK36" s="125" t="s">
        <v>86</v>
      </c>
      <c r="AL36" s="4"/>
      <c r="AM36" s="47" t="s">
        <v>75</v>
      </c>
      <c r="AN36" s="235"/>
      <c r="AO36" s="16">
        <v>9</v>
      </c>
      <c r="AP36" s="16">
        <v>18</v>
      </c>
      <c r="AQ36" s="16">
        <v>115</v>
      </c>
      <c r="AR36" s="16">
        <v>13</v>
      </c>
      <c r="AS36" s="16">
        <v>2</v>
      </c>
      <c r="AT36" s="16">
        <v>4</v>
      </c>
      <c r="AU36" s="16">
        <v>1</v>
      </c>
      <c r="AV36" s="16">
        <v>7</v>
      </c>
      <c r="AW36" s="16">
        <v>41</v>
      </c>
      <c r="AX36" s="16">
        <v>6</v>
      </c>
      <c r="AY36" s="16">
        <v>260</v>
      </c>
      <c r="AZ36" s="16">
        <v>478</v>
      </c>
      <c r="BA36" s="16">
        <v>3</v>
      </c>
      <c r="BB36" s="16">
        <v>73</v>
      </c>
      <c r="BC36" s="16">
        <v>3</v>
      </c>
      <c r="BD36" s="16">
        <v>226</v>
      </c>
      <c r="BE36" s="16">
        <v>56</v>
      </c>
      <c r="BF36" s="16">
        <v>14</v>
      </c>
      <c r="BG36" s="16">
        <v>0</v>
      </c>
      <c r="BH36" s="16">
        <v>3</v>
      </c>
      <c r="BI36" s="16">
        <v>8</v>
      </c>
      <c r="BJ36" s="16">
        <v>36</v>
      </c>
      <c r="BK36" s="16">
        <v>10</v>
      </c>
      <c r="BL36" s="16">
        <v>0</v>
      </c>
      <c r="BM36" s="16">
        <v>173</v>
      </c>
      <c r="BN36" s="16">
        <v>1685</v>
      </c>
      <c r="BO36" s="16">
        <v>323</v>
      </c>
      <c r="BP36" s="16">
        <v>122</v>
      </c>
      <c r="BQ36" s="16">
        <v>0</v>
      </c>
      <c r="BR36" s="16">
        <v>0</v>
      </c>
      <c r="BS36" s="16">
        <v>37</v>
      </c>
    </row>
    <row r="37" spans="1:71" s="15" customFormat="1" ht="18.600000000000001" customHeight="1" x14ac:dyDescent="0.25">
      <c r="A37" s="125"/>
      <c r="B37" s="4"/>
      <c r="C37" s="47" t="s">
        <v>76</v>
      </c>
      <c r="D37" s="235"/>
      <c r="E37" s="16">
        <v>18</v>
      </c>
      <c r="F37" s="26">
        <v>0</v>
      </c>
      <c r="G37" s="26">
        <v>0</v>
      </c>
      <c r="H37" s="26">
        <v>0</v>
      </c>
      <c r="I37" s="26">
        <v>0</v>
      </c>
      <c r="J37" s="26">
        <v>0</v>
      </c>
      <c r="K37" s="26">
        <v>0</v>
      </c>
      <c r="L37" s="26">
        <v>2</v>
      </c>
      <c r="M37" s="26">
        <v>0</v>
      </c>
      <c r="N37" s="26">
        <v>0</v>
      </c>
      <c r="O37" s="26">
        <v>0</v>
      </c>
      <c r="P37" s="26">
        <v>0</v>
      </c>
      <c r="Q37" s="26">
        <v>0</v>
      </c>
      <c r="R37" s="26">
        <v>0</v>
      </c>
      <c r="S37" s="26">
        <v>0</v>
      </c>
      <c r="T37" s="26">
        <v>0</v>
      </c>
      <c r="U37" s="26">
        <v>0</v>
      </c>
      <c r="V37" s="26">
        <v>0</v>
      </c>
      <c r="W37" s="26">
        <v>0</v>
      </c>
      <c r="X37" s="26">
        <v>0</v>
      </c>
      <c r="Y37" s="26">
        <v>0</v>
      </c>
      <c r="Z37" s="26">
        <v>0</v>
      </c>
      <c r="AA37" s="26">
        <v>0</v>
      </c>
      <c r="AB37" s="26">
        <v>0</v>
      </c>
      <c r="AC37" s="26">
        <v>0</v>
      </c>
      <c r="AD37" s="26">
        <v>0</v>
      </c>
      <c r="AE37" s="26">
        <v>0</v>
      </c>
      <c r="AF37" s="26">
        <v>0</v>
      </c>
      <c r="AG37" s="26">
        <v>3</v>
      </c>
      <c r="AH37" s="26">
        <v>0</v>
      </c>
      <c r="AI37" s="26">
        <v>0</v>
      </c>
      <c r="AJ37" s="26">
        <v>1</v>
      </c>
      <c r="AK37" s="125"/>
      <c r="AL37" s="4"/>
      <c r="AM37" s="47" t="s">
        <v>76</v>
      </c>
      <c r="AN37" s="235"/>
      <c r="AO37" s="16">
        <v>0</v>
      </c>
      <c r="AP37" s="16">
        <v>0</v>
      </c>
      <c r="AQ37" s="16">
        <v>2</v>
      </c>
      <c r="AR37" s="16">
        <v>0</v>
      </c>
      <c r="AS37" s="16">
        <v>0</v>
      </c>
      <c r="AT37" s="16">
        <v>0</v>
      </c>
      <c r="AU37" s="16">
        <v>0</v>
      </c>
      <c r="AV37" s="16">
        <v>0</v>
      </c>
      <c r="AW37" s="16">
        <v>1</v>
      </c>
      <c r="AX37" s="16">
        <v>0</v>
      </c>
      <c r="AY37" s="16">
        <v>6</v>
      </c>
      <c r="AZ37" s="16">
        <v>3</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row>
    <row r="38" spans="1:71" s="15" customFormat="1" ht="18.600000000000001" customHeight="1" x14ac:dyDescent="0.25">
      <c r="A38" s="125" t="s">
        <v>87</v>
      </c>
      <c r="B38" s="4"/>
      <c r="C38" s="47" t="s">
        <v>75</v>
      </c>
      <c r="D38" s="235"/>
      <c r="E38" s="16">
        <v>7671</v>
      </c>
      <c r="F38" s="16">
        <v>25</v>
      </c>
      <c r="G38" s="16">
        <v>1</v>
      </c>
      <c r="H38" s="16">
        <v>0</v>
      </c>
      <c r="I38" s="16">
        <v>0</v>
      </c>
      <c r="J38" s="16">
        <v>27</v>
      </c>
      <c r="K38" s="16">
        <v>4</v>
      </c>
      <c r="L38" s="26">
        <v>1048</v>
      </c>
      <c r="M38" s="26">
        <v>765</v>
      </c>
      <c r="N38" s="26">
        <v>71</v>
      </c>
      <c r="O38" s="26">
        <v>457</v>
      </c>
      <c r="P38" s="26">
        <v>30</v>
      </c>
      <c r="Q38" s="26">
        <v>0</v>
      </c>
      <c r="R38" s="26">
        <v>358</v>
      </c>
      <c r="S38" s="26">
        <v>85</v>
      </c>
      <c r="T38" s="26">
        <v>0</v>
      </c>
      <c r="U38" s="26">
        <v>25</v>
      </c>
      <c r="V38" s="26">
        <v>233</v>
      </c>
      <c r="W38" s="26">
        <v>0</v>
      </c>
      <c r="X38" s="26">
        <v>1</v>
      </c>
      <c r="Y38" s="26">
        <v>70</v>
      </c>
      <c r="Z38" s="26">
        <v>323</v>
      </c>
      <c r="AA38" s="26">
        <v>139</v>
      </c>
      <c r="AB38" s="26">
        <v>45</v>
      </c>
      <c r="AC38" s="26">
        <v>95</v>
      </c>
      <c r="AD38" s="26">
        <v>363</v>
      </c>
      <c r="AE38" s="26">
        <v>179</v>
      </c>
      <c r="AF38" s="26">
        <v>3</v>
      </c>
      <c r="AG38" s="26">
        <v>372</v>
      </c>
      <c r="AH38" s="26">
        <v>1</v>
      </c>
      <c r="AI38" s="26">
        <v>0</v>
      </c>
      <c r="AJ38" s="26">
        <v>24</v>
      </c>
      <c r="AK38" s="125" t="s">
        <v>87</v>
      </c>
      <c r="AL38" s="4"/>
      <c r="AM38" s="47" t="s">
        <v>75</v>
      </c>
      <c r="AN38" s="235"/>
      <c r="AO38" s="16">
        <v>15</v>
      </c>
      <c r="AP38" s="16">
        <v>2</v>
      </c>
      <c r="AQ38" s="16">
        <v>241</v>
      </c>
      <c r="AR38" s="16">
        <v>67</v>
      </c>
      <c r="AS38" s="16">
        <v>0</v>
      </c>
      <c r="AT38" s="16">
        <v>0</v>
      </c>
      <c r="AU38" s="16">
        <v>0</v>
      </c>
      <c r="AV38" s="16">
        <v>39</v>
      </c>
      <c r="AW38" s="16">
        <v>129</v>
      </c>
      <c r="AX38" s="16">
        <v>15</v>
      </c>
      <c r="AY38" s="16">
        <v>364</v>
      </c>
      <c r="AZ38" s="16">
        <v>220</v>
      </c>
      <c r="BA38" s="16">
        <v>4</v>
      </c>
      <c r="BB38" s="16">
        <v>34</v>
      </c>
      <c r="BC38" s="16">
        <v>22</v>
      </c>
      <c r="BD38" s="16">
        <v>4</v>
      </c>
      <c r="BE38" s="16">
        <v>6</v>
      </c>
      <c r="BF38" s="16">
        <v>18</v>
      </c>
      <c r="BG38" s="16">
        <v>0</v>
      </c>
      <c r="BH38" s="16">
        <v>9</v>
      </c>
      <c r="BI38" s="16">
        <v>36</v>
      </c>
      <c r="BJ38" s="16">
        <v>50</v>
      </c>
      <c r="BK38" s="16">
        <v>64</v>
      </c>
      <c r="BL38" s="16">
        <v>2</v>
      </c>
      <c r="BM38" s="16">
        <v>16</v>
      </c>
      <c r="BN38" s="16">
        <v>809</v>
      </c>
      <c r="BO38" s="16">
        <v>561</v>
      </c>
      <c r="BP38" s="16">
        <v>112</v>
      </c>
      <c r="BQ38" s="16">
        <v>0</v>
      </c>
      <c r="BR38" s="16">
        <v>0</v>
      </c>
      <c r="BS38" s="16">
        <v>88</v>
      </c>
    </row>
    <row r="39" spans="1:71" s="15" customFormat="1" ht="18.600000000000001" customHeight="1" x14ac:dyDescent="0.25">
      <c r="A39" s="125"/>
      <c r="B39" s="4"/>
      <c r="C39" s="47" t="s">
        <v>76</v>
      </c>
      <c r="D39" s="235"/>
      <c r="E39" s="16">
        <v>28</v>
      </c>
      <c r="F39" s="26">
        <v>0</v>
      </c>
      <c r="G39" s="26">
        <v>0</v>
      </c>
      <c r="H39" s="26">
        <v>0</v>
      </c>
      <c r="I39" s="26">
        <v>0</v>
      </c>
      <c r="J39" s="26">
        <v>0</v>
      </c>
      <c r="K39" s="26">
        <v>0</v>
      </c>
      <c r="L39" s="26">
        <v>0</v>
      </c>
      <c r="M39" s="26">
        <v>0</v>
      </c>
      <c r="N39" s="26">
        <v>0</v>
      </c>
      <c r="O39" s="26">
        <v>0</v>
      </c>
      <c r="P39" s="26">
        <v>0</v>
      </c>
      <c r="Q39" s="26">
        <v>0</v>
      </c>
      <c r="R39" s="26">
        <v>0</v>
      </c>
      <c r="S39" s="26">
        <v>0</v>
      </c>
      <c r="T39" s="26">
        <v>0</v>
      </c>
      <c r="U39" s="26">
        <v>0</v>
      </c>
      <c r="V39" s="26">
        <v>1</v>
      </c>
      <c r="W39" s="26">
        <v>0</v>
      </c>
      <c r="X39" s="26">
        <v>0</v>
      </c>
      <c r="Y39" s="26">
        <v>0</v>
      </c>
      <c r="Z39" s="26">
        <v>0</v>
      </c>
      <c r="AA39" s="26">
        <v>0</v>
      </c>
      <c r="AB39" s="26">
        <v>0</v>
      </c>
      <c r="AC39" s="26">
        <v>0</v>
      </c>
      <c r="AD39" s="26">
        <v>0</v>
      </c>
      <c r="AE39" s="26">
        <v>0</v>
      </c>
      <c r="AF39" s="26">
        <v>0</v>
      </c>
      <c r="AG39" s="26">
        <v>11</v>
      </c>
      <c r="AH39" s="26">
        <v>0</v>
      </c>
      <c r="AI39" s="26">
        <v>0</v>
      </c>
      <c r="AJ39" s="26">
        <v>0</v>
      </c>
      <c r="AK39" s="125"/>
      <c r="AL39" s="4"/>
      <c r="AM39" s="47" t="s">
        <v>76</v>
      </c>
      <c r="AN39" s="235"/>
      <c r="AO39" s="16">
        <v>0</v>
      </c>
      <c r="AP39" s="16">
        <v>0</v>
      </c>
      <c r="AQ39" s="16">
        <v>4</v>
      </c>
      <c r="AR39" s="16">
        <v>0</v>
      </c>
      <c r="AS39" s="16">
        <v>0</v>
      </c>
      <c r="AT39" s="16">
        <v>0</v>
      </c>
      <c r="AU39" s="16">
        <v>0</v>
      </c>
      <c r="AV39" s="16">
        <v>0</v>
      </c>
      <c r="AW39" s="16">
        <v>4</v>
      </c>
      <c r="AX39" s="16">
        <v>0</v>
      </c>
      <c r="AY39" s="16">
        <v>6</v>
      </c>
      <c r="AZ39" s="16">
        <v>0</v>
      </c>
      <c r="BA39" s="16">
        <v>0</v>
      </c>
      <c r="BB39" s="16">
        <v>0</v>
      </c>
      <c r="BC39" s="16">
        <v>0</v>
      </c>
      <c r="BD39" s="16">
        <v>0</v>
      </c>
      <c r="BE39" s="16">
        <v>0</v>
      </c>
      <c r="BF39" s="16">
        <v>1</v>
      </c>
      <c r="BG39" s="16">
        <v>0</v>
      </c>
      <c r="BH39" s="16">
        <v>0</v>
      </c>
      <c r="BI39" s="16">
        <v>0</v>
      </c>
      <c r="BJ39" s="16">
        <v>0</v>
      </c>
      <c r="BK39" s="16">
        <v>0</v>
      </c>
      <c r="BL39" s="16">
        <v>0</v>
      </c>
      <c r="BM39" s="16">
        <v>0</v>
      </c>
      <c r="BN39" s="16">
        <v>1</v>
      </c>
      <c r="BO39" s="16">
        <v>0</v>
      </c>
      <c r="BP39" s="16">
        <v>0</v>
      </c>
      <c r="BQ39" s="16">
        <v>0</v>
      </c>
      <c r="BR39" s="16">
        <v>0</v>
      </c>
      <c r="BS39" s="16">
        <v>0</v>
      </c>
    </row>
    <row r="40" spans="1:71" s="15" customFormat="1" ht="18.600000000000001" customHeight="1" x14ac:dyDescent="0.25">
      <c r="A40" s="125" t="s">
        <v>88</v>
      </c>
      <c r="B40" s="5"/>
      <c r="C40" s="47" t="s">
        <v>75</v>
      </c>
      <c r="D40" s="235"/>
      <c r="E40" s="16">
        <v>5755</v>
      </c>
      <c r="F40" s="16">
        <v>16</v>
      </c>
      <c r="G40" s="16">
        <v>0</v>
      </c>
      <c r="H40" s="16">
        <v>0</v>
      </c>
      <c r="I40" s="16">
        <v>0</v>
      </c>
      <c r="J40" s="16">
        <v>1</v>
      </c>
      <c r="K40" s="16">
        <v>0</v>
      </c>
      <c r="L40" s="26">
        <v>1041</v>
      </c>
      <c r="M40" s="26">
        <v>718</v>
      </c>
      <c r="N40" s="26">
        <v>56</v>
      </c>
      <c r="O40" s="26">
        <v>299</v>
      </c>
      <c r="P40" s="26">
        <v>23</v>
      </c>
      <c r="Q40" s="26">
        <v>0</v>
      </c>
      <c r="R40" s="26">
        <v>199</v>
      </c>
      <c r="S40" s="26">
        <v>94</v>
      </c>
      <c r="T40" s="26">
        <v>3</v>
      </c>
      <c r="U40" s="26">
        <v>32</v>
      </c>
      <c r="V40" s="26">
        <v>179</v>
      </c>
      <c r="W40" s="26">
        <v>2</v>
      </c>
      <c r="X40" s="26">
        <v>14</v>
      </c>
      <c r="Y40" s="26">
        <v>77</v>
      </c>
      <c r="Z40" s="26">
        <v>22</v>
      </c>
      <c r="AA40" s="26">
        <v>42</v>
      </c>
      <c r="AB40" s="26">
        <v>47</v>
      </c>
      <c r="AC40" s="26">
        <v>32</v>
      </c>
      <c r="AD40" s="26">
        <v>151</v>
      </c>
      <c r="AE40" s="26">
        <v>56</v>
      </c>
      <c r="AF40" s="26">
        <v>3</v>
      </c>
      <c r="AG40" s="26">
        <v>537</v>
      </c>
      <c r="AH40" s="26">
        <v>3</v>
      </c>
      <c r="AI40" s="26">
        <v>2</v>
      </c>
      <c r="AJ40" s="26">
        <v>40</v>
      </c>
      <c r="AK40" s="125" t="s">
        <v>88</v>
      </c>
      <c r="AL40" s="5"/>
      <c r="AM40" s="47" t="s">
        <v>75</v>
      </c>
      <c r="AN40" s="235"/>
      <c r="AO40" s="16">
        <v>0</v>
      </c>
      <c r="AP40" s="16">
        <v>8</v>
      </c>
      <c r="AQ40" s="16">
        <v>55</v>
      </c>
      <c r="AR40" s="16">
        <v>26</v>
      </c>
      <c r="AS40" s="16">
        <v>7</v>
      </c>
      <c r="AT40" s="16">
        <v>0</v>
      </c>
      <c r="AU40" s="16">
        <v>0</v>
      </c>
      <c r="AV40" s="16">
        <v>8</v>
      </c>
      <c r="AW40" s="16">
        <v>97</v>
      </c>
      <c r="AX40" s="16">
        <v>0</v>
      </c>
      <c r="AY40" s="16">
        <v>161</v>
      </c>
      <c r="AZ40" s="16">
        <v>267</v>
      </c>
      <c r="BA40" s="16">
        <v>3</v>
      </c>
      <c r="BB40" s="16">
        <v>12</v>
      </c>
      <c r="BC40" s="16">
        <v>5</v>
      </c>
      <c r="BD40" s="16">
        <v>28</v>
      </c>
      <c r="BE40" s="16">
        <v>15</v>
      </c>
      <c r="BF40" s="16">
        <v>17</v>
      </c>
      <c r="BG40" s="16">
        <v>2</v>
      </c>
      <c r="BH40" s="16">
        <v>6</v>
      </c>
      <c r="BI40" s="16">
        <v>1</v>
      </c>
      <c r="BJ40" s="16">
        <v>42</v>
      </c>
      <c r="BK40" s="16">
        <v>20</v>
      </c>
      <c r="BL40" s="16">
        <v>2</v>
      </c>
      <c r="BM40" s="16">
        <v>1</v>
      </c>
      <c r="BN40" s="16">
        <v>960</v>
      </c>
      <c r="BO40" s="16">
        <v>249</v>
      </c>
      <c r="BP40" s="16">
        <v>53</v>
      </c>
      <c r="BQ40" s="16">
        <v>0</v>
      </c>
      <c r="BR40" s="16">
        <v>0</v>
      </c>
      <c r="BS40" s="16">
        <v>21</v>
      </c>
    </row>
    <row r="41" spans="1:71" s="15" customFormat="1" ht="18.600000000000001" customHeight="1" x14ac:dyDescent="0.25">
      <c r="A41" s="125"/>
      <c r="B41" s="5"/>
      <c r="C41" s="47" t="s">
        <v>76</v>
      </c>
      <c r="D41" s="235"/>
      <c r="E41" s="16">
        <v>51</v>
      </c>
      <c r="F41" s="26">
        <v>0</v>
      </c>
      <c r="G41" s="26">
        <v>0</v>
      </c>
      <c r="H41" s="26">
        <v>0</v>
      </c>
      <c r="I41" s="26">
        <v>0</v>
      </c>
      <c r="J41" s="26">
        <v>0</v>
      </c>
      <c r="K41" s="26">
        <v>0</v>
      </c>
      <c r="L41" s="26">
        <v>1</v>
      </c>
      <c r="M41" s="26">
        <v>1</v>
      </c>
      <c r="N41" s="26">
        <v>0</v>
      </c>
      <c r="O41" s="26">
        <v>0</v>
      </c>
      <c r="P41" s="26">
        <v>0</v>
      </c>
      <c r="Q41" s="26">
        <v>0</v>
      </c>
      <c r="R41" s="26">
        <v>2</v>
      </c>
      <c r="S41" s="26">
        <v>0</v>
      </c>
      <c r="T41" s="26">
        <v>0</v>
      </c>
      <c r="U41" s="26">
        <v>0</v>
      </c>
      <c r="V41" s="26">
        <v>4</v>
      </c>
      <c r="W41" s="26">
        <v>0</v>
      </c>
      <c r="X41" s="26">
        <v>2</v>
      </c>
      <c r="Y41" s="26">
        <v>0</v>
      </c>
      <c r="Z41" s="26">
        <v>0</v>
      </c>
      <c r="AA41" s="26">
        <v>0</v>
      </c>
      <c r="AB41" s="26">
        <v>2</v>
      </c>
      <c r="AC41" s="26">
        <v>0</v>
      </c>
      <c r="AD41" s="26">
        <v>0</v>
      </c>
      <c r="AE41" s="26">
        <v>0</v>
      </c>
      <c r="AF41" s="26">
        <v>0</v>
      </c>
      <c r="AG41" s="26">
        <v>27</v>
      </c>
      <c r="AH41" s="26">
        <v>0</v>
      </c>
      <c r="AI41" s="26">
        <v>0</v>
      </c>
      <c r="AJ41" s="26">
        <v>0</v>
      </c>
      <c r="AK41" s="125"/>
      <c r="AL41" s="5"/>
      <c r="AM41" s="47" t="s">
        <v>76</v>
      </c>
      <c r="AN41" s="235"/>
      <c r="AO41" s="16">
        <v>0</v>
      </c>
      <c r="AP41" s="16">
        <v>0</v>
      </c>
      <c r="AQ41" s="16">
        <v>1</v>
      </c>
      <c r="AR41" s="16">
        <v>0</v>
      </c>
      <c r="AS41" s="16">
        <v>0</v>
      </c>
      <c r="AT41" s="16">
        <v>0</v>
      </c>
      <c r="AU41" s="16">
        <v>0</v>
      </c>
      <c r="AV41" s="16">
        <v>0</v>
      </c>
      <c r="AW41" s="16">
        <v>4</v>
      </c>
      <c r="AX41" s="16">
        <v>0</v>
      </c>
      <c r="AY41" s="16">
        <v>6</v>
      </c>
      <c r="AZ41" s="16">
        <v>0</v>
      </c>
      <c r="BA41" s="16">
        <v>0</v>
      </c>
      <c r="BB41" s="16">
        <v>1</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row>
    <row r="42" spans="1:71" s="15" customFormat="1" ht="18.600000000000001" customHeight="1" x14ac:dyDescent="0.25">
      <c r="A42" s="125" t="s">
        <v>89</v>
      </c>
      <c r="B42" s="4"/>
      <c r="C42" s="47" t="s">
        <v>75</v>
      </c>
      <c r="D42" s="235"/>
      <c r="E42" s="16">
        <v>9079</v>
      </c>
      <c r="F42" s="16">
        <v>18</v>
      </c>
      <c r="G42" s="16">
        <v>3</v>
      </c>
      <c r="H42" s="16">
        <v>5</v>
      </c>
      <c r="I42" s="16">
        <v>0</v>
      </c>
      <c r="J42" s="16">
        <v>2</v>
      </c>
      <c r="K42" s="16">
        <v>12</v>
      </c>
      <c r="L42" s="26">
        <v>1655</v>
      </c>
      <c r="M42" s="26">
        <v>592</v>
      </c>
      <c r="N42" s="26">
        <v>46</v>
      </c>
      <c r="O42" s="26">
        <v>303</v>
      </c>
      <c r="P42" s="26">
        <v>18</v>
      </c>
      <c r="Q42" s="26">
        <v>0</v>
      </c>
      <c r="R42" s="26">
        <v>148</v>
      </c>
      <c r="S42" s="26">
        <v>127</v>
      </c>
      <c r="T42" s="26">
        <v>3</v>
      </c>
      <c r="U42" s="26">
        <v>50</v>
      </c>
      <c r="V42" s="26">
        <v>278</v>
      </c>
      <c r="W42" s="26">
        <v>15</v>
      </c>
      <c r="X42" s="26">
        <v>15</v>
      </c>
      <c r="Y42" s="26">
        <v>44</v>
      </c>
      <c r="Z42" s="26">
        <v>225</v>
      </c>
      <c r="AA42" s="26">
        <v>89</v>
      </c>
      <c r="AB42" s="26">
        <v>36</v>
      </c>
      <c r="AC42" s="26">
        <v>52</v>
      </c>
      <c r="AD42" s="26">
        <v>833</v>
      </c>
      <c r="AE42" s="26">
        <v>288</v>
      </c>
      <c r="AF42" s="26">
        <v>2</v>
      </c>
      <c r="AG42" s="26">
        <v>552</v>
      </c>
      <c r="AH42" s="26">
        <v>34</v>
      </c>
      <c r="AI42" s="26">
        <v>0</v>
      </c>
      <c r="AJ42" s="26">
        <v>132</v>
      </c>
      <c r="AK42" s="125" t="s">
        <v>89</v>
      </c>
      <c r="AL42" s="4"/>
      <c r="AM42" s="47" t="s">
        <v>75</v>
      </c>
      <c r="AN42" s="235"/>
      <c r="AO42" s="16">
        <v>6</v>
      </c>
      <c r="AP42" s="16">
        <v>17</v>
      </c>
      <c r="AQ42" s="16">
        <v>105</v>
      </c>
      <c r="AR42" s="16">
        <v>125</v>
      </c>
      <c r="AS42" s="16">
        <v>0</v>
      </c>
      <c r="AT42" s="16">
        <v>0</v>
      </c>
      <c r="AU42" s="16">
        <v>0</v>
      </c>
      <c r="AV42" s="16">
        <v>22</v>
      </c>
      <c r="AW42" s="16">
        <v>76</v>
      </c>
      <c r="AX42" s="16">
        <v>21</v>
      </c>
      <c r="AY42" s="16">
        <v>564</v>
      </c>
      <c r="AZ42" s="16">
        <v>144</v>
      </c>
      <c r="BA42" s="16">
        <v>7</v>
      </c>
      <c r="BB42" s="16">
        <v>26</v>
      </c>
      <c r="BC42" s="16">
        <v>2</v>
      </c>
      <c r="BD42" s="16">
        <v>2</v>
      </c>
      <c r="BE42" s="16">
        <v>2</v>
      </c>
      <c r="BF42" s="16">
        <v>20</v>
      </c>
      <c r="BG42" s="16">
        <v>2</v>
      </c>
      <c r="BH42" s="16">
        <v>9</v>
      </c>
      <c r="BI42" s="16">
        <v>19</v>
      </c>
      <c r="BJ42" s="16">
        <v>45</v>
      </c>
      <c r="BK42" s="16">
        <v>46</v>
      </c>
      <c r="BL42" s="16">
        <v>4</v>
      </c>
      <c r="BM42" s="16">
        <v>0</v>
      </c>
      <c r="BN42" s="16">
        <v>1245</v>
      </c>
      <c r="BO42" s="16">
        <v>118</v>
      </c>
      <c r="BP42" s="16">
        <v>746</v>
      </c>
      <c r="BQ42" s="16">
        <v>0</v>
      </c>
      <c r="BR42" s="16">
        <v>0</v>
      </c>
      <c r="BS42" s="16">
        <v>129</v>
      </c>
    </row>
    <row r="43" spans="1:71" s="15" customFormat="1" ht="18.600000000000001" customHeight="1" x14ac:dyDescent="0.25">
      <c r="A43" s="125"/>
      <c r="B43" s="4"/>
      <c r="C43" s="47" t="s">
        <v>76</v>
      </c>
      <c r="D43" s="235"/>
      <c r="E43" s="16">
        <v>52</v>
      </c>
      <c r="F43" s="26">
        <v>0</v>
      </c>
      <c r="G43" s="26">
        <v>0</v>
      </c>
      <c r="H43" s="26">
        <v>0</v>
      </c>
      <c r="I43" s="26">
        <v>0</v>
      </c>
      <c r="J43" s="26">
        <v>0</v>
      </c>
      <c r="K43" s="26">
        <v>0</v>
      </c>
      <c r="L43" s="26">
        <v>0</v>
      </c>
      <c r="M43" s="26">
        <v>0</v>
      </c>
      <c r="N43" s="26">
        <v>0</v>
      </c>
      <c r="O43" s="26">
        <v>0</v>
      </c>
      <c r="P43" s="26">
        <v>0</v>
      </c>
      <c r="Q43" s="26">
        <v>0</v>
      </c>
      <c r="R43" s="26">
        <v>1</v>
      </c>
      <c r="S43" s="26">
        <v>0</v>
      </c>
      <c r="T43" s="26">
        <v>0</v>
      </c>
      <c r="U43" s="26">
        <v>1</v>
      </c>
      <c r="V43" s="26">
        <v>0</v>
      </c>
      <c r="W43" s="26">
        <v>0</v>
      </c>
      <c r="X43" s="26">
        <v>0</v>
      </c>
      <c r="Y43" s="26">
        <v>0</v>
      </c>
      <c r="Z43" s="26">
        <v>1</v>
      </c>
      <c r="AA43" s="26">
        <v>0</v>
      </c>
      <c r="AB43" s="26">
        <v>3</v>
      </c>
      <c r="AC43" s="26">
        <v>0</v>
      </c>
      <c r="AD43" s="26">
        <v>1</v>
      </c>
      <c r="AE43" s="26">
        <v>0</v>
      </c>
      <c r="AF43" s="26">
        <v>0</v>
      </c>
      <c r="AG43" s="26">
        <v>6</v>
      </c>
      <c r="AH43" s="26">
        <v>0</v>
      </c>
      <c r="AI43" s="26">
        <v>0</v>
      </c>
      <c r="AJ43" s="26">
        <v>1</v>
      </c>
      <c r="AK43" s="125"/>
      <c r="AL43" s="4"/>
      <c r="AM43" s="47" t="s">
        <v>76</v>
      </c>
      <c r="AN43" s="235"/>
      <c r="AO43" s="16">
        <v>0</v>
      </c>
      <c r="AP43" s="16">
        <v>0</v>
      </c>
      <c r="AQ43" s="16">
        <v>0</v>
      </c>
      <c r="AR43" s="16">
        <v>1</v>
      </c>
      <c r="AS43" s="16">
        <v>0</v>
      </c>
      <c r="AT43" s="16">
        <v>0</v>
      </c>
      <c r="AU43" s="16">
        <v>0</v>
      </c>
      <c r="AV43" s="16">
        <v>0</v>
      </c>
      <c r="AW43" s="16">
        <v>5</v>
      </c>
      <c r="AX43" s="16">
        <v>0</v>
      </c>
      <c r="AY43" s="16">
        <v>13</v>
      </c>
      <c r="AZ43" s="16">
        <v>15</v>
      </c>
      <c r="BA43" s="16">
        <v>0</v>
      </c>
      <c r="BB43" s="16">
        <v>0</v>
      </c>
      <c r="BC43" s="16">
        <v>0</v>
      </c>
      <c r="BD43" s="16">
        <v>0</v>
      </c>
      <c r="BE43" s="16">
        <v>0</v>
      </c>
      <c r="BF43" s="16">
        <v>0</v>
      </c>
      <c r="BG43" s="16">
        <v>2</v>
      </c>
      <c r="BH43" s="16">
        <v>0</v>
      </c>
      <c r="BI43" s="16">
        <v>0</v>
      </c>
      <c r="BJ43" s="16">
        <v>0</v>
      </c>
      <c r="BK43" s="16">
        <v>0</v>
      </c>
      <c r="BL43" s="16">
        <v>0</v>
      </c>
      <c r="BM43" s="16">
        <v>0</v>
      </c>
      <c r="BN43" s="16">
        <v>2</v>
      </c>
      <c r="BO43" s="16">
        <v>0</v>
      </c>
      <c r="BP43" s="16">
        <v>0</v>
      </c>
      <c r="BQ43" s="16">
        <v>0</v>
      </c>
      <c r="BR43" s="16">
        <v>0</v>
      </c>
      <c r="BS43" s="16">
        <v>0</v>
      </c>
    </row>
    <row r="44" spans="1:71" s="15" customFormat="1" ht="18.600000000000001" customHeight="1" x14ac:dyDescent="0.25">
      <c r="A44" s="125" t="s">
        <v>90</v>
      </c>
      <c r="B44" s="4"/>
      <c r="C44" s="47" t="s">
        <v>75</v>
      </c>
      <c r="D44" s="235"/>
      <c r="E44" s="16">
        <v>5038</v>
      </c>
      <c r="F44" s="16">
        <v>6</v>
      </c>
      <c r="G44" s="16">
        <v>0</v>
      </c>
      <c r="H44" s="16">
        <v>0</v>
      </c>
      <c r="I44" s="16">
        <v>0</v>
      </c>
      <c r="J44" s="16">
        <v>2</v>
      </c>
      <c r="K44" s="16">
        <v>0</v>
      </c>
      <c r="L44" s="26">
        <v>1702</v>
      </c>
      <c r="M44" s="26">
        <v>447</v>
      </c>
      <c r="N44" s="26">
        <v>49</v>
      </c>
      <c r="O44" s="26">
        <v>447</v>
      </c>
      <c r="P44" s="26">
        <v>3</v>
      </c>
      <c r="Q44" s="26">
        <v>0</v>
      </c>
      <c r="R44" s="26">
        <v>89</v>
      </c>
      <c r="S44" s="26">
        <v>24</v>
      </c>
      <c r="T44" s="26">
        <v>3</v>
      </c>
      <c r="U44" s="26">
        <v>23</v>
      </c>
      <c r="V44" s="26">
        <v>52</v>
      </c>
      <c r="W44" s="26">
        <v>4</v>
      </c>
      <c r="X44" s="26">
        <v>3</v>
      </c>
      <c r="Y44" s="26">
        <v>17</v>
      </c>
      <c r="Z44" s="26">
        <v>55</v>
      </c>
      <c r="AA44" s="26">
        <v>19</v>
      </c>
      <c r="AB44" s="26">
        <v>33</v>
      </c>
      <c r="AC44" s="26">
        <v>15</v>
      </c>
      <c r="AD44" s="26">
        <v>249</v>
      </c>
      <c r="AE44" s="26">
        <v>34</v>
      </c>
      <c r="AF44" s="26">
        <v>1</v>
      </c>
      <c r="AG44" s="26">
        <v>237</v>
      </c>
      <c r="AH44" s="26">
        <v>0</v>
      </c>
      <c r="AI44" s="26">
        <v>0</v>
      </c>
      <c r="AJ44" s="26">
        <v>37</v>
      </c>
      <c r="AK44" s="125" t="s">
        <v>90</v>
      </c>
      <c r="AL44" s="4"/>
      <c r="AM44" s="47" t="s">
        <v>75</v>
      </c>
      <c r="AN44" s="235"/>
      <c r="AO44" s="16">
        <v>5</v>
      </c>
      <c r="AP44" s="16">
        <v>7</v>
      </c>
      <c r="AQ44" s="16">
        <v>56</v>
      </c>
      <c r="AR44" s="16">
        <v>16</v>
      </c>
      <c r="AS44" s="16">
        <v>0</v>
      </c>
      <c r="AT44" s="16">
        <v>1</v>
      </c>
      <c r="AU44" s="16">
        <v>0</v>
      </c>
      <c r="AV44" s="16">
        <v>13</v>
      </c>
      <c r="AW44" s="16">
        <v>31</v>
      </c>
      <c r="AX44" s="16">
        <v>4</v>
      </c>
      <c r="AY44" s="16">
        <v>138</v>
      </c>
      <c r="AZ44" s="16">
        <v>358</v>
      </c>
      <c r="BA44" s="16">
        <v>0</v>
      </c>
      <c r="BB44" s="16">
        <v>11</v>
      </c>
      <c r="BC44" s="16">
        <v>3</v>
      </c>
      <c r="BD44" s="16">
        <v>0</v>
      </c>
      <c r="BE44" s="16">
        <v>0</v>
      </c>
      <c r="BF44" s="16">
        <v>18</v>
      </c>
      <c r="BG44" s="16">
        <v>0</v>
      </c>
      <c r="BH44" s="16">
        <v>12</v>
      </c>
      <c r="BI44" s="16">
        <v>0</v>
      </c>
      <c r="BJ44" s="16">
        <v>25</v>
      </c>
      <c r="BK44" s="16">
        <v>5</v>
      </c>
      <c r="BL44" s="16">
        <v>0</v>
      </c>
      <c r="BM44" s="16">
        <v>0</v>
      </c>
      <c r="BN44" s="16">
        <v>643</v>
      </c>
      <c r="BO44" s="16">
        <v>74</v>
      </c>
      <c r="BP44" s="16">
        <v>64</v>
      </c>
      <c r="BQ44" s="16">
        <v>0</v>
      </c>
      <c r="BR44" s="16">
        <v>0</v>
      </c>
      <c r="BS44" s="16">
        <v>3</v>
      </c>
    </row>
    <row r="45" spans="1:71" s="15" customFormat="1" ht="18.600000000000001" customHeight="1" x14ac:dyDescent="0.25">
      <c r="A45" s="125"/>
      <c r="B45" s="4"/>
      <c r="C45" s="47" t="s">
        <v>76</v>
      </c>
      <c r="D45" s="235"/>
      <c r="E45" s="16">
        <v>27</v>
      </c>
      <c r="F45" s="26">
        <v>0</v>
      </c>
      <c r="G45" s="26">
        <v>0</v>
      </c>
      <c r="H45" s="26">
        <v>0</v>
      </c>
      <c r="I45" s="26">
        <v>0</v>
      </c>
      <c r="J45" s="26">
        <v>0</v>
      </c>
      <c r="K45" s="26">
        <v>0</v>
      </c>
      <c r="L45" s="26">
        <v>1</v>
      </c>
      <c r="M45" s="26">
        <v>0</v>
      </c>
      <c r="N45" s="26">
        <v>0</v>
      </c>
      <c r="O45" s="26">
        <v>0</v>
      </c>
      <c r="P45" s="26">
        <v>0</v>
      </c>
      <c r="Q45" s="26">
        <v>0</v>
      </c>
      <c r="R45" s="26">
        <v>0</v>
      </c>
      <c r="S45" s="26">
        <v>0</v>
      </c>
      <c r="T45" s="26">
        <v>0</v>
      </c>
      <c r="U45" s="26">
        <v>0</v>
      </c>
      <c r="V45" s="26">
        <v>0</v>
      </c>
      <c r="W45" s="26">
        <v>0</v>
      </c>
      <c r="X45" s="26">
        <v>0</v>
      </c>
      <c r="Y45" s="26">
        <v>0</v>
      </c>
      <c r="Z45" s="26">
        <v>0</v>
      </c>
      <c r="AA45" s="26">
        <v>0</v>
      </c>
      <c r="AB45" s="26">
        <v>1</v>
      </c>
      <c r="AC45" s="26">
        <v>0</v>
      </c>
      <c r="AD45" s="26">
        <v>0</v>
      </c>
      <c r="AE45" s="26">
        <v>0</v>
      </c>
      <c r="AF45" s="26">
        <v>0</v>
      </c>
      <c r="AG45" s="26">
        <v>6</v>
      </c>
      <c r="AH45" s="26">
        <v>0</v>
      </c>
      <c r="AI45" s="26">
        <v>0</v>
      </c>
      <c r="AJ45" s="26">
        <v>0</v>
      </c>
      <c r="AK45" s="125"/>
      <c r="AL45" s="4"/>
      <c r="AM45" s="47" t="s">
        <v>76</v>
      </c>
      <c r="AN45" s="235"/>
      <c r="AO45" s="16">
        <v>0</v>
      </c>
      <c r="AP45" s="16">
        <v>0</v>
      </c>
      <c r="AQ45" s="16">
        <v>2</v>
      </c>
      <c r="AR45" s="16">
        <v>0</v>
      </c>
      <c r="AS45" s="16">
        <v>0</v>
      </c>
      <c r="AT45" s="16">
        <v>0</v>
      </c>
      <c r="AU45" s="16">
        <v>0</v>
      </c>
      <c r="AV45" s="16">
        <v>0</v>
      </c>
      <c r="AW45" s="16">
        <v>2</v>
      </c>
      <c r="AX45" s="16">
        <v>0</v>
      </c>
      <c r="AY45" s="16">
        <v>12</v>
      </c>
      <c r="AZ45" s="16">
        <v>0</v>
      </c>
      <c r="BA45" s="16">
        <v>0</v>
      </c>
      <c r="BB45" s="16">
        <v>0</v>
      </c>
      <c r="BC45" s="16">
        <v>0</v>
      </c>
      <c r="BD45" s="16">
        <v>0</v>
      </c>
      <c r="BE45" s="16">
        <v>0</v>
      </c>
      <c r="BF45" s="16">
        <v>0</v>
      </c>
      <c r="BG45" s="16">
        <v>0</v>
      </c>
      <c r="BH45" s="16">
        <v>1</v>
      </c>
      <c r="BI45" s="16">
        <v>0</v>
      </c>
      <c r="BJ45" s="16">
        <v>0</v>
      </c>
      <c r="BK45" s="16">
        <v>0</v>
      </c>
      <c r="BL45" s="16">
        <v>0</v>
      </c>
      <c r="BM45" s="16">
        <v>0</v>
      </c>
      <c r="BN45" s="16">
        <v>2</v>
      </c>
      <c r="BO45" s="16">
        <v>0</v>
      </c>
      <c r="BP45" s="16">
        <v>0</v>
      </c>
      <c r="BQ45" s="16">
        <v>0</v>
      </c>
      <c r="BR45" s="16">
        <v>0</v>
      </c>
      <c r="BS45" s="16">
        <v>0</v>
      </c>
    </row>
    <row r="46" spans="1:71" s="15" customFormat="1" ht="18.600000000000001" customHeight="1" x14ac:dyDescent="0.25">
      <c r="A46" s="125" t="s">
        <v>91</v>
      </c>
      <c r="B46" s="4"/>
      <c r="C46" s="47" t="s">
        <v>75</v>
      </c>
      <c r="D46" s="235"/>
      <c r="E46" s="16">
        <v>1831</v>
      </c>
      <c r="F46" s="16">
        <v>0</v>
      </c>
      <c r="G46" s="16">
        <v>0</v>
      </c>
      <c r="H46" s="16">
        <v>0</v>
      </c>
      <c r="I46" s="16">
        <v>0</v>
      </c>
      <c r="J46" s="16">
        <v>1</v>
      </c>
      <c r="K46" s="16">
        <v>0</v>
      </c>
      <c r="L46" s="26">
        <v>294</v>
      </c>
      <c r="M46" s="26">
        <v>111</v>
      </c>
      <c r="N46" s="26">
        <v>4</v>
      </c>
      <c r="O46" s="26">
        <v>50</v>
      </c>
      <c r="P46" s="26">
        <v>3</v>
      </c>
      <c r="Q46" s="26">
        <v>0</v>
      </c>
      <c r="R46" s="26">
        <v>40</v>
      </c>
      <c r="S46" s="26">
        <v>29</v>
      </c>
      <c r="T46" s="26">
        <v>3</v>
      </c>
      <c r="U46" s="26">
        <v>11</v>
      </c>
      <c r="V46" s="26">
        <v>20</v>
      </c>
      <c r="W46" s="26">
        <v>4</v>
      </c>
      <c r="X46" s="26">
        <v>2</v>
      </c>
      <c r="Y46" s="26">
        <v>1</v>
      </c>
      <c r="Z46" s="26">
        <v>81</v>
      </c>
      <c r="AA46" s="26">
        <v>3</v>
      </c>
      <c r="AB46" s="26">
        <v>6</v>
      </c>
      <c r="AC46" s="26">
        <v>23</v>
      </c>
      <c r="AD46" s="26">
        <v>81</v>
      </c>
      <c r="AE46" s="26">
        <v>52</v>
      </c>
      <c r="AF46" s="26">
        <v>0</v>
      </c>
      <c r="AG46" s="26">
        <v>131</v>
      </c>
      <c r="AH46" s="26">
        <v>0</v>
      </c>
      <c r="AI46" s="26">
        <v>0</v>
      </c>
      <c r="AJ46" s="26">
        <v>2</v>
      </c>
      <c r="AK46" s="125" t="s">
        <v>91</v>
      </c>
      <c r="AL46" s="4"/>
      <c r="AM46" s="47" t="s">
        <v>75</v>
      </c>
      <c r="AN46" s="235"/>
      <c r="AO46" s="16">
        <v>5</v>
      </c>
      <c r="AP46" s="16">
        <v>1</v>
      </c>
      <c r="AQ46" s="16">
        <v>17</v>
      </c>
      <c r="AR46" s="16">
        <v>1</v>
      </c>
      <c r="AS46" s="16">
        <v>0</v>
      </c>
      <c r="AT46" s="16">
        <v>0</v>
      </c>
      <c r="AU46" s="16">
        <v>0</v>
      </c>
      <c r="AV46" s="16">
        <v>0</v>
      </c>
      <c r="AW46" s="16">
        <v>54</v>
      </c>
      <c r="AX46" s="16">
        <v>0</v>
      </c>
      <c r="AY46" s="16">
        <v>129</v>
      </c>
      <c r="AZ46" s="16">
        <v>94</v>
      </c>
      <c r="BA46" s="16">
        <v>0</v>
      </c>
      <c r="BB46" s="16">
        <v>2</v>
      </c>
      <c r="BC46" s="16">
        <v>0</v>
      </c>
      <c r="BD46" s="16">
        <v>6</v>
      </c>
      <c r="BE46" s="16">
        <v>1</v>
      </c>
      <c r="BF46" s="16">
        <v>11</v>
      </c>
      <c r="BG46" s="16">
        <v>2</v>
      </c>
      <c r="BH46" s="16">
        <v>4</v>
      </c>
      <c r="BI46" s="16">
        <v>7</v>
      </c>
      <c r="BJ46" s="16">
        <v>36</v>
      </c>
      <c r="BK46" s="16">
        <v>14</v>
      </c>
      <c r="BL46" s="16">
        <v>0</v>
      </c>
      <c r="BM46" s="16">
        <v>0</v>
      </c>
      <c r="BN46" s="16">
        <v>296</v>
      </c>
      <c r="BO46" s="16">
        <v>34</v>
      </c>
      <c r="BP46" s="16">
        <v>158</v>
      </c>
      <c r="BQ46" s="16">
        <v>2</v>
      </c>
      <c r="BR46" s="16">
        <v>0</v>
      </c>
      <c r="BS46" s="16">
        <v>5</v>
      </c>
    </row>
    <row r="47" spans="1:71" s="15" customFormat="1" ht="18.600000000000001" customHeight="1" x14ac:dyDescent="0.25">
      <c r="A47" s="125"/>
      <c r="B47" s="4"/>
      <c r="C47" s="47" t="s">
        <v>76</v>
      </c>
      <c r="D47" s="235"/>
      <c r="E47" s="16">
        <v>31</v>
      </c>
      <c r="F47" s="26">
        <v>0</v>
      </c>
      <c r="G47" s="26">
        <v>0</v>
      </c>
      <c r="H47" s="26">
        <v>0</v>
      </c>
      <c r="I47" s="26">
        <v>0</v>
      </c>
      <c r="J47" s="26">
        <v>0</v>
      </c>
      <c r="K47" s="26">
        <v>0</v>
      </c>
      <c r="L47" s="26">
        <v>0</v>
      </c>
      <c r="M47" s="26">
        <v>0</v>
      </c>
      <c r="N47" s="26">
        <v>0</v>
      </c>
      <c r="O47" s="26">
        <v>0</v>
      </c>
      <c r="P47" s="26">
        <v>0</v>
      </c>
      <c r="Q47" s="26">
        <v>0</v>
      </c>
      <c r="R47" s="26">
        <v>1</v>
      </c>
      <c r="S47" s="26">
        <v>6</v>
      </c>
      <c r="T47" s="26">
        <v>0</v>
      </c>
      <c r="U47" s="26">
        <v>0</v>
      </c>
      <c r="V47" s="26">
        <v>0</v>
      </c>
      <c r="W47" s="26">
        <v>0</v>
      </c>
      <c r="X47" s="26">
        <v>0</v>
      </c>
      <c r="Y47" s="26">
        <v>0</v>
      </c>
      <c r="Z47" s="26">
        <v>0</v>
      </c>
      <c r="AA47" s="26">
        <v>0</v>
      </c>
      <c r="AB47" s="26">
        <v>0</v>
      </c>
      <c r="AC47" s="26">
        <v>0</v>
      </c>
      <c r="AD47" s="26">
        <v>0</v>
      </c>
      <c r="AE47" s="26">
        <v>0</v>
      </c>
      <c r="AF47" s="26">
        <v>0</v>
      </c>
      <c r="AG47" s="26">
        <v>2</v>
      </c>
      <c r="AH47" s="26">
        <v>0</v>
      </c>
      <c r="AI47" s="26">
        <v>0</v>
      </c>
      <c r="AJ47" s="26">
        <v>0</v>
      </c>
      <c r="AK47" s="125"/>
      <c r="AL47" s="4"/>
      <c r="AM47" s="47" t="s">
        <v>76</v>
      </c>
      <c r="AN47" s="235"/>
      <c r="AO47" s="16">
        <v>0</v>
      </c>
      <c r="AP47" s="16">
        <v>0</v>
      </c>
      <c r="AQ47" s="16">
        <v>0</v>
      </c>
      <c r="AR47" s="16">
        <v>0</v>
      </c>
      <c r="AS47" s="16">
        <v>0</v>
      </c>
      <c r="AT47" s="16">
        <v>0</v>
      </c>
      <c r="AU47" s="16">
        <v>0</v>
      </c>
      <c r="AV47" s="16">
        <v>0</v>
      </c>
      <c r="AW47" s="16">
        <v>9</v>
      </c>
      <c r="AX47" s="16">
        <v>0</v>
      </c>
      <c r="AY47" s="16">
        <v>5</v>
      </c>
      <c r="AZ47" s="16">
        <v>8</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row>
    <row r="48" spans="1:71" s="15" customFormat="1" ht="18.600000000000001" customHeight="1" x14ac:dyDescent="0.25">
      <c r="A48" s="125" t="s">
        <v>92</v>
      </c>
      <c r="B48" s="4"/>
      <c r="C48" s="47" t="s">
        <v>75</v>
      </c>
      <c r="D48" s="235"/>
      <c r="E48" s="16">
        <v>5153</v>
      </c>
      <c r="F48" s="16">
        <v>4</v>
      </c>
      <c r="G48" s="16">
        <v>0</v>
      </c>
      <c r="H48" s="16">
        <v>0</v>
      </c>
      <c r="I48" s="16">
        <v>0</v>
      </c>
      <c r="J48" s="16">
        <v>1</v>
      </c>
      <c r="K48" s="16">
        <v>14</v>
      </c>
      <c r="L48" s="26">
        <v>1608</v>
      </c>
      <c r="M48" s="26">
        <v>342</v>
      </c>
      <c r="N48" s="26">
        <v>21</v>
      </c>
      <c r="O48" s="26">
        <v>456</v>
      </c>
      <c r="P48" s="26">
        <v>21</v>
      </c>
      <c r="Q48" s="26">
        <v>0</v>
      </c>
      <c r="R48" s="26">
        <v>66</v>
      </c>
      <c r="S48" s="26">
        <v>48</v>
      </c>
      <c r="T48" s="26">
        <v>6</v>
      </c>
      <c r="U48" s="26">
        <v>16</v>
      </c>
      <c r="V48" s="26">
        <v>65</v>
      </c>
      <c r="W48" s="26">
        <v>0</v>
      </c>
      <c r="X48" s="26">
        <v>8</v>
      </c>
      <c r="Y48" s="26">
        <v>21</v>
      </c>
      <c r="Z48" s="26">
        <v>96</v>
      </c>
      <c r="AA48" s="26">
        <v>21</v>
      </c>
      <c r="AB48" s="26">
        <v>16</v>
      </c>
      <c r="AC48" s="26">
        <v>6</v>
      </c>
      <c r="AD48" s="26">
        <v>265</v>
      </c>
      <c r="AE48" s="26">
        <v>36</v>
      </c>
      <c r="AF48" s="26">
        <v>0</v>
      </c>
      <c r="AG48" s="26">
        <v>236</v>
      </c>
      <c r="AH48" s="26">
        <v>8</v>
      </c>
      <c r="AI48" s="26">
        <v>0</v>
      </c>
      <c r="AJ48" s="26">
        <v>12</v>
      </c>
      <c r="AK48" s="125" t="s">
        <v>92</v>
      </c>
      <c r="AL48" s="4"/>
      <c r="AM48" s="47" t="s">
        <v>75</v>
      </c>
      <c r="AN48" s="235"/>
      <c r="AO48" s="16">
        <v>7</v>
      </c>
      <c r="AP48" s="16">
        <v>2</v>
      </c>
      <c r="AQ48" s="16">
        <v>58</v>
      </c>
      <c r="AR48" s="16">
        <v>38</v>
      </c>
      <c r="AS48" s="16">
        <v>3</v>
      </c>
      <c r="AT48" s="16">
        <v>1</v>
      </c>
      <c r="AU48" s="16">
        <v>0</v>
      </c>
      <c r="AV48" s="16">
        <v>7</v>
      </c>
      <c r="AW48" s="16">
        <v>36</v>
      </c>
      <c r="AX48" s="16">
        <v>1</v>
      </c>
      <c r="AY48" s="16">
        <v>148</v>
      </c>
      <c r="AZ48" s="16">
        <v>44</v>
      </c>
      <c r="BA48" s="16">
        <v>0</v>
      </c>
      <c r="BB48" s="16">
        <v>19</v>
      </c>
      <c r="BC48" s="16">
        <v>1</v>
      </c>
      <c r="BD48" s="16">
        <v>1</v>
      </c>
      <c r="BE48" s="16">
        <v>3</v>
      </c>
      <c r="BF48" s="16">
        <v>19</v>
      </c>
      <c r="BG48" s="16">
        <v>10</v>
      </c>
      <c r="BH48" s="16">
        <v>3</v>
      </c>
      <c r="BI48" s="16">
        <v>14</v>
      </c>
      <c r="BJ48" s="16">
        <v>35</v>
      </c>
      <c r="BK48" s="16">
        <v>4</v>
      </c>
      <c r="BL48" s="16">
        <v>2</v>
      </c>
      <c r="BM48" s="16">
        <v>0</v>
      </c>
      <c r="BN48" s="16">
        <v>1122</v>
      </c>
      <c r="BO48" s="16">
        <v>120</v>
      </c>
      <c r="BP48" s="16">
        <v>59</v>
      </c>
      <c r="BQ48" s="16">
        <v>0</v>
      </c>
      <c r="BR48" s="16">
        <v>0</v>
      </c>
      <c r="BS48" s="16">
        <v>3</v>
      </c>
    </row>
    <row r="49" spans="1:195" s="15" customFormat="1" ht="18.600000000000001" customHeight="1" x14ac:dyDescent="0.25">
      <c r="A49" s="125"/>
      <c r="B49" s="4"/>
      <c r="C49" s="47" t="s">
        <v>76</v>
      </c>
      <c r="D49" s="235"/>
      <c r="E49" s="16">
        <v>79</v>
      </c>
      <c r="F49" s="26">
        <v>0</v>
      </c>
      <c r="G49" s="26">
        <v>0</v>
      </c>
      <c r="H49" s="26">
        <v>0</v>
      </c>
      <c r="I49" s="26">
        <v>0</v>
      </c>
      <c r="J49" s="26">
        <v>0</v>
      </c>
      <c r="K49" s="26">
        <v>0</v>
      </c>
      <c r="L49" s="26">
        <v>1</v>
      </c>
      <c r="M49" s="26">
        <v>0</v>
      </c>
      <c r="N49" s="26">
        <v>0</v>
      </c>
      <c r="O49" s="26">
        <v>0</v>
      </c>
      <c r="P49" s="26">
        <v>2</v>
      </c>
      <c r="Q49" s="26">
        <v>0</v>
      </c>
      <c r="R49" s="26">
        <v>0</v>
      </c>
      <c r="S49" s="26">
        <v>5</v>
      </c>
      <c r="T49" s="26">
        <v>0</v>
      </c>
      <c r="U49" s="26">
        <v>0</v>
      </c>
      <c r="V49" s="26">
        <v>0</v>
      </c>
      <c r="W49" s="26">
        <v>0</v>
      </c>
      <c r="X49" s="26">
        <v>0</v>
      </c>
      <c r="Y49" s="26">
        <v>0</v>
      </c>
      <c r="Z49" s="26">
        <v>0</v>
      </c>
      <c r="AA49" s="26">
        <v>0</v>
      </c>
      <c r="AB49" s="26">
        <v>0</v>
      </c>
      <c r="AC49" s="26">
        <v>1</v>
      </c>
      <c r="AD49" s="26">
        <v>6</v>
      </c>
      <c r="AE49" s="26">
        <v>0</v>
      </c>
      <c r="AF49" s="26">
        <v>0</v>
      </c>
      <c r="AG49" s="26">
        <v>18</v>
      </c>
      <c r="AH49" s="26">
        <v>0</v>
      </c>
      <c r="AI49" s="26">
        <v>0</v>
      </c>
      <c r="AJ49" s="26">
        <v>0</v>
      </c>
      <c r="AK49" s="125"/>
      <c r="AL49" s="4"/>
      <c r="AM49" s="47" t="s">
        <v>76</v>
      </c>
      <c r="AN49" s="235"/>
      <c r="AO49" s="16">
        <v>1</v>
      </c>
      <c r="AP49" s="16">
        <v>0</v>
      </c>
      <c r="AQ49" s="16">
        <v>1</v>
      </c>
      <c r="AR49" s="16">
        <v>1</v>
      </c>
      <c r="AS49" s="16">
        <v>0</v>
      </c>
      <c r="AT49" s="16">
        <v>0</v>
      </c>
      <c r="AU49" s="16">
        <v>0</v>
      </c>
      <c r="AV49" s="16">
        <v>0</v>
      </c>
      <c r="AW49" s="16">
        <v>9</v>
      </c>
      <c r="AX49" s="16">
        <v>0</v>
      </c>
      <c r="AY49" s="16">
        <v>21</v>
      </c>
      <c r="AZ49" s="16">
        <v>0</v>
      </c>
      <c r="BA49" s="16">
        <v>0</v>
      </c>
      <c r="BB49" s="16">
        <v>1</v>
      </c>
      <c r="BC49" s="16">
        <v>0</v>
      </c>
      <c r="BD49" s="16">
        <v>0</v>
      </c>
      <c r="BE49" s="16">
        <v>0</v>
      </c>
      <c r="BF49" s="16">
        <v>0</v>
      </c>
      <c r="BG49" s="16">
        <v>0</v>
      </c>
      <c r="BH49" s="16">
        <v>0</v>
      </c>
      <c r="BI49" s="16">
        <v>0</v>
      </c>
      <c r="BJ49" s="16">
        <v>1</v>
      </c>
      <c r="BK49" s="16">
        <v>0</v>
      </c>
      <c r="BL49" s="16">
        <v>0</v>
      </c>
      <c r="BM49" s="16">
        <v>0</v>
      </c>
      <c r="BN49" s="16">
        <v>6</v>
      </c>
      <c r="BO49" s="16">
        <v>0</v>
      </c>
      <c r="BP49" s="16">
        <v>5</v>
      </c>
      <c r="BQ49" s="16">
        <v>0</v>
      </c>
      <c r="BR49" s="16">
        <v>0</v>
      </c>
      <c r="BS49" s="16">
        <v>0</v>
      </c>
    </row>
    <row r="50" spans="1:195" s="15" customFormat="1" ht="18.600000000000001" customHeight="1" x14ac:dyDescent="0.25">
      <c r="A50" s="125" t="s">
        <v>93</v>
      </c>
      <c r="B50" s="5"/>
      <c r="C50" s="47" t="s">
        <v>75</v>
      </c>
      <c r="D50" s="235"/>
      <c r="E50" s="16">
        <v>2912</v>
      </c>
      <c r="F50" s="16">
        <v>6</v>
      </c>
      <c r="G50" s="16">
        <v>0</v>
      </c>
      <c r="H50" s="16">
        <v>0</v>
      </c>
      <c r="I50" s="16">
        <v>0</v>
      </c>
      <c r="J50" s="16">
        <v>4</v>
      </c>
      <c r="K50" s="16">
        <v>0</v>
      </c>
      <c r="L50" s="26">
        <v>626</v>
      </c>
      <c r="M50" s="26">
        <v>117</v>
      </c>
      <c r="N50" s="26">
        <v>8</v>
      </c>
      <c r="O50" s="26">
        <v>277</v>
      </c>
      <c r="P50" s="26">
        <v>12</v>
      </c>
      <c r="Q50" s="26">
        <v>0</v>
      </c>
      <c r="R50" s="26">
        <v>83</v>
      </c>
      <c r="S50" s="26">
        <v>16</v>
      </c>
      <c r="T50" s="26">
        <v>0</v>
      </c>
      <c r="U50" s="26">
        <v>31</v>
      </c>
      <c r="V50" s="26">
        <v>57</v>
      </c>
      <c r="W50" s="26">
        <v>0</v>
      </c>
      <c r="X50" s="26">
        <v>2</v>
      </c>
      <c r="Y50" s="26">
        <v>4</v>
      </c>
      <c r="Z50" s="26">
        <v>12</v>
      </c>
      <c r="AA50" s="26">
        <v>20</v>
      </c>
      <c r="AB50" s="26">
        <v>27</v>
      </c>
      <c r="AC50" s="26">
        <v>29</v>
      </c>
      <c r="AD50" s="26">
        <v>65</v>
      </c>
      <c r="AE50" s="26">
        <v>3</v>
      </c>
      <c r="AF50" s="26">
        <v>2</v>
      </c>
      <c r="AG50" s="26">
        <v>343</v>
      </c>
      <c r="AH50" s="26">
        <v>4</v>
      </c>
      <c r="AI50" s="26">
        <v>2</v>
      </c>
      <c r="AJ50" s="26">
        <v>3</v>
      </c>
      <c r="AK50" s="125" t="s">
        <v>93</v>
      </c>
      <c r="AL50" s="5"/>
      <c r="AM50" s="47" t="s">
        <v>75</v>
      </c>
      <c r="AN50" s="235"/>
      <c r="AO50" s="16">
        <v>8</v>
      </c>
      <c r="AP50" s="16">
        <v>4</v>
      </c>
      <c r="AQ50" s="16">
        <v>48</v>
      </c>
      <c r="AR50" s="16">
        <v>15</v>
      </c>
      <c r="AS50" s="16">
        <v>0</v>
      </c>
      <c r="AT50" s="16">
        <v>2</v>
      </c>
      <c r="AU50" s="16">
        <v>0</v>
      </c>
      <c r="AV50" s="16">
        <v>7</v>
      </c>
      <c r="AW50" s="16">
        <v>39</v>
      </c>
      <c r="AX50" s="16">
        <v>2</v>
      </c>
      <c r="AY50" s="16">
        <v>90</v>
      </c>
      <c r="AZ50" s="16">
        <v>187</v>
      </c>
      <c r="BA50" s="16">
        <v>1</v>
      </c>
      <c r="BB50" s="16">
        <v>17</v>
      </c>
      <c r="BC50" s="16">
        <v>4</v>
      </c>
      <c r="BD50" s="16">
        <v>1</v>
      </c>
      <c r="BE50" s="16">
        <v>3</v>
      </c>
      <c r="BF50" s="16">
        <v>18</v>
      </c>
      <c r="BG50" s="16">
        <v>0</v>
      </c>
      <c r="BH50" s="16">
        <v>3</v>
      </c>
      <c r="BI50" s="16">
        <v>2</v>
      </c>
      <c r="BJ50" s="16">
        <v>19</v>
      </c>
      <c r="BK50" s="16">
        <v>2</v>
      </c>
      <c r="BL50" s="16">
        <v>1</v>
      </c>
      <c r="BM50" s="16">
        <v>0</v>
      </c>
      <c r="BN50" s="16">
        <v>606</v>
      </c>
      <c r="BO50" s="16">
        <v>66</v>
      </c>
      <c r="BP50" s="16">
        <v>14</v>
      </c>
      <c r="BQ50" s="16">
        <v>0</v>
      </c>
      <c r="BR50" s="16">
        <v>0</v>
      </c>
      <c r="BS50" s="16">
        <v>0</v>
      </c>
    </row>
    <row r="51" spans="1:195" s="15" customFormat="1" ht="18.600000000000001" customHeight="1" x14ac:dyDescent="0.25">
      <c r="A51" s="125"/>
      <c r="B51" s="5"/>
      <c r="C51" s="47" t="s">
        <v>76</v>
      </c>
      <c r="D51" s="235"/>
      <c r="E51" s="16">
        <v>9</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0</v>
      </c>
      <c r="X51" s="26">
        <v>0</v>
      </c>
      <c r="Y51" s="26">
        <v>0</v>
      </c>
      <c r="Z51" s="26">
        <v>0</v>
      </c>
      <c r="AA51" s="26">
        <v>0</v>
      </c>
      <c r="AB51" s="26">
        <v>0</v>
      </c>
      <c r="AC51" s="26">
        <v>0</v>
      </c>
      <c r="AD51" s="26">
        <v>0</v>
      </c>
      <c r="AE51" s="26">
        <v>0</v>
      </c>
      <c r="AF51" s="26">
        <v>0</v>
      </c>
      <c r="AG51" s="26">
        <v>2</v>
      </c>
      <c r="AH51" s="26">
        <v>0</v>
      </c>
      <c r="AI51" s="26">
        <v>0</v>
      </c>
      <c r="AJ51" s="26">
        <v>0</v>
      </c>
      <c r="AK51" s="125"/>
      <c r="AL51" s="5"/>
      <c r="AM51" s="47" t="s">
        <v>76</v>
      </c>
      <c r="AN51" s="235"/>
      <c r="AO51" s="16">
        <v>1</v>
      </c>
      <c r="AP51" s="16">
        <v>0</v>
      </c>
      <c r="AQ51" s="16">
        <v>0</v>
      </c>
      <c r="AR51" s="16">
        <v>1</v>
      </c>
      <c r="AS51" s="16">
        <v>0</v>
      </c>
      <c r="AT51" s="16">
        <v>0</v>
      </c>
      <c r="AU51" s="16">
        <v>0</v>
      </c>
      <c r="AV51" s="16">
        <v>0</v>
      </c>
      <c r="AW51" s="16">
        <v>2</v>
      </c>
      <c r="AX51" s="16">
        <v>0</v>
      </c>
      <c r="AY51" s="16">
        <v>3</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row>
    <row r="52" spans="1:195" s="15" customFormat="1" ht="18.600000000000001" customHeight="1" x14ac:dyDescent="0.25">
      <c r="A52" s="125" t="s">
        <v>94</v>
      </c>
      <c r="B52" s="4"/>
      <c r="C52" s="47" t="s">
        <v>75</v>
      </c>
      <c r="D52" s="235"/>
      <c r="E52" s="16">
        <v>4384</v>
      </c>
      <c r="F52" s="16">
        <v>7</v>
      </c>
      <c r="G52" s="16">
        <v>1</v>
      </c>
      <c r="H52" s="16">
        <v>2</v>
      </c>
      <c r="I52" s="16">
        <v>0</v>
      </c>
      <c r="J52" s="16">
        <v>12</v>
      </c>
      <c r="K52" s="16">
        <v>1</v>
      </c>
      <c r="L52" s="26">
        <v>787</v>
      </c>
      <c r="M52" s="26">
        <v>1168</v>
      </c>
      <c r="N52" s="26">
        <v>25</v>
      </c>
      <c r="O52" s="26">
        <v>282</v>
      </c>
      <c r="P52" s="26">
        <v>19</v>
      </c>
      <c r="Q52" s="26">
        <v>0</v>
      </c>
      <c r="R52" s="26">
        <v>57</v>
      </c>
      <c r="S52" s="26">
        <v>67</v>
      </c>
      <c r="T52" s="26">
        <v>7</v>
      </c>
      <c r="U52" s="26">
        <v>17</v>
      </c>
      <c r="V52" s="26">
        <v>131</v>
      </c>
      <c r="W52" s="26">
        <v>0</v>
      </c>
      <c r="X52" s="26">
        <v>2</v>
      </c>
      <c r="Y52" s="26">
        <v>9</v>
      </c>
      <c r="Z52" s="26">
        <v>44</v>
      </c>
      <c r="AA52" s="26">
        <v>52</v>
      </c>
      <c r="AB52" s="26">
        <v>23</v>
      </c>
      <c r="AC52" s="26">
        <v>30</v>
      </c>
      <c r="AD52" s="26">
        <v>269</v>
      </c>
      <c r="AE52" s="26">
        <v>81</v>
      </c>
      <c r="AF52" s="26">
        <v>0</v>
      </c>
      <c r="AG52" s="26">
        <v>218</v>
      </c>
      <c r="AH52" s="26">
        <v>2</v>
      </c>
      <c r="AI52" s="26">
        <v>0</v>
      </c>
      <c r="AJ52" s="26">
        <v>15</v>
      </c>
      <c r="AK52" s="125" t="s">
        <v>94</v>
      </c>
      <c r="AL52" s="4"/>
      <c r="AM52" s="47" t="s">
        <v>75</v>
      </c>
      <c r="AN52" s="235"/>
      <c r="AO52" s="16">
        <v>6</v>
      </c>
      <c r="AP52" s="16">
        <v>4</v>
      </c>
      <c r="AQ52" s="16">
        <v>60</v>
      </c>
      <c r="AR52" s="16">
        <v>54</v>
      </c>
      <c r="AS52" s="16">
        <v>12</v>
      </c>
      <c r="AT52" s="16">
        <v>1</v>
      </c>
      <c r="AU52" s="16">
        <v>0</v>
      </c>
      <c r="AV52" s="16">
        <v>1</v>
      </c>
      <c r="AW52" s="16">
        <v>23</v>
      </c>
      <c r="AX52" s="16">
        <v>11</v>
      </c>
      <c r="AY52" s="16">
        <v>147</v>
      </c>
      <c r="AZ52" s="16">
        <v>69</v>
      </c>
      <c r="BA52" s="16">
        <v>1</v>
      </c>
      <c r="BB52" s="16">
        <v>13</v>
      </c>
      <c r="BC52" s="16">
        <v>5</v>
      </c>
      <c r="BD52" s="16">
        <v>0</v>
      </c>
      <c r="BE52" s="16">
        <v>2</v>
      </c>
      <c r="BF52" s="16">
        <v>17</v>
      </c>
      <c r="BG52" s="16">
        <v>3</v>
      </c>
      <c r="BH52" s="16">
        <v>0</v>
      </c>
      <c r="BI52" s="16">
        <v>23</v>
      </c>
      <c r="BJ52" s="16">
        <v>25</v>
      </c>
      <c r="BK52" s="16">
        <v>3</v>
      </c>
      <c r="BL52" s="16">
        <v>0</v>
      </c>
      <c r="BM52" s="16">
        <v>0</v>
      </c>
      <c r="BN52" s="16">
        <v>170</v>
      </c>
      <c r="BO52" s="16">
        <v>207</v>
      </c>
      <c r="BP52" s="16">
        <v>186</v>
      </c>
      <c r="BQ52" s="16">
        <v>13</v>
      </c>
      <c r="BR52" s="16">
        <v>0</v>
      </c>
      <c r="BS52" s="16">
        <v>0</v>
      </c>
    </row>
    <row r="53" spans="1:195" s="15" customFormat="1" ht="18.600000000000001" customHeight="1" x14ac:dyDescent="0.25">
      <c r="A53" s="125"/>
      <c r="B53" s="4"/>
      <c r="C53" s="47" t="s">
        <v>76</v>
      </c>
      <c r="D53" s="235"/>
      <c r="E53" s="16">
        <v>38</v>
      </c>
      <c r="F53" s="26">
        <v>0</v>
      </c>
      <c r="G53" s="26">
        <v>0</v>
      </c>
      <c r="H53" s="26">
        <v>0</v>
      </c>
      <c r="I53" s="26">
        <v>0</v>
      </c>
      <c r="J53" s="26">
        <v>0</v>
      </c>
      <c r="K53" s="26">
        <v>0</v>
      </c>
      <c r="L53" s="26">
        <v>0</v>
      </c>
      <c r="M53" s="26">
        <v>1</v>
      </c>
      <c r="N53" s="26">
        <v>0</v>
      </c>
      <c r="O53" s="26">
        <v>0</v>
      </c>
      <c r="P53" s="26">
        <v>0</v>
      </c>
      <c r="Q53" s="26">
        <v>0</v>
      </c>
      <c r="R53" s="26">
        <v>3</v>
      </c>
      <c r="S53" s="26">
        <v>1</v>
      </c>
      <c r="T53" s="26">
        <v>0</v>
      </c>
      <c r="U53" s="26">
        <v>0</v>
      </c>
      <c r="V53" s="26">
        <v>1</v>
      </c>
      <c r="W53" s="26">
        <v>0</v>
      </c>
      <c r="X53" s="26">
        <v>0</v>
      </c>
      <c r="Y53" s="26">
        <v>1</v>
      </c>
      <c r="Z53" s="26">
        <v>1</v>
      </c>
      <c r="AA53" s="26">
        <v>0</v>
      </c>
      <c r="AB53" s="26">
        <v>0</v>
      </c>
      <c r="AC53" s="26">
        <v>0</v>
      </c>
      <c r="AD53" s="26">
        <v>0</v>
      </c>
      <c r="AE53" s="26">
        <v>0</v>
      </c>
      <c r="AF53" s="26">
        <v>0</v>
      </c>
      <c r="AG53" s="26">
        <v>3</v>
      </c>
      <c r="AH53" s="26">
        <v>0</v>
      </c>
      <c r="AI53" s="26">
        <v>0</v>
      </c>
      <c r="AJ53" s="26">
        <v>0</v>
      </c>
      <c r="AK53" s="125"/>
      <c r="AL53" s="4"/>
      <c r="AM53" s="47" t="s">
        <v>76</v>
      </c>
      <c r="AN53" s="235"/>
      <c r="AO53" s="16">
        <v>0</v>
      </c>
      <c r="AP53" s="16">
        <v>0</v>
      </c>
      <c r="AQ53" s="16">
        <v>1</v>
      </c>
      <c r="AR53" s="16">
        <v>0</v>
      </c>
      <c r="AS53" s="16">
        <v>0</v>
      </c>
      <c r="AT53" s="16">
        <v>0</v>
      </c>
      <c r="AU53" s="16">
        <v>0</v>
      </c>
      <c r="AV53" s="16">
        <v>0</v>
      </c>
      <c r="AW53" s="16">
        <v>4</v>
      </c>
      <c r="AX53" s="16">
        <v>0</v>
      </c>
      <c r="AY53" s="16">
        <v>20</v>
      </c>
      <c r="AZ53" s="16">
        <v>0</v>
      </c>
      <c r="BA53" s="16">
        <v>0</v>
      </c>
      <c r="BB53" s="16">
        <v>0</v>
      </c>
      <c r="BC53" s="16">
        <v>0</v>
      </c>
      <c r="BD53" s="16">
        <v>0</v>
      </c>
      <c r="BE53" s="16">
        <v>0</v>
      </c>
      <c r="BF53" s="16">
        <v>0</v>
      </c>
      <c r="BG53" s="16">
        <v>0</v>
      </c>
      <c r="BH53" s="16">
        <v>0</v>
      </c>
      <c r="BI53" s="16">
        <v>0</v>
      </c>
      <c r="BJ53" s="16">
        <v>0</v>
      </c>
      <c r="BK53" s="16">
        <v>0</v>
      </c>
      <c r="BL53" s="16">
        <v>0</v>
      </c>
      <c r="BM53" s="16">
        <v>0</v>
      </c>
      <c r="BN53" s="16">
        <v>1</v>
      </c>
      <c r="BO53" s="16">
        <v>1</v>
      </c>
      <c r="BP53" s="16">
        <v>0</v>
      </c>
      <c r="BQ53" s="16">
        <v>0</v>
      </c>
      <c r="BR53" s="16">
        <v>0</v>
      </c>
      <c r="BS53" s="16">
        <v>0</v>
      </c>
    </row>
    <row r="54" spans="1:195" s="15" customFormat="1" ht="18.600000000000001" customHeight="1" x14ac:dyDescent="0.25">
      <c r="A54" s="125" t="s">
        <v>95</v>
      </c>
      <c r="B54" s="4"/>
      <c r="C54" s="47" t="s">
        <v>75</v>
      </c>
      <c r="D54" s="235"/>
      <c r="E54" s="16">
        <v>2956</v>
      </c>
      <c r="F54" s="16">
        <v>0</v>
      </c>
      <c r="G54" s="16">
        <v>0</v>
      </c>
      <c r="H54" s="16">
        <v>0</v>
      </c>
      <c r="I54" s="16">
        <v>0</v>
      </c>
      <c r="J54" s="16">
        <v>0</v>
      </c>
      <c r="K54" s="16">
        <v>0</v>
      </c>
      <c r="L54" s="26">
        <v>568</v>
      </c>
      <c r="M54" s="26">
        <v>208</v>
      </c>
      <c r="N54" s="26">
        <v>8</v>
      </c>
      <c r="O54" s="26">
        <v>67</v>
      </c>
      <c r="P54" s="26">
        <v>12</v>
      </c>
      <c r="Q54" s="26">
        <v>2</v>
      </c>
      <c r="R54" s="26">
        <v>86</v>
      </c>
      <c r="S54" s="26">
        <v>45</v>
      </c>
      <c r="T54" s="26">
        <v>0</v>
      </c>
      <c r="U54" s="26">
        <v>14</v>
      </c>
      <c r="V54" s="26">
        <v>81</v>
      </c>
      <c r="W54" s="26">
        <v>1</v>
      </c>
      <c r="X54" s="26">
        <v>0</v>
      </c>
      <c r="Y54" s="26">
        <v>10</v>
      </c>
      <c r="Z54" s="26">
        <v>74</v>
      </c>
      <c r="AA54" s="26">
        <v>25</v>
      </c>
      <c r="AB54" s="26">
        <v>226</v>
      </c>
      <c r="AC54" s="26">
        <v>7</v>
      </c>
      <c r="AD54" s="26">
        <v>133</v>
      </c>
      <c r="AE54" s="26">
        <v>75</v>
      </c>
      <c r="AF54" s="26">
        <v>0</v>
      </c>
      <c r="AG54" s="26">
        <v>440</v>
      </c>
      <c r="AH54" s="26">
        <v>0</v>
      </c>
      <c r="AI54" s="26">
        <v>0</v>
      </c>
      <c r="AJ54" s="26">
        <v>10</v>
      </c>
      <c r="AK54" s="125" t="s">
        <v>95</v>
      </c>
      <c r="AL54" s="4"/>
      <c r="AM54" s="47" t="s">
        <v>75</v>
      </c>
      <c r="AN54" s="235"/>
      <c r="AO54" s="16">
        <v>4</v>
      </c>
      <c r="AP54" s="16">
        <v>2</v>
      </c>
      <c r="AQ54" s="16">
        <v>59</v>
      </c>
      <c r="AR54" s="16">
        <v>2</v>
      </c>
      <c r="AS54" s="16">
        <v>0</v>
      </c>
      <c r="AT54" s="16">
        <v>0</v>
      </c>
      <c r="AU54" s="16">
        <v>0</v>
      </c>
      <c r="AV54" s="16">
        <v>4</v>
      </c>
      <c r="AW54" s="16">
        <v>18</v>
      </c>
      <c r="AX54" s="16">
        <v>0</v>
      </c>
      <c r="AY54" s="16">
        <v>299</v>
      </c>
      <c r="AZ54" s="16">
        <v>41</v>
      </c>
      <c r="BA54" s="16">
        <v>0</v>
      </c>
      <c r="BB54" s="16">
        <v>17</v>
      </c>
      <c r="BC54" s="16">
        <v>0</v>
      </c>
      <c r="BD54" s="16">
        <v>1</v>
      </c>
      <c r="BE54" s="16">
        <v>0</v>
      </c>
      <c r="BF54" s="16">
        <v>10</v>
      </c>
      <c r="BG54" s="16">
        <v>0</v>
      </c>
      <c r="BH54" s="16">
        <v>0</v>
      </c>
      <c r="BI54" s="16">
        <v>4</v>
      </c>
      <c r="BJ54" s="16">
        <v>14</v>
      </c>
      <c r="BK54" s="16">
        <v>3</v>
      </c>
      <c r="BL54" s="16">
        <v>0</v>
      </c>
      <c r="BM54" s="16">
        <v>0</v>
      </c>
      <c r="BN54" s="16">
        <v>287</v>
      </c>
      <c r="BO54" s="16">
        <v>79</v>
      </c>
      <c r="BP54" s="16">
        <v>20</v>
      </c>
      <c r="BQ54" s="16">
        <v>0</v>
      </c>
      <c r="BR54" s="16">
        <v>0</v>
      </c>
      <c r="BS54" s="16">
        <v>0</v>
      </c>
    </row>
    <row r="55" spans="1:195" s="15" customFormat="1" ht="18.600000000000001" customHeight="1" x14ac:dyDescent="0.25">
      <c r="A55" s="125"/>
      <c r="B55" s="4"/>
      <c r="C55" s="47" t="s">
        <v>76</v>
      </c>
      <c r="D55" s="235"/>
      <c r="E55" s="16">
        <v>22</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1</v>
      </c>
      <c r="AE55" s="26">
        <v>0</v>
      </c>
      <c r="AF55" s="26">
        <v>0</v>
      </c>
      <c r="AG55" s="26">
        <v>8</v>
      </c>
      <c r="AH55" s="26">
        <v>0</v>
      </c>
      <c r="AI55" s="26">
        <v>0</v>
      </c>
      <c r="AJ55" s="26">
        <v>0</v>
      </c>
      <c r="AK55" s="125"/>
      <c r="AL55" s="4"/>
      <c r="AM55" s="47" t="s">
        <v>76</v>
      </c>
      <c r="AN55" s="235"/>
      <c r="AO55" s="16">
        <v>0</v>
      </c>
      <c r="AP55" s="16">
        <v>0</v>
      </c>
      <c r="AQ55" s="16">
        <v>0</v>
      </c>
      <c r="AR55" s="16">
        <v>0</v>
      </c>
      <c r="AS55" s="16">
        <v>0</v>
      </c>
      <c r="AT55" s="16">
        <v>0</v>
      </c>
      <c r="AU55" s="16">
        <v>0</v>
      </c>
      <c r="AV55" s="16">
        <v>0</v>
      </c>
      <c r="AW55" s="16">
        <v>1</v>
      </c>
      <c r="AX55" s="16">
        <v>0</v>
      </c>
      <c r="AY55" s="16">
        <v>9</v>
      </c>
      <c r="AZ55" s="16">
        <v>0</v>
      </c>
      <c r="BA55" s="16">
        <v>0</v>
      </c>
      <c r="BB55" s="16">
        <v>0</v>
      </c>
      <c r="BC55" s="16">
        <v>0</v>
      </c>
      <c r="BD55" s="16">
        <v>0</v>
      </c>
      <c r="BE55" s="16">
        <v>0</v>
      </c>
      <c r="BF55" s="16">
        <v>0</v>
      </c>
      <c r="BG55" s="16">
        <v>0</v>
      </c>
      <c r="BH55" s="16">
        <v>0</v>
      </c>
      <c r="BI55" s="16">
        <v>0</v>
      </c>
      <c r="BJ55" s="16">
        <v>0</v>
      </c>
      <c r="BK55" s="16">
        <v>0</v>
      </c>
      <c r="BL55" s="16">
        <v>0</v>
      </c>
      <c r="BM55" s="16">
        <v>0</v>
      </c>
      <c r="BN55" s="16">
        <v>3</v>
      </c>
      <c r="BO55" s="16">
        <v>0</v>
      </c>
      <c r="BP55" s="16">
        <v>0</v>
      </c>
      <c r="BQ55" s="16">
        <v>0</v>
      </c>
      <c r="BR55" s="16">
        <v>0</v>
      </c>
      <c r="BS55" s="16">
        <v>0</v>
      </c>
    </row>
    <row r="56" spans="1:195" s="15" customFormat="1" ht="18.600000000000001" customHeight="1" x14ac:dyDescent="0.25">
      <c r="A56" s="125" t="s">
        <v>96</v>
      </c>
      <c r="B56" s="4"/>
      <c r="C56" s="47" t="s">
        <v>75</v>
      </c>
      <c r="D56" s="235"/>
      <c r="E56" s="16">
        <v>719</v>
      </c>
      <c r="F56" s="16">
        <v>0</v>
      </c>
      <c r="G56" s="16">
        <v>0</v>
      </c>
      <c r="H56" s="16">
        <v>0</v>
      </c>
      <c r="I56" s="16">
        <v>0</v>
      </c>
      <c r="J56" s="16">
        <v>0</v>
      </c>
      <c r="K56" s="16">
        <v>0</v>
      </c>
      <c r="L56" s="26">
        <v>71</v>
      </c>
      <c r="M56" s="26">
        <v>36</v>
      </c>
      <c r="N56" s="26">
        <v>0</v>
      </c>
      <c r="O56" s="26">
        <v>37</v>
      </c>
      <c r="P56" s="26">
        <v>1</v>
      </c>
      <c r="Q56" s="26">
        <v>0</v>
      </c>
      <c r="R56" s="26">
        <v>50</v>
      </c>
      <c r="S56" s="26">
        <v>21</v>
      </c>
      <c r="T56" s="26">
        <v>0</v>
      </c>
      <c r="U56" s="26">
        <v>8</v>
      </c>
      <c r="V56" s="26">
        <v>51</v>
      </c>
      <c r="W56" s="26">
        <v>0</v>
      </c>
      <c r="X56" s="26">
        <v>1</v>
      </c>
      <c r="Y56" s="26">
        <v>0</v>
      </c>
      <c r="Z56" s="26">
        <v>5</v>
      </c>
      <c r="AA56" s="26">
        <v>26</v>
      </c>
      <c r="AB56" s="26">
        <v>17</v>
      </c>
      <c r="AC56" s="26">
        <v>17</v>
      </c>
      <c r="AD56" s="26">
        <v>27</v>
      </c>
      <c r="AE56" s="26">
        <v>6</v>
      </c>
      <c r="AF56" s="26">
        <v>0</v>
      </c>
      <c r="AG56" s="26">
        <v>192</v>
      </c>
      <c r="AH56" s="26">
        <v>2</v>
      </c>
      <c r="AI56" s="26">
        <v>0</v>
      </c>
      <c r="AJ56" s="26">
        <v>7</v>
      </c>
      <c r="AK56" s="125" t="s">
        <v>96</v>
      </c>
      <c r="AL56" s="4"/>
      <c r="AM56" s="47" t="s">
        <v>75</v>
      </c>
      <c r="AN56" s="235"/>
      <c r="AO56" s="16">
        <v>0</v>
      </c>
      <c r="AP56" s="16">
        <v>4</v>
      </c>
      <c r="AQ56" s="16">
        <v>3</v>
      </c>
      <c r="AR56" s="16">
        <v>5</v>
      </c>
      <c r="AS56" s="16">
        <v>0</v>
      </c>
      <c r="AT56" s="16">
        <v>0</v>
      </c>
      <c r="AU56" s="16">
        <v>0</v>
      </c>
      <c r="AV56" s="16">
        <v>0</v>
      </c>
      <c r="AW56" s="16">
        <v>42</v>
      </c>
      <c r="AX56" s="16">
        <v>2</v>
      </c>
      <c r="AY56" s="16">
        <v>42</v>
      </c>
      <c r="AZ56" s="16">
        <v>2</v>
      </c>
      <c r="BA56" s="16">
        <v>0</v>
      </c>
      <c r="BB56" s="16">
        <v>2</v>
      </c>
      <c r="BC56" s="16">
        <v>1</v>
      </c>
      <c r="BD56" s="16">
        <v>0</v>
      </c>
      <c r="BE56" s="16">
        <v>0</v>
      </c>
      <c r="BF56" s="16">
        <v>1</v>
      </c>
      <c r="BG56" s="16">
        <v>0</v>
      </c>
      <c r="BH56" s="16">
        <v>0</v>
      </c>
      <c r="BI56" s="16">
        <v>3</v>
      </c>
      <c r="BJ56" s="16">
        <v>8</v>
      </c>
      <c r="BK56" s="16">
        <v>1</v>
      </c>
      <c r="BL56" s="16">
        <v>0</v>
      </c>
      <c r="BM56" s="16">
        <v>0</v>
      </c>
      <c r="BN56" s="16">
        <v>9</v>
      </c>
      <c r="BO56" s="16">
        <v>11</v>
      </c>
      <c r="BP56" s="16">
        <v>7</v>
      </c>
      <c r="BQ56" s="16">
        <v>0</v>
      </c>
      <c r="BR56" s="16">
        <v>0</v>
      </c>
      <c r="BS56" s="16">
        <v>1</v>
      </c>
    </row>
    <row r="57" spans="1:195" s="15" customFormat="1" ht="18.600000000000001" customHeight="1" x14ac:dyDescent="0.25">
      <c r="A57" s="134"/>
      <c r="B57" s="6"/>
      <c r="C57" s="49" t="s">
        <v>76</v>
      </c>
      <c r="D57" s="236"/>
      <c r="E57" s="55">
        <v>15</v>
      </c>
      <c r="F57" s="56">
        <v>0</v>
      </c>
      <c r="G57" s="56">
        <v>0</v>
      </c>
      <c r="H57" s="56">
        <v>0</v>
      </c>
      <c r="I57" s="56">
        <v>0</v>
      </c>
      <c r="J57" s="56">
        <v>0</v>
      </c>
      <c r="K57" s="56">
        <v>0</v>
      </c>
      <c r="L57" s="56">
        <v>0</v>
      </c>
      <c r="M57" s="56">
        <v>0</v>
      </c>
      <c r="N57" s="56">
        <v>0</v>
      </c>
      <c r="O57" s="56">
        <v>0</v>
      </c>
      <c r="P57" s="56">
        <v>0</v>
      </c>
      <c r="Q57" s="56">
        <v>0</v>
      </c>
      <c r="R57" s="56">
        <v>0</v>
      </c>
      <c r="S57" s="56">
        <v>1</v>
      </c>
      <c r="T57" s="56">
        <v>0</v>
      </c>
      <c r="U57" s="56">
        <v>0</v>
      </c>
      <c r="V57" s="56">
        <v>1</v>
      </c>
      <c r="W57" s="56">
        <v>0</v>
      </c>
      <c r="X57" s="56">
        <v>0</v>
      </c>
      <c r="Y57" s="56">
        <v>0</v>
      </c>
      <c r="Z57" s="56">
        <v>0</v>
      </c>
      <c r="AA57" s="56">
        <v>0</v>
      </c>
      <c r="AB57" s="56">
        <v>0</v>
      </c>
      <c r="AC57" s="56">
        <v>1</v>
      </c>
      <c r="AD57" s="56">
        <v>0</v>
      </c>
      <c r="AE57" s="56">
        <v>0</v>
      </c>
      <c r="AF57" s="56">
        <v>0</v>
      </c>
      <c r="AG57" s="56">
        <v>9</v>
      </c>
      <c r="AH57" s="56">
        <v>0</v>
      </c>
      <c r="AI57" s="56">
        <v>0</v>
      </c>
      <c r="AJ57" s="56">
        <v>0</v>
      </c>
      <c r="AK57" s="134"/>
      <c r="AL57" s="6"/>
      <c r="AM57" s="49" t="s">
        <v>76</v>
      </c>
      <c r="AN57" s="236"/>
      <c r="AO57" s="57">
        <v>0</v>
      </c>
      <c r="AP57" s="57">
        <v>0</v>
      </c>
      <c r="AQ57" s="57">
        <v>0</v>
      </c>
      <c r="AR57" s="57">
        <v>0</v>
      </c>
      <c r="AS57" s="57">
        <v>0</v>
      </c>
      <c r="AT57" s="57">
        <v>0</v>
      </c>
      <c r="AU57" s="57">
        <v>0</v>
      </c>
      <c r="AV57" s="57">
        <v>0</v>
      </c>
      <c r="AW57" s="57">
        <v>3</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c r="BQ57" s="57">
        <v>0</v>
      </c>
      <c r="BR57" s="57">
        <v>0</v>
      </c>
      <c r="BS57" s="57">
        <v>0</v>
      </c>
    </row>
    <row r="58" spans="1:195" s="237" customFormat="1" ht="18" customHeight="1" x14ac:dyDescent="0.3">
      <c r="AA58" s="238"/>
      <c r="AC58" s="239"/>
      <c r="AG58" s="240"/>
      <c r="AI58" s="115"/>
      <c r="AK58" s="63" t="s">
        <v>191</v>
      </c>
      <c r="AL58" s="58"/>
      <c r="AM58" s="58"/>
      <c r="AN58" s="63"/>
      <c r="AO58" s="63"/>
      <c r="AP58" s="64"/>
      <c r="AQ58" s="58"/>
      <c r="AR58" s="63"/>
      <c r="AS58" s="63" t="s">
        <v>178</v>
      </c>
      <c r="AT58" s="63"/>
      <c r="AU58" s="62"/>
      <c r="AV58" s="58"/>
      <c r="AW58" s="63"/>
      <c r="AX58" s="58"/>
      <c r="AY58" s="64"/>
      <c r="AZ58" s="64"/>
      <c r="BA58" s="62" t="s">
        <v>179</v>
      </c>
      <c r="BB58" s="58"/>
      <c r="BC58" s="63"/>
      <c r="BD58" s="62"/>
      <c r="BE58" s="65"/>
      <c r="BF58" s="64"/>
      <c r="BG58" s="58"/>
      <c r="BH58" s="62" t="s">
        <v>180</v>
      </c>
      <c r="BK58" s="115"/>
      <c r="BL58" s="115"/>
      <c r="BM58" s="115"/>
      <c r="BN58" s="115"/>
      <c r="BP58" s="115"/>
      <c r="BQ58" s="115"/>
      <c r="BR58" s="115"/>
      <c r="BS58" s="241"/>
      <c r="BT58" s="115"/>
      <c r="BU58" s="115"/>
      <c r="BV58" s="115"/>
      <c r="BW58" s="115"/>
      <c r="BX58" s="115"/>
      <c r="BY58" s="115"/>
      <c r="BZ58" s="115"/>
      <c r="CA58" s="115"/>
      <c r="CB58" s="115"/>
      <c r="CC58" s="115"/>
      <c r="CD58" s="115"/>
      <c r="CE58" s="115"/>
      <c r="CF58" s="115"/>
      <c r="CG58" s="115"/>
      <c r="CH58" s="115"/>
      <c r="CI58" s="115"/>
      <c r="CJ58" s="115"/>
      <c r="CK58" s="115"/>
      <c r="CL58" s="115"/>
      <c r="CM58" s="115"/>
      <c r="CN58" s="115"/>
      <c r="CO58" s="115"/>
      <c r="CP58" s="115"/>
      <c r="CQ58" s="115"/>
      <c r="CR58" s="115"/>
      <c r="CS58" s="115"/>
      <c r="CT58" s="115"/>
      <c r="CU58" s="115"/>
      <c r="CV58" s="115"/>
      <c r="CW58" s="115"/>
      <c r="CX58" s="115"/>
      <c r="CY58" s="115"/>
      <c r="CZ58" s="115"/>
      <c r="DA58" s="115"/>
      <c r="DB58" s="115"/>
      <c r="DC58" s="115"/>
      <c r="DD58" s="115"/>
      <c r="DE58" s="115"/>
      <c r="DF58" s="115"/>
      <c r="DG58" s="115"/>
      <c r="DH58" s="115"/>
      <c r="DI58" s="115"/>
      <c r="DJ58" s="115"/>
      <c r="DK58" s="115"/>
      <c r="DL58" s="115"/>
      <c r="DM58" s="115"/>
      <c r="DN58" s="115"/>
      <c r="DO58" s="115"/>
      <c r="DP58" s="115"/>
      <c r="DQ58" s="115"/>
      <c r="DR58" s="115"/>
      <c r="DS58" s="115"/>
      <c r="DT58" s="115"/>
      <c r="DU58" s="115"/>
      <c r="DV58" s="115"/>
      <c r="DW58" s="115"/>
      <c r="DX58" s="115"/>
      <c r="DY58" s="115"/>
      <c r="DZ58" s="115"/>
      <c r="EA58" s="115"/>
      <c r="EB58" s="115"/>
      <c r="EC58" s="115"/>
      <c r="ED58" s="115"/>
      <c r="EE58" s="115"/>
      <c r="EF58" s="115"/>
      <c r="EG58" s="115"/>
      <c r="EH58" s="115"/>
      <c r="EI58" s="115"/>
      <c r="EJ58" s="115"/>
      <c r="EK58" s="115"/>
      <c r="EL58" s="115"/>
      <c r="EM58" s="115"/>
      <c r="EN58" s="115"/>
      <c r="EO58" s="115"/>
      <c r="EP58" s="115"/>
      <c r="EQ58" s="115"/>
      <c r="ER58" s="115"/>
      <c r="ES58" s="115"/>
      <c r="ET58" s="115"/>
      <c r="EU58" s="115"/>
      <c r="EV58" s="115"/>
      <c r="EW58" s="115"/>
      <c r="EX58" s="115"/>
      <c r="EY58" s="115"/>
      <c r="EZ58" s="115"/>
      <c r="FA58" s="115"/>
      <c r="FB58" s="115"/>
      <c r="FC58" s="115"/>
      <c r="FD58" s="115"/>
      <c r="FE58" s="115"/>
      <c r="FF58" s="115"/>
      <c r="FG58" s="115"/>
      <c r="FH58" s="115"/>
      <c r="FI58" s="115"/>
      <c r="FJ58" s="115"/>
      <c r="FK58" s="115"/>
      <c r="FL58" s="115"/>
      <c r="FM58" s="115"/>
      <c r="FN58" s="115"/>
      <c r="FO58" s="115"/>
      <c r="FP58" s="115"/>
      <c r="FQ58" s="115"/>
      <c r="FR58" s="115"/>
      <c r="FS58" s="115"/>
      <c r="FT58" s="115"/>
      <c r="FU58" s="115"/>
      <c r="FV58" s="115"/>
      <c r="FW58" s="115"/>
      <c r="FX58" s="115"/>
      <c r="FY58" s="115"/>
      <c r="FZ58" s="115"/>
      <c r="GA58" s="115"/>
      <c r="GB58" s="115"/>
      <c r="GC58" s="115"/>
      <c r="GD58" s="115"/>
      <c r="GE58" s="115"/>
      <c r="GF58" s="115"/>
      <c r="GG58" s="115"/>
      <c r="GH58" s="115"/>
      <c r="GI58" s="115"/>
      <c r="GJ58" s="115"/>
      <c r="GK58" s="115"/>
      <c r="GL58" s="115"/>
      <c r="GM58" s="115"/>
    </row>
    <row r="59" spans="1:195" s="237" customFormat="1" ht="18" customHeight="1" x14ac:dyDescent="0.3">
      <c r="AG59" s="240"/>
      <c r="AI59" s="115"/>
      <c r="AK59" s="63"/>
      <c r="AL59" s="58"/>
      <c r="AM59" s="58"/>
      <c r="AN59" s="63"/>
      <c r="AO59" s="63"/>
      <c r="AP59" s="64"/>
      <c r="AQ59" s="64"/>
      <c r="AR59" s="65"/>
      <c r="AS59" s="63"/>
      <c r="AT59" s="63"/>
      <c r="AU59" s="63"/>
      <c r="AV59" s="58"/>
      <c r="AW59" s="63"/>
      <c r="AX59" s="58"/>
      <c r="AY59" s="63"/>
      <c r="AZ59" s="63"/>
      <c r="BA59" s="65" t="s">
        <v>181</v>
      </c>
      <c r="BB59" s="63"/>
      <c r="BC59" s="63"/>
      <c r="BD59" s="62"/>
      <c r="BE59" s="65"/>
      <c r="BF59" s="63"/>
      <c r="BG59" s="62"/>
      <c r="BH59" s="58"/>
      <c r="BK59" s="242"/>
      <c r="BL59" s="115"/>
      <c r="BM59" s="243"/>
      <c r="BN59" s="243"/>
      <c r="BO59" s="243"/>
      <c r="BP59" s="115"/>
      <c r="BQ59" s="115"/>
      <c r="BR59" s="115"/>
      <c r="BS59" s="115"/>
      <c r="BT59" s="115"/>
      <c r="BU59" s="115"/>
      <c r="BV59" s="115"/>
      <c r="BW59" s="115"/>
      <c r="BX59" s="115"/>
      <c r="BY59" s="115"/>
      <c r="BZ59" s="115"/>
      <c r="CA59" s="115"/>
      <c r="CB59" s="115"/>
      <c r="CC59" s="115"/>
      <c r="CD59" s="115"/>
      <c r="CE59" s="115"/>
      <c r="CF59" s="115"/>
      <c r="CG59" s="115"/>
      <c r="CH59" s="115"/>
      <c r="CI59" s="115"/>
      <c r="CJ59" s="115"/>
      <c r="CK59" s="115"/>
      <c r="CL59" s="115"/>
      <c r="CM59" s="115"/>
      <c r="CN59" s="115"/>
      <c r="CO59" s="115"/>
      <c r="CP59" s="115"/>
      <c r="CQ59" s="115"/>
      <c r="CR59" s="115"/>
      <c r="CS59" s="115"/>
      <c r="CT59" s="115"/>
      <c r="CU59" s="115"/>
      <c r="CV59" s="115"/>
      <c r="CW59" s="115"/>
      <c r="CX59" s="115"/>
      <c r="CY59" s="115"/>
      <c r="CZ59" s="115"/>
      <c r="DA59" s="115"/>
      <c r="DB59" s="115"/>
      <c r="DC59" s="115"/>
      <c r="DD59" s="115"/>
      <c r="DE59" s="115"/>
      <c r="DF59" s="115"/>
      <c r="DG59" s="115"/>
      <c r="DH59" s="115"/>
      <c r="DI59" s="115"/>
      <c r="DJ59" s="115"/>
      <c r="DK59" s="115"/>
      <c r="DL59" s="115"/>
      <c r="DM59" s="115"/>
      <c r="DN59" s="115"/>
      <c r="DO59" s="115"/>
      <c r="DP59" s="115"/>
      <c r="DQ59" s="115"/>
      <c r="DR59" s="115"/>
      <c r="DS59" s="115"/>
      <c r="DT59" s="115"/>
      <c r="DU59" s="115"/>
      <c r="DV59" s="115"/>
      <c r="DW59" s="115"/>
      <c r="DX59" s="115"/>
      <c r="DY59" s="115"/>
      <c r="DZ59" s="115"/>
      <c r="EA59" s="115"/>
      <c r="EB59" s="115"/>
      <c r="EC59" s="115"/>
      <c r="ED59" s="115"/>
      <c r="EE59" s="115"/>
      <c r="EF59" s="115"/>
      <c r="EG59" s="115"/>
      <c r="EH59" s="115"/>
      <c r="EI59" s="115"/>
      <c r="EJ59" s="115"/>
      <c r="EK59" s="115"/>
      <c r="EL59" s="115"/>
      <c r="EM59" s="115"/>
      <c r="EN59" s="115"/>
      <c r="EO59" s="115"/>
      <c r="EP59" s="115"/>
      <c r="EQ59" s="115"/>
      <c r="ER59" s="115"/>
      <c r="ES59" s="115"/>
      <c r="ET59" s="115"/>
      <c r="EU59" s="115"/>
      <c r="EV59" s="115"/>
      <c r="EW59" s="115"/>
      <c r="EX59" s="115"/>
      <c r="EY59" s="115"/>
      <c r="EZ59" s="115"/>
      <c r="FA59" s="115"/>
      <c r="FB59" s="115"/>
      <c r="FC59" s="115"/>
      <c r="FD59" s="115"/>
      <c r="FE59" s="115"/>
      <c r="FF59" s="115"/>
      <c r="FG59" s="115"/>
      <c r="FH59" s="115"/>
      <c r="FI59" s="115"/>
      <c r="FJ59" s="115"/>
      <c r="FK59" s="115"/>
      <c r="FL59" s="115"/>
      <c r="FM59" s="115"/>
      <c r="FN59" s="115"/>
      <c r="FO59" s="115"/>
      <c r="FP59" s="115"/>
      <c r="FQ59" s="115"/>
      <c r="FR59" s="115"/>
      <c r="FS59" s="115"/>
      <c r="FT59" s="115"/>
      <c r="FU59" s="115"/>
      <c r="FV59" s="115"/>
      <c r="FW59" s="115"/>
      <c r="FX59" s="115"/>
      <c r="FY59" s="115"/>
      <c r="FZ59" s="115"/>
      <c r="GA59" s="115"/>
      <c r="GB59" s="115"/>
      <c r="GC59" s="115"/>
      <c r="GD59" s="115"/>
      <c r="GE59" s="115"/>
      <c r="GF59" s="115"/>
      <c r="GG59" s="115"/>
      <c r="GH59" s="115"/>
      <c r="GI59" s="115"/>
      <c r="GJ59" s="115"/>
      <c r="GK59" s="115"/>
      <c r="GL59" s="115"/>
      <c r="GM59" s="115"/>
    </row>
    <row r="60" spans="1:195" s="237" customFormat="1" ht="18" customHeight="1" x14ac:dyDescent="0.3">
      <c r="Z60" s="244"/>
      <c r="AA60" s="245"/>
      <c r="AB60" s="244"/>
      <c r="AC60" s="246"/>
      <c r="AD60" s="246"/>
      <c r="AE60" s="246"/>
      <c r="AF60" s="246"/>
      <c r="AI60" s="115"/>
      <c r="AK60" s="76" t="s">
        <v>409</v>
      </c>
      <c r="AL60" s="58"/>
      <c r="AM60" s="58"/>
      <c r="AN60" s="62"/>
      <c r="AO60" s="58"/>
      <c r="AP60" s="76"/>
      <c r="AQ60" s="77"/>
      <c r="AR60" s="76"/>
      <c r="AS60" s="74"/>
      <c r="AT60" s="76"/>
      <c r="AU60" s="76"/>
      <c r="AV60" s="76"/>
      <c r="AW60" s="76"/>
      <c r="AX60" s="76"/>
      <c r="AY60" s="77"/>
      <c r="AZ60" s="76"/>
      <c r="BA60" s="76"/>
      <c r="BB60" s="76"/>
      <c r="BC60" s="76"/>
      <c r="BD60" s="59"/>
      <c r="BE60" s="59"/>
      <c r="BF60" s="59"/>
      <c r="BG60" s="75"/>
      <c r="BH60" s="58"/>
      <c r="BK60" s="247"/>
      <c r="BL60" s="247"/>
      <c r="BM60" s="115"/>
      <c r="BN60" s="115"/>
      <c r="BO60" s="115"/>
      <c r="BP60" s="115"/>
      <c r="BQ60" s="115"/>
      <c r="BR60" s="115"/>
      <c r="BS60" s="115"/>
      <c r="BT60" s="115"/>
      <c r="BU60" s="115"/>
      <c r="BV60" s="115"/>
      <c r="BW60" s="115"/>
      <c r="BX60" s="115"/>
      <c r="BY60" s="115"/>
      <c r="BZ60" s="115"/>
      <c r="CA60" s="115"/>
      <c r="CB60" s="115"/>
      <c r="CC60" s="115"/>
      <c r="CD60" s="115"/>
      <c r="CE60" s="115"/>
      <c r="CF60" s="115"/>
      <c r="CG60" s="115"/>
      <c r="CH60" s="115"/>
      <c r="CI60" s="115"/>
      <c r="CJ60" s="115"/>
      <c r="CK60" s="115"/>
      <c r="CL60" s="115"/>
      <c r="CM60" s="115"/>
      <c r="CN60" s="115"/>
      <c r="CO60" s="115"/>
      <c r="CP60" s="115"/>
      <c r="CQ60" s="115"/>
      <c r="CR60" s="115"/>
      <c r="CS60" s="115"/>
      <c r="CT60" s="115"/>
      <c r="CU60" s="115"/>
      <c r="CV60" s="115"/>
      <c r="CW60" s="115"/>
      <c r="CX60" s="115"/>
      <c r="CY60" s="115"/>
      <c r="CZ60" s="115"/>
      <c r="DA60" s="115"/>
      <c r="DB60" s="115"/>
      <c r="DC60" s="115"/>
      <c r="DD60" s="115"/>
      <c r="DE60" s="115"/>
      <c r="DF60" s="115"/>
      <c r="DG60" s="115"/>
      <c r="DH60" s="115"/>
      <c r="DI60" s="115"/>
      <c r="DJ60" s="115"/>
      <c r="DK60" s="115"/>
      <c r="DL60" s="115"/>
      <c r="DM60" s="115"/>
      <c r="DN60" s="115"/>
      <c r="DO60" s="115"/>
      <c r="DP60" s="115"/>
      <c r="DQ60" s="115"/>
      <c r="DR60" s="115"/>
      <c r="DS60" s="115"/>
      <c r="DT60" s="115"/>
      <c r="DU60" s="115"/>
      <c r="DV60" s="115"/>
      <c r="DW60" s="115"/>
      <c r="DX60" s="115"/>
      <c r="DY60" s="115"/>
      <c r="DZ60" s="115"/>
      <c r="EA60" s="115"/>
      <c r="EB60" s="115"/>
      <c r="EC60" s="115"/>
      <c r="ED60" s="115"/>
      <c r="EE60" s="115"/>
      <c r="EF60" s="115"/>
      <c r="EG60" s="115"/>
      <c r="EH60" s="115"/>
      <c r="EI60" s="115"/>
      <c r="EJ60" s="115"/>
      <c r="EK60" s="115"/>
      <c r="EL60" s="115"/>
      <c r="EM60" s="115"/>
      <c r="EN60" s="115"/>
      <c r="EO60" s="115"/>
      <c r="EP60" s="115"/>
      <c r="EQ60" s="115"/>
      <c r="ER60" s="115"/>
      <c r="ES60" s="115"/>
      <c r="ET60" s="115"/>
      <c r="EU60" s="115"/>
      <c r="EV60" s="115"/>
      <c r="EW60" s="115"/>
      <c r="EX60" s="115"/>
      <c r="EY60" s="115"/>
      <c r="EZ60" s="115"/>
      <c r="FA60" s="115"/>
      <c r="FB60" s="115"/>
      <c r="FC60" s="115"/>
      <c r="FD60" s="115"/>
      <c r="FE60" s="115"/>
      <c r="FF60" s="115"/>
      <c r="FG60" s="115"/>
      <c r="FH60" s="115"/>
      <c r="FI60" s="115"/>
      <c r="FJ60" s="115"/>
      <c r="FK60" s="115"/>
      <c r="FL60" s="115"/>
      <c r="FM60" s="115"/>
      <c r="FN60" s="115"/>
      <c r="FO60" s="115"/>
      <c r="FP60" s="115"/>
      <c r="FQ60" s="115"/>
      <c r="FR60" s="115"/>
      <c r="FS60" s="115"/>
      <c r="FT60" s="115"/>
      <c r="FU60" s="115"/>
      <c r="FV60" s="115"/>
      <c r="FW60" s="115"/>
      <c r="FX60" s="115"/>
      <c r="FY60" s="115"/>
      <c r="FZ60" s="115"/>
      <c r="GA60" s="115"/>
      <c r="GB60" s="115"/>
      <c r="GC60" s="115"/>
      <c r="GD60" s="115"/>
      <c r="GE60" s="115"/>
      <c r="GF60" s="115"/>
      <c r="GG60" s="115"/>
      <c r="GH60" s="115"/>
      <c r="GI60" s="115"/>
      <c r="GJ60" s="115"/>
      <c r="GK60" s="115"/>
      <c r="GL60" s="115"/>
      <c r="GM60" s="115"/>
    </row>
    <row r="61" spans="1:195" s="237" customFormat="1" ht="18" customHeight="1" x14ac:dyDescent="0.3">
      <c r="Z61" s="244"/>
      <c r="AA61" s="245"/>
      <c r="AB61" s="244"/>
      <c r="AC61" s="246"/>
      <c r="AD61" s="246"/>
      <c r="AE61" s="246"/>
      <c r="AF61" s="246"/>
      <c r="AI61" s="115"/>
      <c r="AK61" s="5" t="s">
        <v>410</v>
      </c>
      <c r="AL61" s="58"/>
      <c r="AM61" s="58"/>
      <c r="AN61" s="62"/>
      <c r="AO61" s="58"/>
      <c r="AP61" s="76"/>
      <c r="AQ61" s="77"/>
      <c r="AR61" s="76"/>
      <c r="AS61" s="74"/>
      <c r="AT61" s="76"/>
      <c r="AU61" s="76"/>
      <c r="AV61" s="76"/>
      <c r="AW61" s="76"/>
      <c r="AX61" s="76"/>
      <c r="AY61" s="77"/>
      <c r="AZ61" s="76"/>
      <c r="BA61" s="76"/>
      <c r="BB61" s="76"/>
      <c r="BC61" s="76"/>
      <c r="BD61" s="59"/>
      <c r="BE61" s="59"/>
      <c r="BF61" s="59"/>
      <c r="BG61" s="75"/>
      <c r="BH61" s="58"/>
      <c r="BK61" s="247"/>
      <c r="BL61" s="247"/>
      <c r="BM61" s="115"/>
      <c r="BN61" s="115"/>
      <c r="BO61" s="115"/>
      <c r="BP61" s="115"/>
      <c r="BQ61" s="115"/>
      <c r="BR61" s="115"/>
      <c r="BS61" s="115"/>
      <c r="BT61" s="115"/>
      <c r="BU61" s="115"/>
      <c r="BV61" s="115"/>
      <c r="BW61" s="115"/>
      <c r="BX61" s="115"/>
      <c r="BY61" s="115"/>
      <c r="BZ61" s="115"/>
      <c r="CA61" s="115"/>
      <c r="CB61" s="115"/>
      <c r="CC61" s="115"/>
      <c r="CD61" s="115"/>
      <c r="CE61" s="115"/>
      <c r="CF61" s="115"/>
      <c r="CG61" s="115"/>
      <c r="CH61" s="115"/>
      <c r="CI61" s="115"/>
      <c r="CJ61" s="115"/>
      <c r="CK61" s="115"/>
      <c r="CL61" s="115"/>
      <c r="CM61" s="115"/>
      <c r="CN61" s="115"/>
      <c r="CO61" s="115"/>
      <c r="CP61" s="115"/>
      <c r="CQ61" s="115"/>
      <c r="CR61" s="115"/>
      <c r="CS61" s="115"/>
      <c r="CT61" s="115"/>
      <c r="CU61" s="115"/>
      <c r="CV61" s="115"/>
      <c r="CW61" s="115"/>
      <c r="CX61" s="115"/>
      <c r="CY61" s="115"/>
      <c r="CZ61" s="115"/>
      <c r="DA61" s="115"/>
      <c r="DB61" s="115"/>
      <c r="DC61" s="115"/>
      <c r="DD61" s="115"/>
      <c r="DE61" s="115"/>
      <c r="DF61" s="115"/>
      <c r="DG61" s="115"/>
      <c r="DH61" s="115"/>
      <c r="DI61" s="115"/>
      <c r="DJ61" s="115"/>
      <c r="DK61" s="115"/>
      <c r="DL61" s="115"/>
      <c r="DM61" s="115"/>
      <c r="DN61" s="115"/>
      <c r="DO61" s="115"/>
      <c r="DP61" s="115"/>
      <c r="DQ61" s="115"/>
      <c r="DR61" s="115"/>
      <c r="DS61" s="115"/>
      <c r="DT61" s="115"/>
      <c r="DU61" s="115"/>
      <c r="DV61" s="115"/>
      <c r="DW61" s="115"/>
      <c r="DX61" s="115"/>
      <c r="DY61" s="115"/>
      <c r="DZ61" s="115"/>
      <c r="EA61" s="115"/>
      <c r="EB61" s="115"/>
      <c r="EC61" s="115"/>
      <c r="ED61" s="115"/>
      <c r="EE61" s="115"/>
      <c r="EF61" s="115"/>
      <c r="EG61" s="115"/>
      <c r="EH61" s="115"/>
      <c r="EI61" s="115"/>
      <c r="EJ61" s="115"/>
      <c r="EK61" s="115"/>
      <c r="EL61" s="115"/>
      <c r="EM61" s="115"/>
      <c r="EN61" s="115"/>
      <c r="EO61" s="115"/>
      <c r="EP61" s="115"/>
      <c r="EQ61" s="115"/>
      <c r="ER61" s="115"/>
      <c r="ES61" s="115"/>
      <c r="ET61" s="115"/>
      <c r="EU61" s="115"/>
      <c r="EV61" s="115"/>
      <c r="EW61" s="115"/>
      <c r="EX61" s="115"/>
      <c r="EY61" s="115"/>
      <c r="EZ61" s="115"/>
      <c r="FA61" s="115"/>
      <c r="FB61" s="115"/>
      <c r="FC61" s="115"/>
      <c r="FD61" s="115"/>
      <c r="FE61" s="115"/>
      <c r="FF61" s="115"/>
      <c r="FG61" s="115"/>
      <c r="FH61" s="115"/>
      <c r="FI61" s="115"/>
      <c r="FJ61" s="115"/>
      <c r="FK61" s="115"/>
      <c r="FL61" s="115"/>
      <c r="FM61" s="115"/>
      <c r="FN61" s="115"/>
      <c r="FO61" s="115"/>
      <c r="FP61" s="115"/>
      <c r="FQ61" s="115"/>
      <c r="FR61" s="115"/>
      <c r="FS61" s="115"/>
      <c r="FT61" s="115"/>
      <c r="FU61" s="115"/>
      <c r="FV61" s="115"/>
      <c r="FW61" s="115"/>
      <c r="FX61" s="115"/>
      <c r="FY61" s="115"/>
      <c r="FZ61" s="115"/>
      <c r="GA61" s="115"/>
      <c r="GB61" s="115"/>
      <c r="GC61" s="115"/>
      <c r="GD61" s="115"/>
      <c r="GE61" s="115"/>
      <c r="GF61" s="115"/>
      <c r="GG61" s="115"/>
      <c r="GH61" s="115"/>
      <c r="GI61" s="115"/>
      <c r="GJ61" s="115"/>
      <c r="GK61" s="115"/>
      <c r="GL61" s="115"/>
      <c r="GM61" s="115"/>
    </row>
  </sheetData>
  <mergeCells count="138">
    <mergeCell ref="A56:A57"/>
    <mergeCell ref="AK56:AK57"/>
    <mergeCell ref="A50:A51"/>
    <mergeCell ref="AK50:AK51"/>
    <mergeCell ref="A52:A53"/>
    <mergeCell ref="AK52:AK53"/>
    <mergeCell ref="A54:A55"/>
    <mergeCell ref="AK54:AK55"/>
    <mergeCell ref="A44:A45"/>
    <mergeCell ref="AK44:AK45"/>
    <mergeCell ref="A46:A47"/>
    <mergeCell ref="AK46:AK47"/>
    <mergeCell ref="A48:A49"/>
    <mergeCell ref="AK48:AK49"/>
    <mergeCell ref="A38:A39"/>
    <mergeCell ref="AK38:AK39"/>
    <mergeCell ref="A40:A41"/>
    <mergeCell ref="AK40:AK41"/>
    <mergeCell ref="A42:A43"/>
    <mergeCell ref="AK42:AK43"/>
    <mergeCell ref="A32:A33"/>
    <mergeCell ref="AK32:AK33"/>
    <mergeCell ref="A34:A35"/>
    <mergeCell ref="AK34:AK35"/>
    <mergeCell ref="A36:A37"/>
    <mergeCell ref="AK36:AK37"/>
    <mergeCell ref="A26:A27"/>
    <mergeCell ref="AK26:AK27"/>
    <mergeCell ref="A28:A29"/>
    <mergeCell ref="AK28:AK29"/>
    <mergeCell ref="A30:A31"/>
    <mergeCell ref="AK30:AK31"/>
    <mergeCell ref="A20:A21"/>
    <mergeCell ref="AK20:AK21"/>
    <mergeCell ref="A22:A23"/>
    <mergeCell ref="AK22:AK23"/>
    <mergeCell ref="A24:A25"/>
    <mergeCell ref="AK24:AK25"/>
    <mergeCell ref="A14:A15"/>
    <mergeCell ref="AK14:AK15"/>
    <mergeCell ref="A16:A17"/>
    <mergeCell ref="AK16:AK17"/>
    <mergeCell ref="A18:A19"/>
    <mergeCell ref="AK18:AK19"/>
    <mergeCell ref="BP7:BP11"/>
    <mergeCell ref="BQ7:BQ11"/>
    <mergeCell ref="BR7:BR11"/>
    <mergeCell ref="BS7:BS11"/>
    <mergeCell ref="A12:A13"/>
    <mergeCell ref="AK12:AK13"/>
    <mergeCell ref="BG7:BG11"/>
    <mergeCell ref="BI7:BI11"/>
    <mergeCell ref="BJ7:BJ11"/>
    <mergeCell ref="BK7:BK11"/>
    <mergeCell ref="BN7:BN11"/>
    <mergeCell ref="BO7:BO11"/>
    <mergeCell ref="AU7:AU11"/>
    <mergeCell ref="AX7:AX11"/>
    <mergeCell ref="AY7:AY11"/>
    <mergeCell ref="AZ7:AZ11"/>
    <mergeCell ref="BA7:BA11"/>
    <mergeCell ref="BB7:BB11"/>
    <mergeCell ref="AO7:AO11"/>
    <mergeCell ref="AP7:AP11"/>
    <mergeCell ref="AQ7:AQ11"/>
    <mergeCell ref="AR7:AR11"/>
    <mergeCell ref="AS7:AS11"/>
    <mergeCell ref="AT7:AT11"/>
    <mergeCell ref="AE7:AE11"/>
    <mergeCell ref="AF7:AF11"/>
    <mergeCell ref="AG7:AG11"/>
    <mergeCell ref="AH7:AH11"/>
    <mergeCell ref="AI7:AI11"/>
    <mergeCell ref="AJ7:AJ11"/>
    <mergeCell ref="Y7:Y11"/>
    <mergeCell ref="Z7:Z11"/>
    <mergeCell ref="AA7:AA11"/>
    <mergeCell ref="AB7:AB11"/>
    <mergeCell ref="AC7:AC11"/>
    <mergeCell ref="AD7:AD11"/>
    <mergeCell ref="O7:O11"/>
    <mergeCell ref="P7:P11"/>
    <mergeCell ref="Q7:Q11"/>
    <mergeCell ref="R7:R11"/>
    <mergeCell ref="S7:S11"/>
    <mergeCell ref="T7:T11"/>
    <mergeCell ref="BI6:BK6"/>
    <mergeCell ref="BL6:BL11"/>
    <mergeCell ref="BM6:BM11"/>
    <mergeCell ref="BN6:BP6"/>
    <mergeCell ref="BQ6:BS6"/>
    <mergeCell ref="F7:F11"/>
    <mergeCell ref="G7:G11"/>
    <mergeCell ref="H7:H11"/>
    <mergeCell ref="I7:I11"/>
    <mergeCell ref="J7:J11"/>
    <mergeCell ref="AW6:AW11"/>
    <mergeCell ref="AX6:AZ6"/>
    <mergeCell ref="BA6:BC6"/>
    <mergeCell ref="BD6:BE6"/>
    <mergeCell ref="BF6:BG6"/>
    <mergeCell ref="BH6:BH11"/>
    <mergeCell ref="BC7:BC11"/>
    <mergeCell ref="BD7:BD11"/>
    <mergeCell ref="BE7:BE11"/>
    <mergeCell ref="BF7:BF11"/>
    <mergeCell ref="U6:AF6"/>
    <mergeCell ref="AG6:AJ6"/>
    <mergeCell ref="AK6:AN11"/>
    <mergeCell ref="AO6:AR6"/>
    <mergeCell ref="AS6:AU6"/>
    <mergeCell ref="AV6:AV11"/>
    <mergeCell ref="U7:U11"/>
    <mergeCell ref="V7:V11"/>
    <mergeCell ref="W7:W11"/>
    <mergeCell ref="X7:X11"/>
    <mergeCell ref="A6:D11"/>
    <mergeCell ref="E6:E11"/>
    <mergeCell ref="F6:K6"/>
    <mergeCell ref="L6:N6"/>
    <mergeCell ref="O6:Q6"/>
    <mergeCell ref="R6:T6"/>
    <mergeCell ref="K7:K11"/>
    <mergeCell ref="L7:L11"/>
    <mergeCell ref="M7:M11"/>
    <mergeCell ref="N7:N11"/>
    <mergeCell ref="A2:B2"/>
    <mergeCell ref="AE2:AF2"/>
    <mergeCell ref="AG2:AJ2"/>
    <mergeCell ref="AK2:AL2"/>
    <mergeCell ref="BN2:BO2"/>
    <mergeCell ref="BP2:BS2"/>
    <mergeCell ref="A1:B1"/>
    <mergeCell ref="AE1:AF1"/>
    <mergeCell ref="AG1:AJ1"/>
    <mergeCell ref="AK1:AL1"/>
    <mergeCell ref="BN1:BO1"/>
    <mergeCell ref="BP1:BS1"/>
  </mergeCells>
  <phoneticPr fontId="5" type="noConversion"/>
  <printOptions horizontalCentered="1"/>
  <pageMargins left="0.35433070866141736" right="0.35433070866141736" top="0.98425196850393704" bottom="0.78740157480314965" header="0" footer="0"/>
  <pageSetup paperSize="8" scale="60" firstPageNumber="4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9635-BD68-4B79-B978-FDC5971B9BCF}">
  <dimension ref="A1:GM61"/>
  <sheetViews>
    <sheetView zoomScale="80" zoomScaleNormal="80" workbookViewId="0">
      <selection sqref="A1:B1"/>
    </sheetView>
  </sheetViews>
  <sheetFormatPr defaultColWidth="9.6640625" defaultRowHeight="10.199999999999999" x14ac:dyDescent="0.25"/>
  <cols>
    <col min="1" max="1" width="18" style="1" customWidth="1"/>
    <col min="2" max="2" width="3" style="1" customWidth="1"/>
    <col min="3" max="3" width="26" style="1" customWidth="1"/>
    <col min="4" max="4" width="3" style="1" customWidth="1"/>
    <col min="5" max="5" width="15.6640625" style="1" customWidth="1"/>
    <col min="6" max="36" width="14" style="1" customWidth="1"/>
    <col min="37" max="37" width="19.83203125" style="1" customWidth="1"/>
    <col min="38" max="38" width="3" style="1" customWidth="1"/>
    <col min="39" max="39" width="26" style="1" customWidth="1"/>
    <col min="40" max="40" width="3" style="1" customWidth="1"/>
    <col min="41" max="71" width="14" style="1" customWidth="1"/>
    <col min="72" max="16384" width="9.6640625" style="1"/>
  </cols>
  <sheetData>
    <row r="1" spans="1:73" s="37" customFormat="1" ht="16.5"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E1" s="207" t="s">
        <v>45</v>
      </c>
      <c r="AF1" s="207"/>
      <c r="AG1" s="142" t="s">
        <v>46</v>
      </c>
      <c r="AH1" s="142"/>
      <c r="AI1" s="142"/>
      <c r="AJ1" s="142"/>
      <c r="AK1" s="161" t="s">
        <v>44</v>
      </c>
      <c r="AL1" s="162"/>
      <c r="AM1" s="35"/>
      <c r="AN1" s="36"/>
      <c r="AO1" s="36"/>
      <c r="AP1" s="5"/>
      <c r="AQ1" s="5"/>
      <c r="AR1" s="5"/>
      <c r="AS1" s="5"/>
      <c r="AT1" s="5"/>
      <c r="AU1" s="5"/>
      <c r="AV1" s="5"/>
      <c r="AW1" s="5"/>
      <c r="AX1" s="5"/>
      <c r="AY1" s="5"/>
      <c r="AZ1" s="5"/>
      <c r="BA1" s="5"/>
      <c r="BB1" s="5"/>
      <c r="BC1" s="5"/>
      <c r="BD1" s="5"/>
      <c r="BE1" s="5"/>
      <c r="BF1" s="5"/>
      <c r="BG1" s="5"/>
      <c r="BH1" s="5"/>
      <c r="BI1" s="5"/>
      <c r="BJ1" s="5"/>
      <c r="BK1" s="5"/>
      <c r="BL1" s="38"/>
      <c r="BN1" s="207" t="s">
        <v>45</v>
      </c>
      <c r="BO1" s="207"/>
      <c r="BP1" s="142" t="s">
        <v>46</v>
      </c>
      <c r="BQ1" s="142"/>
      <c r="BR1" s="142"/>
      <c r="BS1" s="142"/>
      <c r="BT1" s="38"/>
      <c r="BU1" s="38"/>
    </row>
    <row r="2" spans="1:73" s="37" customFormat="1" ht="17.25" customHeight="1" x14ac:dyDescent="0.3">
      <c r="A2" s="163" t="s">
        <v>391</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208" t="s">
        <v>392</v>
      </c>
      <c r="AF2" s="208"/>
      <c r="AG2" s="208" t="s">
        <v>10</v>
      </c>
      <c r="AH2" s="208"/>
      <c r="AI2" s="208"/>
      <c r="AJ2" s="208"/>
      <c r="AK2" s="163" t="s">
        <v>391</v>
      </c>
      <c r="AL2" s="164"/>
      <c r="AM2" s="39" t="s">
        <v>47</v>
      </c>
      <c r="AN2" s="40"/>
      <c r="AO2" s="40"/>
      <c r="AP2" s="33"/>
      <c r="AQ2" s="33"/>
      <c r="AR2" s="33"/>
      <c r="AS2" s="33"/>
      <c r="AT2" s="33"/>
      <c r="AU2" s="33"/>
      <c r="AV2" s="33"/>
      <c r="AW2" s="33"/>
      <c r="AX2" s="33"/>
      <c r="AY2" s="33"/>
      <c r="AZ2" s="33"/>
      <c r="BA2" s="33"/>
      <c r="BB2" s="33"/>
      <c r="BC2" s="33"/>
      <c r="BD2" s="33"/>
      <c r="BE2" s="33"/>
      <c r="BF2" s="33"/>
      <c r="BG2" s="33"/>
      <c r="BH2" s="33"/>
      <c r="BI2" s="33"/>
      <c r="BJ2" s="33"/>
      <c r="BK2" s="33"/>
      <c r="BL2" s="42"/>
      <c r="BM2" s="41"/>
      <c r="BN2" s="208" t="s">
        <v>392</v>
      </c>
      <c r="BO2" s="208"/>
      <c r="BP2" s="208" t="s">
        <v>10</v>
      </c>
      <c r="BQ2" s="208"/>
      <c r="BR2" s="208"/>
      <c r="BS2" s="208"/>
      <c r="BT2" s="43"/>
      <c r="BU2" s="43"/>
    </row>
    <row r="3" spans="1:73" s="37" customFormat="1" ht="6.6" customHeight="1" x14ac:dyDescent="0.25">
      <c r="A3" s="209"/>
      <c r="B3" s="36"/>
      <c r="C3" s="36"/>
      <c r="D3" s="36"/>
      <c r="E3" s="36"/>
      <c r="F3" s="36"/>
      <c r="G3" s="36"/>
      <c r="H3" s="36"/>
      <c r="I3" s="36"/>
      <c r="J3" s="36"/>
      <c r="K3" s="36"/>
      <c r="L3" s="36"/>
      <c r="M3" s="36"/>
      <c r="N3" s="36"/>
      <c r="O3" s="36"/>
      <c r="P3" s="36"/>
      <c r="Q3" s="36"/>
      <c r="R3" s="36"/>
      <c r="S3" s="36"/>
      <c r="T3" s="36"/>
      <c r="U3" s="1"/>
      <c r="V3" s="1"/>
      <c r="W3" s="1"/>
      <c r="X3" s="1"/>
      <c r="Y3" s="1"/>
      <c r="Z3" s="1"/>
      <c r="AA3" s="1"/>
      <c r="AB3" s="1"/>
      <c r="AC3" s="1"/>
      <c r="AD3" s="1"/>
      <c r="AE3" s="1"/>
      <c r="AF3" s="1"/>
      <c r="AG3" s="1"/>
      <c r="AH3" s="1"/>
      <c r="AI3" s="1"/>
      <c r="AJ3" s="1"/>
      <c r="AK3" s="209"/>
      <c r="AL3" s="36"/>
      <c r="AM3" s="36"/>
      <c r="AN3" s="36"/>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210"/>
      <c r="BU3" s="211"/>
    </row>
    <row r="4" spans="1:73" s="212" customFormat="1" ht="25.5" customHeight="1" x14ac:dyDescent="0.25">
      <c r="B4" s="213"/>
      <c r="C4" s="213"/>
      <c r="D4" s="213"/>
      <c r="E4" s="213"/>
      <c r="F4" s="213"/>
      <c r="G4" s="213"/>
      <c r="H4" s="213"/>
      <c r="I4" s="213"/>
      <c r="K4" s="213"/>
      <c r="M4" s="213"/>
      <c r="O4" s="213"/>
      <c r="P4" s="214" t="s">
        <v>384</v>
      </c>
      <c r="Q4" s="213"/>
      <c r="R4" s="213"/>
      <c r="S4" s="213"/>
      <c r="T4" s="213"/>
      <c r="U4" s="215"/>
      <c r="V4" s="215"/>
      <c r="W4" s="215"/>
      <c r="X4" s="215"/>
      <c r="Y4" s="215"/>
      <c r="Z4" s="215"/>
      <c r="AA4" s="216"/>
      <c r="AB4" s="216"/>
      <c r="AC4" s="216"/>
      <c r="AD4" s="216"/>
      <c r="AE4" s="216"/>
      <c r="AF4" s="216"/>
      <c r="AG4" s="216"/>
      <c r="AH4" s="216"/>
      <c r="AI4" s="216"/>
      <c r="AJ4" s="216"/>
      <c r="AL4" s="213"/>
      <c r="AM4" s="213"/>
      <c r="AN4" s="213"/>
      <c r="AO4" s="215"/>
      <c r="AP4" s="215"/>
      <c r="AQ4" s="215"/>
      <c r="AR4" s="215"/>
      <c r="AS4" s="215"/>
      <c r="AT4" s="216"/>
      <c r="AU4" s="217"/>
      <c r="AV4" s="217"/>
      <c r="AY4" s="214" t="s">
        <v>393</v>
      </c>
      <c r="AZ4" s="217"/>
      <c r="BA4" s="217"/>
      <c r="BB4" s="217"/>
      <c r="BC4" s="215"/>
      <c r="BD4" s="215"/>
      <c r="BE4" s="215"/>
      <c r="BF4" s="215"/>
      <c r="BG4" s="215"/>
      <c r="BH4" s="215"/>
      <c r="BI4" s="216"/>
      <c r="BJ4" s="217"/>
      <c r="BK4" s="217"/>
      <c r="BL4" s="217"/>
      <c r="BM4" s="217"/>
      <c r="BN4" s="217"/>
      <c r="BO4" s="217"/>
      <c r="BP4" s="217"/>
      <c r="BQ4" s="217"/>
      <c r="BR4" s="217"/>
      <c r="BS4" s="217"/>
      <c r="BT4" s="218"/>
      <c r="BU4" s="218"/>
    </row>
    <row r="5" spans="1:73" s="221" customFormat="1" ht="18.600000000000001" customHeight="1" x14ac:dyDescent="0.25">
      <c r="A5" s="219"/>
      <c r="B5" s="220"/>
      <c r="C5" s="220"/>
      <c r="D5" s="108"/>
      <c r="E5" s="108"/>
      <c r="F5" s="108"/>
      <c r="G5" s="108"/>
      <c r="H5" s="108"/>
      <c r="I5" s="108"/>
      <c r="J5" s="108"/>
      <c r="K5" s="108"/>
      <c r="L5" s="108"/>
      <c r="M5" s="108"/>
      <c r="N5" s="108"/>
      <c r="O5" s="220"/>
      <c r="P5" s="108"/>
      <c r="Q5" s="220"/>
      <c r="R5" s="108"/>
      <c r="S5" s="67" t="s">
        <v>418</v>
      </c>
      <c r="T5" s="108"/>
      <c r="U5" s="109"/>
      <c r="V5" s="109"/>
      <c r="W5" s="109"/>
      <c r="X5" s="110"/>
      <c r="Y5" s="111"/>
      <c r="Z5" s="109"/>
      <c r="AA5" s="109"/>
      <c r="AB5" s="109"/>
      <c r="AC5" s="109"/>
      <c r="AD5" s="109"/>
      <c r="AE5" s="109"/>
      <c r="AF5" s="109"/>
      <c r="AH5" s="109"/>
      <c r="AI5" s="33"/>
      <c r="AJ5" s="45" t="s">
        <v>48</v>
      </c>
      <c r="AK5" s="219"/>
      <c r="AL5" s="220"/>
      <c r="AM5" s="220"/>
      <c r="AN5" s="108"/>
      <c r="AO5" s="45"/>
      <c r="AP5" s="109"/>
      <c r="AQ5" s="109"/>
      <c r="AR5" s="109"/>
      <c r="AS5" s="109"/>
      <c r="AT5" s="109"/>
      <c r="AU5" s="109"/>
      <c r="AV5" s="109"/>
      <c r="AW5" s="109"/>
      <c r="AX5" s="109"/>
      <c r="AY5" s="109"/>
      <c r="AZ5" s="33"/>
      <c r="BA5" s="44" t="s">
        <v>418</v>
      </c>
      <c r="BB5" s="45"/>
      <c r="BC5" s="45"/>
      <c r="BD5" s="112"/>
      <c r="BE5" s="112"/>
      <c r="BF5" s="111"/>
      <c r="BG5" s="109"/>
      <c r="BH5" s="109"/>
      <c r="BI5" s="109"/>
      <c r="BJ5" s="109"/>
      <c r="BK5" s="109"/>
      <c r="BL5" s="109"/>
      <c r="BM5" s="111"/>
      <c r="BN5" s="111"/>
      <c r="BO5" s="111"/>
      <c r="BP5" s="111"/>
      <c r="BQ5" s="111"/>
      <c r="BR5" s="37"/>
      <c r="BS5" s="45" t="s">
        <v>48</v>
      </c>
      <c r="BT5" s="37"/>
    </row>
    <row r="6" spans="1:73" s="15" customFormat="1" ht="21.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38" t="s">
        <v>147</v>
      </c>
      <c r="V6" s="138"/>
      <c r="W6" s="138"/>
      <c r="X6" s="138"/>
      <c r="Y6" s="138"/>
      <c r="Z6" s="138"/>
      <c r="AA6" s="138"/>
      <c r="AB6" s="138"/>
      <c r="AC6" s="138"/>
      <c r="AD6" s="138"/>
      <c r="AE6" s="138"/>
      <c r="AF6" s="138"/>
      <c r="AG6" s="145" t="s">
        <v>148</v>
      </c>
      <c r="AH6" s="146"/>
      <c r="AI6" s="146"/>
      <c r="AJ6" s="146"/>
      <c r="AK6" s="222" t="s">
        <v>144</v>
      </c>
      <c r="AL6" s="222"/>
      <c r="AM6" s="222"/>
      <c r="AN6" s="223"/>
      <c r="AO6" s="145" t="s">
        <v>148</v>
      </c>
      <c r="AP6" s="146"/>
      <c r="AQ6" s="146"/>
      <c r="AR6" s="147"/>
      <c r="AS6" s="141" t="s">
        <v>149</v>
      </c>
      <c r="AT6" s="141"/>
      <c r="AU6" s="141"/>
      <c r="AV6" s="140" t="s">
        <v>395</v>
      </c>
      <c r="AW6" s="140" t="s">
        <v>150</v>
      </c>
      <c r="AX6" s="141" t="s">
        <v>58</v>
      </c>
      <c r="AY6" s="141"/>
      <c r="AZ6" s="141"/>
      <c r="BA6" s="142" t="s">
        <v>59</v>
      </c>
      <c r="BB6" s="142"/>
      <c r="BC6" s="143"/>
      <c r="BD6" s="144" t="s">
        <v>60</v>
      </c>
      <c r="BE6" s="144"/>
      <c r="BF6" s="144" t="s">
        <v>151</v>
      </c>
      <c r="BG6" s="144"/>
      <c r="BH6" s="140" t="s">
        <v>198</v>
      </c>
      <c r="BI6" s="144" t="s">
        <v>63</v>
      </c>
      <c r="BJ6" s="144"/>
      <c r="BK6" s="144"/>
      <c r="BL6" s="140" t="s">
        <v>152</v>
      </c>
      <c r="BM6" s="140" t="s">
        <v>153</v>
      </c>
      <c r="BN6" s="141" t="s">
        <v>97</v>
      </c>
      <c r="BO6" s="149"/>
      <c r="BP6" s="149"/>
      <c r="BQ6" s="149" t="s">
        <v>65</v>
      </c>
      <c r="BR6" s="143"/>
      <c r="BS6" s="151"/>
    </row>
    <row r="7" spans="1:73" s="15" customFormat="1" ht="24.9" customHeight="1" x14ac:dyDescent="0.25">
      <c r="A7" s="125"/>
      <c r="B7" s="125"/>
      <c r="C7" s="125"/>
      <c r="D7" s="125"/>
      <c r="E7" s="136"/>
      <c r="F7" s="139" t="s">
        <v>154</v>
      </c>
      <c r="G7" s="139" t="s">
        <v>155</v>
      </c>
      <c r="H7" s="139" t="s">
        <v>230</v>
      </c>
      <c r="I7" s="139" t="s">
        <v>199</v>
      </c>
      <c r="J7" s="139" t="s">
        <v>66</v>
      </c>
      <c r="K7" s="139" t="s">
        <v>200</v>
      </c>
      <c r="L7" s="139" t="s">
        <v>156</v>
      </c>
      <c r="M7" s="139" t="s">
        <v>396</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9" t="s">
        <v>99</v>
      </c>
      <c r="AC7" s="139" t="s">
        <v>114</v>
      </c>
      <c r="AD7" s="139" t="s">
        <v>162</v>
      </c>
      <c r="AE7" s="139" t="s">
        <v>137</v>
      </c>
      <c r="AF7" s="139" t="s">
        <v>100</v>
      </c>
      <c r="AG7" s="139" t="s">
        <v>122</v>
      </c>
      <c r="AH7" s="139" t="s">
        <v>163</v>
      </c>
      <c r="AI7" s="139" t="s">
        <v>164</v>
      </c>
      <c r="AJ7" s="139" t="s">
        <v>165</v>
      </c>
      <c r="AK7" s="224"/>
      <c r="AL7" s="125"/>
      <c r="AM7" s="125"/>
      <c r="AN7" s="225"/>
      <c r="AO7" s="139" t="s">
        <v>166</v>
      </c>
      <c r="AP7" s="139" t="s">
        <v>167</v>
      </c>
      <c r="AQ7" s="139" t="s">
        <v>168</v>
      </c>
      <c r="AR7" s="154" t="s">
        <v>232</v>
      </c>
      <c r="AS7" s="155" t="s">
        <v>169</v>
      </c>
      <c r="AT7" s="157" t="s">
        <v>397</v>
      </c>
      <c r="AU7" s="226" t="s">
        <v>398</v>
      </c>
      <c r="AV7" s="140"/>
      <c r="AW7" s="140"/>
      <c r="AX7" s="140" t="s">
        <v>170</v>
      </c>
      <c r="AY7" s="140" t="s">
        <v>171</v>
      </c>
      <c r="AZ7" s="140" t="s">
        <v>399</v>
      </c>
      <c r="BA7" s="140" t="s">
        <v>105</v>
      </c>
      <c r="BB7" s="140" t="s">
        <v>172</v>
      </c>
      <c r="BC7" s="140" t="s">
        <v>234</v>
      </c>
      <c r="BD7" s="140" t="s">
        <v>400</v>
      </c>
      <c r="BE7" s="140" t="s">
        <v>173</v>
      </c>
      <c r="BF7" s="140" t="s">
        <v>110</v>
      </c>
      <c r="BG7" s="140" t="s">
        <v>236</v>
      </c>
      <c r="BH7" s="140"/>
      <c r="BI7" s="140" t="s">
        <v>237</v>
      </c>
      <c r="BJ7" s="140" t="s">
        <v>174</v>
      </c>
      <c r="BK7" s="140" t="s">
        <v>238</v>
      </c>
      <c r="BL7" s="140"/>
      <c r="BM7" s="140"/>
      <c r="BN7" s="140" t="s">
        <v>239</v>
      </c>
      <c r="BO7" s="140" t="s">
        <v>240</v>
      </c>
      <c r="BP7" s="140" t="s">
        <v>401</v>
      </c>
      <c r="BQ7" s="140" t="s">
        <v>112</v>
      </c>
      <c r="BR7" s="140" t="s">
        <v>175</v>
      </c>
      <c r="BS7" s="150" t="s">
        <v>241</v>
      </c>
    </row>
    <row r="8" spans="1:73" s="15" customFormat="1" ht="24.9"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224"/>
      <c r="AL8" s="125"/>
      <c r="AM8" s="125"/>
      <c r="AN8" s="225"/>
      <c r="AO8" s="139"/>
      <c r="AP8" s="139"/>
      <c r="AQ8" s="139"/>
      <c r="AR8" s="154"/>
      <c r="AS8" s="156"/>
      <c r="AT8" s="227"/>
      <c r="AU8" s="228"/>
      <c r="AV8" s="140"/>
      <c r="AW8" s="140"/>
      <c r="AX8" s="140"/>
      <c r="AY8" s="140"/>
      <c r="AZ8" s="140"/>
      <c r="BA8" s="152"/>
      <c r="BB8" s="140"/>
      <c r="BC8" s="140"/>
      <c r="BD8" s="143"/>
      <c r="BE8" s="143"/>
      <c r="BF8" s="152"/>
      <c r="BG8" s="140"/>
      <c r="BH8" s="140"/>
      <c r="BI8" s="153"/>
      <c r="BJ8" s="153"/>
      <c r="BK8" s="152"/>
      <c r="BL8" s="140"/>
      <c r="BM8" s="140"/>
      <c r="BN8" s="140"/>
      <c r="BO8" s="140"/>
      <c r="BP8" s="152"/>
      <c r="BQ8" s="152"/>
      <c r="BR8" s="140"/>
      <c r="BS8" s="150"/>
    </row>
    <row r="9" spans="1:73" s="15" customFormat="1" ht="24.9"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224"/>
      <c r="AL9" s="125"/>
      <c r="AM9" s="125"/>
      <c r="AN9" s="225"/>
      <c r="AO9" s="139"/>
      <c r="AP9" s="139"/>
      <c r="AQ9" s="139"/>
      <c r="AR9" s="154"/>
      <c r="AS9" s="156"/>
      <c r="AT9" s="227"/>
      <c r="AU9" s="228"/>
      <c r="AV9" s="140"/>
      <c r="AW9" s="140"/>
      <c r="AX9" s="140"/>
      <c r="AY9" s="140"/>
      <c r="AZ9" s="140"/>
      <c r="BA9" s="152"/>
      <c r="BB9" s="140"/>
      <c r="BC9" s="140"/>
      <c r="BD9" s="143"/>
      <c r="BE9" s="143"/>
      <c r="BF9" s="152"/>
      <c r="BG9" s="140"/>
      <c r="BH9" s="140"/>
      <c r="BI9" s="153"/>
      <c r="BJ9" s="153"/>
      <c r="BK9" s="152"/>
      <c r="BL9" s="140"/>
      <c r="BM9" s="140"/>
      <c r="BN9" s="140"/>
      <c r="BO9" s="140"/>
      <c r="BP9" s="152"/>
      <c r="BQ9" s="152"/>
      <c r="BR9" s="140"/>
      <c r="BS9" s="150"/>
    </row>
    <row r="10" spans="1:73" s="15" customFormat="1" ht="24.9"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224"/>
      <c r="AL10" s="125"/>
      <c r="AM10" s="125"/>
      <c r="AN10" s="225"/>
      <c r="AO10" s="139"/>
      <c r="AP10" s="139"/>
      <c r="AQ10" s="139"/>
      <c r="AR10" s="154"/>
      <c r="AS10" s="156"/>
      <c r="AT10" s="227"/>
      <c r="AU10" s="228"/>
      <c r="AV10" s="140"/>
      <c r="AW10" s="140"/>
      <c r="AX10" s="140"/>
      <c r="AY10" s="140"/>
      <c r="AZ10" s="140"/>
      <c r="BA10" s="152"/>
      <c r="BB10" s="140"/>
      <c r="BC10" s="140"/>
      <c r="BD10" s="143"/>
      <c r="BE10" s="143"/>
      <c r="BF10" s="152"/>
      <c r="BG10" s="140"/>
      <c r="BH10" s="140"/>
      <c r="BI10" s="153"/>
      <c r="BJ10" s="153"/>
      <c r="BK10" s="152"/>
      <c r="BL10" s="140"/>
      <c r="BM10" s="140"/>
      <c r="BN10" s="140"/>
      <c r="BO10" s="140"/>
      <c r="BP10" s="152"/>
      <c r="BQ10" s="152"/>
      <c r="BR10" s="140"/>
      <c r="BS10" s="150"/>
    </row>
    <row r="11" spans="1:73" s="15" customFormat="1" ht="24.9"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229"/>
      <c r="AL11" s="134"/>
      <c r="AM11" s="134"/>
      <c r="AN11" s="230"/>
      <c r="AO11" s="139"/>
      <c r="AP11" s="139"/>
      <c r="AQ11" s="139"/>
      <c r="AR11" s="154"/>
      <c r="AS11" s="156"/>
      <c r="AT11" s="227"/>
      <c r="AU11" s="228"/>
      <c r="AV11" s="140"/>
      <c r="AW11" s="140"/>
      <c r="AX11" s="140"/>
      <c r="AY11" s="140"/>
      <c r="AZ11" s="140"/>
      <c r="BA11" s="152"/>
      <c r="BB11" s="140"/>
      <c r="BC11" s="140"/>
      <c r="BD11" s="143"/>
      <c r="BE11" s="143"/>
      <c r="BF11" s="152"/>
      <c r="BG11" s="140"/>
      <c r="BH11" s="140"/>
      <c r="BI11" s="153"/>
      <c r="BJ11" s="153"/>
      <c r="BK11" s="152"/>
      <c r="BL11" s="140"/>
      <c r="BM11" s="140"/>
      <c r="BN11" s="140"/>
      <c r="BO11" s="140"/>
      <c r="BP11" s="152"/>
      <c r="BQ11" s="152"/>
      <c r="BR11" s="140"/>
      <c r="BS11" s="150"/>
    </row>
    <row r="12" spans="1:73" s="15" customFormat="1" ht="18.600000000000001" customHeight="1" x14ac:dyDescent="0.25">
      <c r="A12" s="231" t="s">
        <v>402</v>
      </c>
      <c r="B12" s="107"/>
      <c r="C12" s="232" t="s">
        <v>403</v>
      </c>
      <c r="D12" s="233"/>
      <c r="E12" s="16">
        <f t="shared" ref="E12:E57" si="0">SUM(F12:BS12)</f>
        <v>536004</v>
      </c>
      <c r="F12" s="16">
        <f>F14+F16+F18+F20+F22+F24+F26+F28+F30+F32+F34+F36+F38+F40+F42+F44+F46+F48+F50+F52+F54+F56</f>
        <v>2710</v>
      </c>
      <c r="G12" s="16">
        <f t="shared" ref="G12:AJ13" si="1">G14+G16+G18+G20+G22+G24+G26+G28+G30+G32+G34+G36+G38+G40+G42+G44+G46+G48+G50+G52+G54+G56</f>
        <v>721</v>
      </c>
      <c r="H12" s="16">
        <f t="shared" si="1"/>
        <v>1390</v>
      </c>
      <c r="I12" s="16">
        <f t="shared" si="1"/>
        <v>144</v>
      </c>
      <c r="J12" s="16">
        <f t="shared" si="1"/>
        <v>428</v>
      </c>
      <c r="K12" s="16">
        <f t="shared" si="1"/>
        <v>1550</v>
      </c>
      <c r="L12" s="16">
        <f t="shared" si="1"/>
        <v>77933</v>
      </c>
      <c r="M12" s="16">
        <f t="shared" si="1"/>
        <v>32899</v>
      </c>
      <c r="N12" s="16">
        <f t="shared" si="1"/>
        <v>1722</v>
      </c>
      <c r="O12" s="16">
        <f t="shared" si="1"/>
        <v>15438</v>
      </c>
      <c r="P12" s="16">
        <f t="shared" si="1"/>
        <v>1967</v>
      </c>
      <c r="Q12" s="16">
        <f t="shared" si="1"/>
        <v>5</v>
      </c>
      <c r="R12" s="16">
        <f t="shared" si="1"/>
        <v>10566</v>
      </c>
      <c r="S12" s="16">
        <f t="shared" si="1"/>
        <v>8101</v>
      </c>
      <c r="T12" s="16">
        <f t="shared" si="1"/>
        <v>1902</v>
      </c>
      <c r="U12" s="16">
        <f t="shared" si="1"/>
        <v>3835</v>
      </c>
      <c r="V12" s="16">
        <f t="shared" si="1"/>
        <v>11494</v>
      </c>
      <c r="W12" s="16">
        <f t="shared" si="1"/>
        <v>579</v>
      </c>
      <c r="X12" s="16">
        <f t="shared" si="1"/>
        <v>1100</v>
      </c>
      <c r="Y12" s="16">
        <f t="shared" si="1"/>
        <v>2325</v>
      </c>
      <c r="Z12" s="16">
        <f t="shared" si="1"/>
        <v>17483</v>
      </c>
      <c r="AA12" s="16">
        <f t="shared" si="1"/>
        <v>4272</v>
      </c>
      <c r="AB12" s="16">
        <f t="shared" si="1"/>
        <v>2237</v>
      </c>
      <c r="AC12" s="16">
        <f t="shared" si="1"/>
        <v>7993</v>
      </c>
      <c r="AD12" s="16">
        <f t="shared" si="1"/>
        <v>61702</v>
      </c>
      <c r="AE12" s="16">
        <f t="shared" si="1"/>
        <v>32659</v>
      </c>
      <c r="AF12" s="16">
        <f t="shared" si="1"/>
        <v>329</v>
      </c>
      <c r="AG12" s="16">
        <f t="shared" si="1"/>
        <v>26771</v>
      </c>
      <c r="AH12" s="16">
        <f t="shared" si="1"/>
        <v>2053</v>
      </c>
      <c r="AI12" s="16">
        <f t="shared" si="1"/>
        <v>94</v>
      </c>
      <c r="AJ12" s="16">
        <f t="shared" si="1"/>
        <v>6037</v>
      </c>
      <c r="AK12" s="231" t="s">
        <v>402</v>
      </c>
      <c r="AL12" s="107"/>
      <c r="AM12" s="232" t="s">
        <v>403</v>
      </c>
      <c r="AN12" s="233"/>
      <c r="AO12" s="16">
        <f t="shared" ref="AO12:BS13" si="2">AO14+AO16+AO18+AO20+AO22+AO24+AO26+AO28+AO30+AO32+AO34+AO36+AO38+AO40+AO42+AO44+AO46+AO48+AO50+AO52+AO54+AO56</f>
        <v>867</v>
      </c>
      <c r="AP12" s="16">
        <f t="shared" si="2"/>
        <v>995</v>
      </c>
      <c r="AQ12" s="16">
        <f t="shared" si="2"/>
        <v>5397</v>
      </c>
      <c r="AR12" s="16">
        <f t="shared" si="2"/>
        <v>2839</v>
      </c>
      <c r="AS12" s="16">
        <f t="shared" si="2"/>
        <v>529</v>
      </c>
      <c r="AT12" s="16">
        <f t="shared" si="2"/>
        <v>51</v>
      </c>
      <c r="AU12" s="16">
        <f t="shared" si="2"/>
        <v>1059</v>
      </c>
      <c r="AV12" s="16">
        <f t="shared" si="2"/>
        <v>3097</v>
      </c>
      <c r="AW12" s="16">
        <f t="shared" si="2"/>
        <v>4764</v>
      </c>
      <c r="AX12" s="16">
        <f t="shared" si="2"/>
        <v>2628</v>
      </c>
      <c r="AY12" s="16">
        <f t="shared" si="2"/>
        <v>34359</v>
      </c>
      <c r="AZ12" s="16">
        <f t="shared" si="2"/>
        <v>8703</v>
      </c>
      <c r="BA12" s="16">
        <f t="shared" si="2"/>
        <v>208</v>
      </c>
      <c r="BB12" s="16">
        <f t="shared" si="2"/>
        <v>6689</v>
      </c>
      <c r="BC12" s="16">
        <f t="shared" si="2"/>
        <v>1373</v>
      </c>
      <c r="BD12" s="16">
        <f t="shared" si="2"/>
        <v>1666</v>
      </c>
      <c r="BE12" s="16">
        <f t="shared" si="2"/>
        <v>1430</v>
      </c>
      <c r="BF12" s="16">
        <f t="shared" si="2"/>
        <v>1203</v>
      </c>
      <c r="BG12" s="16">
        <f t="shared" si="2"/>
        <v>671</v>
      </c>
      <c r="BH12" s="16">
        <f t="shared" si="2"/>
        <v>836</v>
      </c>
      <c r="BI12" s="16">
        <f t="shared" si="2"/>
        <v>7920</v>
      </c>
      <c r="BJ12" s="16">
        <f t="shared" si="2"/>
        <v>10167</v>
      </c>
      <c r="BK12" s="16">
        <f t="shared" si="2"/>
        <v>14738</v>
      </c>
      <c r="BL12" s="16">
        <f t="shared" si="2"/>
        <v>5102</v>
      </c>
      <c r="BM12" s="16">
        <f t="shared" si="2"/>
        <v>2553</v>
      </c>
      <c r="BN12" s="16">
        <f t="shared" si="2"/>
        <v>47810</v>
      </c>
      <c r="BO12" s="16">
        <f t="shared" si="2"/>
        <v>7678</v>
      </c>
      <c r="BP12" s="16">
        <f t="shared" si="2"/>
        <v>15412</v>
      </c>
      <c r="BQ12" s="16">
        <f t="shared" si="2"/>
        <v>137</v>
      </c>
      <c r="BR12" s="16">
        <f t="shared" si="2"/>
        <v>0</v>
      </c>
      <c r="BS12" s="16">
        <f t="shared" si="2"/>
        <v>6684</v>
      </c>
    </row>
    <row r="13" spans="1:73" s="15" customFormat="1" ht="18.600000000000001" customHeight="1" x14ac:dyDescent="0.25">
      <c r="A13" s="231"/>
      <c r="B13" s="3"/>
      <c r="C13" s="234" t="s">
        <v>404</v>
      </c>
      <c r="D13" s="235"/>
      <c r="E13" s="16">
        <f t="shared" si="0"/>
        <v>2047</v>
      </c>
      <c r="F13" s="26">
        <f>F15+F17+F19+F21+F23+F25+F27+F29+F31+F33+F35+F37+F39+F41+F43+F45+F47+F49+F51+F53+F55+F57</f>
        <v>3</v>
      </c>
      <c r="G13" s="26">
        <f t="shared" si="1"/>
        <v>0</v>
      </c>
      <c r="H13" s="26">
        <f t="shared" si="1"/>
        <v>4</v>
      </c>
      <c r="I13" s="26">
        <f t="shared" si="1"/>
        <v>0</v>
      </c>
      <c r="J13" s="26">
        <f t="shared" si="1"/>
        <v>0</v>
      </c>
      <c r="K13" s="26">
        <f t="shared" si="1"/>
        <v>4</v>
      </c>
      <c r="L13" s="26">
        <f t="shared" si="1"/>
        <v>30</v>
      </c>
      <c r="M13" s="26">
        <f t="shared" si="1"/>
        <v>39</v>
      </c>
      <c r="N13" s="26">
        <f t="shared" si="1"/>
        <v>0</v>
      </c>
      <c r="O13" s="26">
        <f t="shared" si="1"/>
        <v>10</v>
      </c>
      <c r="P13" s="26">
        <f t="shared" si="1"/>
        <v>18</v>
      </c>
      <c r="Q13" s="26">
        <f t="shared" si="1"/>
        <v>0</v>
      </c>
      <c r="R13" s="26">
        <f t="shared" si="1"/>
        <v>44</v>
      </c>
      <c r="S13" s="26">
        <f t="shared" si="1"/>
        <v>28</v>
      </c>
      <c r="T13" s="26">
        <f t="shared" si="1"/>
        <v>3</v>
      </c>
      <c r="U13" s="26">
        <f t="shared" si="1"/>
        <v>10</v>
      </c>
      <c r="V13" s="26">
        <f t="shared" si="1"/>
        <v>44</v>
      </c>
      <c r="W13" s="26">
        <f t="shared" si="1"/>
        <v>1</v>
      </c>
      <c r="X13" s="26">
        <f t="shared" si="1"/>
        <v>0</v>
      </c>
      <c r="Y13" s="26">
        <f t="shared" si="1"/>
        <v>2</v>
      </c>
      <c r="Z13" s="26">
        <f t="shared" si="1"/>
        <v>7</v>
      </c>
      <c r="AA13" s="26">
        <f t="shared" si="1"/>
        <v>16</v>
      </c>
      <c r="AB13" s="26">
        <f t="shared" si="1"/>
        <v>31</v>
      </c>
      <c r="AC13" s="26">
        <f t="shared" si="1"/>
        <v>41</v>
      </c>
      <c r="AD13" s="26">
        <f t="shared" si="1"/>
        <v>107</v>
      </c>
      <c r="AE13" s="26">
        <f t="shared" si="1"/>
        <v>40</v>
      </c>
      <c r="AF13" s="26">
        <f t="shared" si="1"/>
        <v>0</v>
      </c>
      <c r="AG13" s="26">
        <f t="shared" si="1"/>
        <v>551</v>
      </c>
      <c r="AH13" s="26">
        <f t="shared" si="1"/>
        <v>2</v>
      </c>
      <c r="AI13" s="26">
        <f t="shared" si="1"/>
        <v>0</v>
      </c>
      <c r="AJ13" s="26">
        <f t="shared" si="1"/>
        <v>25</v>
      </c>
      <c r="AK13" s="231"/>
      <c r="AL13" s="3"/>
      <c r="AM13" s="234" t="s">
        <v>404</v>
      </c>
      <c r="AN13" s="235"/>
      <c r="AO13" s="26">
        <f t="shared" si="2"/>
        <v>3</v>
      </c>
      <c r="AP13" s="26">
        <f t="shared" si="2"/>
        <v>2</v>
      </c>
      <c r="AQ13" s="26">
        <f t="shared" si="2"/>
        <v>43</v>
      </c>
      <c r="AR13" s="26">
        <f t="shared" si="2"/>
        <v>20</v>
      </c>
      <c r="AS13" s="26">
        <f t="shared" si="2"/>
        <v>0</v>
      </c>
      <c r="AT13" s="26">
        <f t="shared" si="2"/>
        <v>0</v>
      </c>
      <c r="AU13" s="26">
        <f t="shared" si="2"/>
        <v>0</v>
      </c>
      <c r="AV13" s="26">
        <f t="shared" si="2"/>
        <v>18</v>
      </c>
      <c r="AW13" s="26">
        <f t="shared" si="2"/>
        <v>185</v>
      </c>
      <c r="AX13" s="26">
        <f t="shared" si="2"/>
        <v>7</v>
      </c>
      <c r="AY13" s="26">
        <f t="shared" si="2"/>
        <v>257</v>
      </c>
      <c r="AZ13" s="26">
        <f t="shared" si="2"/>
        <v>80</v>
      </c>
      <c r="BA13" s="26">
        <f t="shared" si="2"/>
        <v>0</v>
      </c>
      <c r="BB13" s="26">
        <f t="shared" si="2"/>
        <v>11</v>
      </c>
      <c r="BC13" s="26">
        <f t="shared" si="2"/>
        <v>2</v>
      </c>
      <c r="BD13" s="26">
        <f t="shared" si="2"/>
        <v>0</v>
      </c>
      <c r="BE13" s="26">
        <f t="shared" si="2"/>
        <v>0</v>
      </c>
      <c r="BF13" s="26">
        <f t="shared" si="2"/>
        <v>30</v>
      </c>
      <c r="BG13" s="26">
        <f t="shared" si="2"/>
        <v>5</v>
      </c>
      <c r="BH13" s="26">
        <f t="shared" si="2"/>
        <v>4</v>
      </c>
      <c r="BI13" s="26">
        <f t="shared" si="2"/>
        <v>10</v>
      </c>
      <c r="BJ13" s="26">
        <f t="shared" si="2"/>
        <v>38</v>
      </c>
      <c r="BK13" s="26">
        <f t="shared" si="2"/>
        <v>58</v>
      </c>
      <c r="BL13" s="26">
        <f t="shared" si="2"/>
        <v>33</v>
      </c>
      <c r="BM13" s="26">
        <f t="shared" si="2"/>
        <v>9</v>
      </c>
      <c r="BN13" s="26">
        <f t="shared" si="2"/>
        <v>71</v>
      </c>
      <c r="BO13" s="26">
        <f t="shared" si="2"/>
        <v>17</v>
      </c>
      <c r="BP13" s="26">
        <f t="shared" si="2"/>
        <v>20</v>
      </c>
      <c r="BQ13" s="26">
        <f t="shared" si="2"/>
        <v>0</v>
      </c>
      <c r="BR13" s="26">
        <f t="shared" si="2"/>
        <v>0</v>
      </c>
      <c r="BS13" s="26">
        <f t="shared" si="2"/>
        <v>64</v>
      </c>
    </row>
    <row r="14" spans="1:73" s="15" customFormat="1" ht="18.600000000000001" customHeight="1" x14ac:dyDescent="0.25">
      <c r="A14" s="125" t="s">
        <v>405</v>
      </c>
      <c r="B14" s="4"/>
      <c r="C14" s="47" t="s">
        <v>75</v>
      </c>
      <c r="D14" s="235"/>
      <c r="E14" s="16">
        <f t="shared" si="0"/>
        <v>86936</v>
      </c>
      <c r="F14" s="16">
        <v>1296</v>
      </c>
      <c r="G14" s="16">
        <v>58</v>
      </c>
      <c r="H14" s="16">
        <v>221</v>
      </c>
      <c r="I14" s="16">
        <v>93</v>
      </c>
      <c r="J14" s="16">
        <v>13</v>
      </c>
      <c r="K14" s="16">
        <v>614</v>
      </c>
      <c r="L14" s="16">
        <v>9107</v>
      </c>
      <c r="M14" s="16">
        <v>5469</v>
      </c>
      <c r="N14" s="16">
        <v>7</v>
      </c>
      <c r="O14" s="16">
        <v>777</v>
      </c>
      <c r="P14" s="16">
        <v>608</v>
      </c>
      <c r="Q14" s="16">
        <v>0</v>
      </c>
      <c r="R14" s="16">
        <v>1763</v>
      </c>
      <c r="S14" s="16">
        <v>2106</v>
      </c>
      <c r="T14" s="16">
        <v>149</v>
      </c>
      <c r="U14" s="16">
        <v>478</v>
      </c>
      <c r="V14" s="16">
        <v>1421</v>
      </c>
      <c r="W14" s="16">
        <v>168</v>
      </c>
      <c r="X14" s="16">
        <v>194</v>
      </c>
      <c r="Y14" s="16">
        <v>441</v>
      </c>
      <c r="Z14" s="16">
        <v>1169</v>
      </c>
      <c r="AA14" s="16">
        <v>1126</v>
      </c>
      <c r="AB14" s="16">
        <v>346</v>
      </c>
      <c r="AC14" s="16">
        <v>2169</v>
      </c>
      <c r="AD14" s="16">
        <v>11873</v>
      </c>
      <c r="AE14" s="16">
        <v>3965</v>
      </c>
      <c r="AF14" s="16">
        <v>67</v>
      </c>
      <c r="AG14" s="16">
        <v>5191</v>
      </c>
      <c r="AH14" s="16">
        <v>622</v>
      </c>
      <c r="AI14" s="16">
        <v>47</v>
      </c>
      <c r="AJ14" s="16">
        <v>551</v>
      </c>
      <c r="AK14" s="125" t="s">
        <v>405</v>
      </c>
      <c r="AL14" s="4"/>
      <c r="AM14" s="47" t="s">
        <v>75</v>
      </c>
      <c r="AN14" s="235"/>
      <c r="AO14" s="16">
        <v>124</v>
      </c>
      <c r="AP14" s="16">
        <v>10</v>
      </c>
      <c r="AQ14" s="16">
        <v>700</v>
      </c>
      <c r="AR14" s="16">
        <v>438</v>
      </c>
      <c r="AS14" s="16">
        <v>1</v>
      </c>
      <c r="AT14" s="16">
        <v>3</v>
      </c>
      <c r="AU14" s="16">
        <v>101</v>
      </c>
      <c r="AV14" s="16">
        <v>1352</v>
      </c>
      <c r="AW14" s="16">
        <v>571</v>
      </c>
      <c r="AX14" s="16">
        <v>704</v>
      </c>
      <c r="AY14" s="16">
        <v>3206</v>
      </c>
      <c r="AZ14" s="16">
        <v>687</v>
      </c>
      <c r="BA14" s="16">
        <v>46</v>
      </c>
      <c r="BB14" s="16">
        <v>2295</v>
      </c>
      <c r="BC14" s="16">
        <v>659</v>
      </c>
      <c r="BD14" s="16">
        <v>84</v>
      </c>
      <c r="BE14" s="16">
        <v>494</v>
      </c>
      <c r="BF14" s="16">
        <v>64</v>
      </c>
      <c r="BG14" s="16">
        <v>47</v>
      </c>
      <c r="BH14" s="16">
        <v>1</v>
      </c>
      <c r="BI14" s="16">
        <v>5007</v>
      </c>
      <c r="BJ14" s="16">
        <v>4384</v>
      </c>
      <c r="BK14" s="16">
        <v>6526</v>
      </c>
      <c r="BL14" s="16">
        <v>0</v>
      </c>
      <c r="BM14" s="16">
        <v>9</v>
      </c>
      <c r="BN14" s="16">
        <v>2547</v>
      </c>
      <c r="BO14" s="16">
        <v>408</v>
      </c>
      <c r="BP14" s="16">
        <v>3490</v>
      </c>
      <c r="BQ14" s="16">
        <v>0</v>
      </c>
      <c r="BR14" s="16">
        <v>0</v>
      </c>
      <c r="BS14" s="16">
        <v>869</v>
      </c>
    </row>
    <row r="15" spans="1:73" s="15" customFormat="1" ht="18.600000000000001" customHeight="1" x14ac:dyDescent="0.25">
      <c r="A15" s="125"/>
      <c r="B15" s="4"/>
      <c r="C15" s="47" t="s">
        <v>76</v>
      </c>
      <c r="D15" s="235"/>
      <c r="E15" s="16">
        <f t="shared" si="0"/>
        <v>129</v>
      </c>
      <c r="F15" s="26">
        <v>0</v>
      </c>
      <c r="G15" s="26">
        <v>0</v>
      </c>
      <c r="H15" s="26">
        <v>1</v>
      </c>
      <c r="I15" s="26">
        <v>0</v>
      </c>
      <c r="J15" s="26">
        <v>0</v>
      </c>
      <c r="K15" s="26">
        <v>0</v>
      </c>
      <c r="L15" s="26">
        <v>4</v>
      </c>
      <c r="M15" s="26">
        <v>2</v>
      </c>
      <c r="N15" s="26">
        <v>0</v>
      </c>
      <c r="O15" s="26">
        <v>0</v>
      </c>
      <c r="P15" s="26">
        <v>2</v>
      </c>
      <c r="Q15" s="26">
        <v>0</v>
      </c>
      <c r="R15" s="26">
        <v>0</v>
      </c>
      <c r="S15" s="26">
        <v>0</v>
      </c>
      <c r="T15" s="26">
        <v>0</v>
      </c>
      <c r="U15" s="16">
        <v>0</v>
      </c>
      <c r="V15" s="16">
        <v>3</v>
      </c>
      <c r="W15" s="16">
        <v>0</v>
      </c>
      <c r="X15" s="16">
        <v>0</v>
      </c>
      <c r="Y15" s="16">
        <v>0</v>
      </c>
      <c r="Z15" s="16">
        <v>0</v>
      </c>
      <c r="AA15" s="16">
        <v>2</v>
      </c>
      <c r="AB15" s="16">
        <v>2</v>
      </c>
      <c r="AC15" s="16">
        <v>0</v>
      </c>
      <c r="AD15" s="16">
        <v>3</v>
      </c>
      <c r="AE15" s="16">
        <v>0</v>
      </c>
      <c r="AF15" s="16">
        <v>0</v>
      </c>
      <c r="AG15" s="16">
        <v>34</v>
      </c>
      <c r="AH15" s="16">
        <v>0</v>
      </c>
      <c r="AI15" s="16">
        <v>0</v>
      </c>
      <c r="AJ15" s="16">
        <v>1</v>
      </c>
      <c r="AK15" s="125"/>
      <c r="AL15" s="4"/>
      <c r="AM15" s="47" t="s">
        <v>76</v>
      </c>
      <c r="AN15" s="235"/>
      <c r="AO15" s="16">
        <v>0</v>
      </c>
      <c r="AP15" s="16">
        <v>0</v>
      </c>
      <c r="AQ15" s="16">
        <v>0</v>
      </c>
      <c r="AR15" s="16">
        <v>2</v>
      </c>
      <c r="AS15" s="16">
        <v>0</v>
      </c>
      <c r="AT15" s="16">
        <v>0</v>
      </c>
      <c r="AU15" s="16">
        <v>0</v>
      </c>
      <c r="AV15" s="16">
        <v>1</v>
      </c>
      <c r="AW15" s="16">
        <v>14</v>
      </c>
      <c r="AX15" s="16">
        <v>0</v>
      </c>
      <c r="AY15" s="16">
        <v>25</v>
      </c>
      <c r="AZ15" s="16">
        <v>4</v>
      </c>
      <c r="BA15" s="16">
        <v>0</v>
      </c>
      <c r="BB15" s="16">
        <v>0</v>
      </c>
      <c r="BC15" s="16">
        <v>0</v>
      </c>
      <c r="BD15" s="16">
        <v>0</v>
      </c>
      <c r="BE15" s="16">
        <v>0</v>
      </c>
      <c r="BF15" s="16">
        <v>3</v>
      </c>
      <c r="BG15" s="16">
        <v>0</v>
      </c>
      <c r="BH15" s="16">
        <v>0</v>
      </c>
      <c r="BI15" s="16">
        <v>0</v>
      </c>
      <c r="BJ15" s="16">
        <v>0</v>
      </c>
      <c r="BK15" s="16">
        <v>2</v>
      </c>
      <c r="BL15" s="16">
        <v>0</v>
      </c>
      <c r="BM15" s="16">
        <v>0</v>
      </c>
      <c r="BN15" s="16">
        <v>24</v>
      </c>
      <c r="BO15" s="16">
        <v>0</v>
      </c>
      <c r="BP15" s="16">
        <v>0</v>
      </c>
      <c r="BQ15" s="16">
        <v>0</v>
      </c>
      <c r="BR15" s="16">
        <v>0</v>
      </c>
      <c r="BS15" s="16">
        <v>0</v>
      </c>
    </row>
    <row r="16" spans="1:73" s="15" customFormat="1" ht="18.600000000000001" customHeight="1" x14ac:dyDescent="0.25">
      <c r="A16" s="125" t="s">
        <v>406</v>
      </c>
      <c r="B16" s="4"/>
      <c r="C16" s="47" t="s">
        <v>75</v>
      </c>
      <c r="D16" s="235"/>
      <c r="E16" s="16">
        <f t="shared" si="0"/>
        <v>64192</v>
      </c>
      <c r="F16" s="16">
        <v>171</v>
      </c>
      <c r="G16" s="16">
        <v>358</v>
      </c>
      <c r="H16" s="16">
        <v>980</v>
      </c>
      <c r="I16" s="16">
        <v>2</v>
      </c>
      <c r="J16" s="16">
        <v>51</v>
      </c>
      <c r="K16" s="16">
        <v>64</v>
      </c>
      <c r="L16" s="16">
        <v>8592</v>
      </c>
      <c r="M16" s="16">
        <v>1349</v>
      </c>
      <c r="N16" s="16">
        <v>2</v>
      </c>
      <c r="O16" s="16">
        <v>715</v>
      </c>
      <c r="P16" s="16">
        <v>49</v>
      </c>
      <c r="Q16" s="16">
        <v>2</v>
      </c>
      <c r="R16" s="16">
        <v>541</v>
      </c>
      <c r="S16" s="16">
        <v>192</v>
      </c>
      <c r="T16" s="16">
        <v>52</v>
      </c>
      <c r="U16" s="16">
        <v>152</v>
      </c>
      <c r="V16" s="16">
        <v>1105</v>
      </c>
      <c r="W16" s="16">
        <v>10</v>
      </c>
      <c r="X16" s="16">
        <v>56</v>
      </c>
      <c r="Y16" s="16">
        <v>93</v>
      </c>
      <c r="Z16" s="16">
        <v>3768</v>
      </c>
      <c r="AA16" s="16">
        <v>256</v>
      </c>
      <c r="AB16" s="16">
        <v>144</v>
      </c>
      <c r="AC16" s="16">
        <v>472</v>
      </c>
      <c r="AD16" s="16">
        <v>8721</v>
      </c>
      <c r="AE16" s="16">
        <v>4387</v>
      </c>
      <c r="AF16" s="16">
        <v>56</v>
      </c>
      <c r="AG16" s="16">
        <v>2327</v>
      </c>
      <c r="AH16" s="16">
        <v>38</v>
      </c>
      <c r="AI16" s="16">
        <v>4</v>
      </c>
      <c r="AJ16" s="16">
        <v>177</v>
      </c>
      <c r="AK16" s="125" t="s">
        <v>406</v>
      </c>
      <c r="AL16" s="4"/>
      <c r="AM16" s="47" t="s">
        <v>75</v>
      </c>
      <c r="AN16" s="235"/>
      <c r="AO16" s="16">
        <v>31</v>
      </c>
      <c r="AP16" s="16">
        <v>203</v>
      </c>
      <c r="AQ16" s="16">
        <v>152</v>
      </c>
      <c r="AR16" s="16">
        <v>116</v>
      </c>
      <c r="AS16" s="16">
        <v>25</v>
      </c>
      <c r="AT16" s="16">
        <v>0</v>
      </c>
      <c r="AU16" s="16">
        <v>8</v>
      </c>
      <c r="AV16" s="16">
        <v>84</v>
      </c>
      <c r="AW16" s="16">
        <v>600</v>
      </c>
      <c r="AX16" s="16">
        <v>422</v>
      </c>
      <c r="AY16" s="16">
        <v>12021</v>
      </c>
      <c r="AZ16" s="16">
        <v>635</v>
      </c>
      <c r="BA16" s="16">
        <v>9</v>
      </c>
      <c r="BB16" s="16">
        <v>577</v>
      </c>
      <c r="BC16" s="16">
        <v>81</v>
      </c>
      <c r="BD16" s="16">
        <v>0</v>
      </c>
      <c r="BE16" s="16">
        <v>28</v>
      </c>
      <c r="BF16" s="16">
        <v>75</v>
      </c>
      <c r="BG16" s="16">
        <v>50</v>
      </c>
      <c r="BH16" s="16">
        <v>38</v>
      </c>
      <c r="BI16" s="16">
        <v>83</v>
      </c>
      <c r="BJ16" s="16">
        <v>564</v>
      </c>
      <c r="BK16" s="16">
        <v>901</v>
      </c>
      <c r="BL16" s="16">
        <v>168</v>
      </c>
      <c r="BM16" s="16">
        <v>546</v>
      </c>
      <c r="BN16" s="16">
        <v>6522</v>
      </c>
      <c r="BO16" s="16">
        <v>256</v>
      </c>
      <c r="BP16" s="16">
        <v>4109</v>
      </c>
      <c r="BQ16" s="16">
        <v>41</v>
      </c>
      <c r="BR16" s="16">
        <v>0</v>
      </c>
      <c r="BS16" s="16">
        <v>961</v>
      </c>
    </row>
    <row r="17" spans="1:71" s="15" customFormat="1" ht="18.600000000000001" customHeight="1" x14ac:dyDescent="0.25">
      <c r="A17" s="125"/>
      <c r="B17" s="4"/>
      <c r="C17" s="47" t="s">
        <v>76</v>
      </c>
      <c r="D17" s="235"/>
      <c r="E17" s="16">
        <f t="shared" si="0"/>
        <v>528</v>
      </c>
      <c r="F17" s="26">
        <v>3</v>
      </c>
      <c r="G17" s="26">
        <v>0</v>
      </c>
      <c r="H17" s="26">
        <v>1</v>
      </c>
      <c r="I17" s="26">
        <v>0</v>
      </c>
      <c r="J17" s="26">
        <v>0</v>
      </c>
      <c r="K17" s="26">
        <v>3</v>
      </c>
      <c r="L17" s="26">
        <v>11</v>
      </c>
      <c r="M17" s="26">
        <v>9</v>
      </c>
      <c r="N17" s="26">
        <v>0</v>
      </c>
      <c r="O17" s="26">
        <v>3</v>
      </c>
      <c r="P17" s="26">
        <v>2</v>
      </c>
      <c r="Q17" s="26">
        <v>0</v>
      </c>
      <c r="R17" s="26">
        <v>7</v>
      </c>
      <c r="S17" s="26">
        <v>8</v>
      </c>
      <c r="T17" s="26">
        <v>0</v>
      </c>
      <c r="U17" s="16">
        <v>3</v>
      </c>
      <c r="V17" s="16">
        <v>8</v>
      </c>
      <c r="W17" s="16">
        <v>0</v>
      </c>
      <c r="X17" s="16">
        <v>0</v>
      </c>
      <c r="Y17" s="16">
        <v>2</v>
      </c>
      <c r="Z17" s="16">
        <v>4</v>
      </c>
      <c r="AA17" s="16">
        <v>2</v>
      </c>
      <c r="AB17" s="16">
        <v>5</v>
      </c>
      <c r="AC17" s="16">
        <v>30</v>
      </c>
      <c r="AD17" s="16">
        <v>19</v>
      </c>
      <c r="AE17" s="16">
        <v>2</v>
      </c>
      <c r="AF17" s="16">
        <v>0</v>
      </c>
      <c r="AG17" s="16">
        <v>171</v>
      </c>
      <c r="AH17" s="16">
        <v>1</v>
      </c>
      <c r="AI17" s="16">
        <v>0</v>
      </c>
      <c r="AJ17" s="16">
        <v>11</v>
      </c>
      <c r="AK17" s="125"/>
      <c r="AL17" s="4"/>
      <c r="AM17" s="47" t="s">
        <v>76</v>
      </c>
      <c r="AN17" s="235"/>
      <c r="AO17" s="16">
        <v>1</v>
      </c>
      <c r="AP17" s="16">
        <v>2</v>
      </c>
      <c r="AQ17" s="16">
        <v>3</v>
      </c>
      <c r="AR17" s="16">
        <v>13</v>
      </c>
      <c r="AS17" s="16">
        <v>0</v>
      </c>
      <c r="AT17" s="16">
        <v>0</v>
      </c>
      <c r="AU17" s="16">
        <v>0</v>
      </c>
      <c r="AV17" s="16">
        <v>10</v>
      </c>
      <c r="AW17" s="16">
        <v>38</v>
      </c>
      <c r="AX17" s="16">
        <v>3</v>
      </c>
      <c r="AY17" s="16">
        <v>36</v>
      </c>
      <c r="AZ17" s="16">
        <v>5</v>
      </c>
      <c r="BA17" s="16">
        <v>0</v>
      </c>
      <c r="BB17" s="16">
        <v>3</v>
      </c>
      <c r="BC17" s="16">
        <v>2</v>
      </c>
      <c r="BD17" s="16">
        <v>0</v>
      </c>
      <c r="BE17" s="16">
        <v>0</v>
      </c>
      <c r="BF17" s="16">
        <v>5</v>
      </c>
      <c r="BG17" s="16">
        <v>4</v>
      </c>
      <c r="BH17" s="16">
        <v>0</v>
      </c>
      <c r="BI17" s="16">
        <v>7</v>
      </c>
      <c r="BJ17" s="16">
        <v>20</v>
      </c>
      <c r="BK17" s="16">
        <v>30</v>
      </c>
      <c r="BL17" s="16">
        <v>10</v>
      </c>
      <c r="BM17" s="16">
        <v>3</v>
      </c>
      <c r="BN17" s="16">
        <v>1</v>
      </c>
      <c r="BO17" s="16">
        <v>0</v>
      </c>
      <c r="BP17" s="16">
        <v>3</v>
      </c>
      <c r="BQ17" s="16">
        <v>0</v>
      </c>
      <c r="BR17" s="16">
        <v>0</v>
      </c>
      <c r="BS17" s="16">
        <v>24</v>
      </c>
    </row>
    <row r="18" spans="1:71" s="15" customFormat="1" ht="18.600000000000001" customHeight="1" x14ac:dyDescent="0.25">
      <c r="A18" s="125" t="s">
        <v>176</v>
      </c>
      <c r="B18" s="5"/>
      <c r="C18" s="47" t="s">
        <v>75</v>
      </c>
      <c r="D18" s="235"/>
      <c r="E18" s="16">
        <f t="shared" si="0"/>
        <v>76122</v>
      </c>
      <c r="F18" s="16">
        <v>249</v>
      </c>
      <c r="G18" s="16">
        <v>203</v>
      </c>
      <c r="H18" s="16">
        <v>66</v>
      </c>
      <c r="I18" s="16">
        <v>10</v>
      </c>
      <c r="J18" s="16">
        <v>26</v>
      </c>
      <c r="K18" s="16">
        <v>198</v>
      </c>
      <c r="L18" s="16">
        <v>3026</v>
      </c>
      <c r="M18" s="16">
        <v>3210</v>
      </c>
      <c r="N18" s="16">
        <v>422</v>
      </c>
      <c r="O18" s="16">
        <v>1675</v>
      </c>
      <c r="P18" s="16">
        <v>123</v>
      </c>
      <c r="Q18" s="16">
        <v>0</v>
      </c>
      <c r="R18" s="16">
        <v>2990</v>
      </c>
      <c r="S18" s="16">
        <v>1767</v>
      </c>
      <c r="T18" s="16">
        <v>845</v>
      </c>
      <c r="U18" s="16">
        <v>1250</v>
      </c>
      <c r="V18" s="16">
        <v>1522</v>
      </c>
      <c r="W18" s="16">
        <v>97</v>
      </c>
      <c r="X18" s="16">
        <v>143</v>
      </c>
      <c r="Y18" s="16">
        <v>279</v>
      </c>
      <c r="Z18" s="16">
        <v>7085</v>
      </c>
      <c r="AA18" s="16">
        <v>474</v>
      </c>
      <c r="AB18" s="16">
        <v>622</v>
      </c>
      <c r="AC18" s="16">
        <v>1694</v>
      </c>
      <c r="AD18" s="16">
        <v>12244</v>
      </c>
      <c r="AE18" s="16">
        <v>5745</v>
      </c>
      <c r="AF18" s="16">
        <v>51</v>
      </c>
      <c r="AG18" s="16">
        <v>3124</v>
      </c>
      <c r="AH18" s="16">
        <v>660</v>
      </c>
      <c r="AI18" s="16">
        <v>0</v>
      </c>
      <c r="AJ18" s="16">
        <v>1318</v>
      </c>
      <c r="AK18" s="125" t="s">
        <v>176</v>
      </c>
      <c r="AL18" s="5"/>
      <c r="AM18" s="47" t="s">
        <v>75</v>
      </c>
      <c r="AN18" s="235"/>
      <c r="AO18" s="16">
        <v>227</v>
      </c>
      <c r="AP18" s="16">
        <v>391</v>
      </c>
      <c r="AQ18" s="16">
        <v>773</v>
      </c>
      <c r="AR18" s="16">
        <v>280</v>
      </c>
      <c r="AS18" s="16">
        <v>2</v>
      </c>
      <c r="AT18" s="16">
        <v>1</v>
      </c>
      <c r="AU18" s="16">
        <v>10</v>
      </c>
      <c r="AV18" s="16">
        <v>374</v>
      </c>
      <c r="AW18" s="16">
        <v>375</v>
      </c>
      <c r="AX18" s="16">
        <v>524</v>
      </c>
      <c r="AY18" s="16">
        <v>5292</v>
      </c>
      <c r="AZ18" s="16">
        <v>708</v>
      </c>
      <c r="BA18" s="16">
        <v>7</v>
      </c>
      <c r="BB18" s="16">
        <v>962</v>
      </c>
      <c r="BC18" s="16">
        <v>58</v>
      </c>
      <c r="BD18" s="16">
        <v>77</v>
      </c>
      <c r="BE18" s="16">
        <v>23</v>
      </c>
      <c r="BF18" s="16">
        <v>65</v>
      </c>
      <c r="BG18" s="16">
        <v>15</v>
      </c>
      <c r="BH18" s="16">
        <v>18</v>
      </c>
      <c r="BI18" s="16">
        <v>367</v>
      </c>
      <c r="BJ18" s="16">
        <v>969</v>
      </c>
      <c r="BK18" s="16">
        <v>1478</v>
      </c>
      <c r="BL18" s="16">
        <v>225</v>
      </c>
      <c r="BM18" s="16">
        <v>20</v>
      </c>
      <c r="BN18" s="16">
        <v>8883</v>
      </c>
      <c r="BO18" s="16">
        <v>692</v>
      </c>
      <c r="BP18" s="16">
        <v>2040</v>
      </c>
      <c r="BQ18" s="16">
        <v>18</v>
      </c>
      <c r="BR18" s="16">
        <v>0</v>
      </c>
      <c r="BS18" s="16">
        <v>130</v>
      </c>
    </row>
    <row r="19" spans="1:71" s="15" customFormat="1" ht="18.600000000000001" customHeight="1" x14ac:dyDescent="0.25">
      <c r="A19" s="125"/>
      <c r="B19" s="5"/>
      <c r="C19" s="47" t="s">
        <v>76</v>
      </c>
      <c r="D19" s="235"/>
      <c r="E19" s="16">
        <f t="shared" si="0"/>
        <v>200</v>
      </c>
      <c r="F19" s="26">
        <v>0</v>
      </c>
      <c r="G19" s="26">
        <v>0</v>
      </c>
      <c r="H19" s="26">
        <v>0</v>
      </c>
      <c r="I19" s="26">
        <v>0</v>
      </c>
      <c r="J19" s="26">
        <v>0</v>
      </c>
      <c r="K19" s="26">
        <v>0</v>
      </c>
      <c r="L19" s="26">
        <v>7</v>
      </c>
      <c r="M19" s="26">
        <v>4</v>
      </c>
      <c r="N19" s="26">
        <v>0</v>
      </c>
      <c r="O19" s="26">
        <v>0</v>
      </c>
      <c r="P19" s="26">
        <v>0</v>
      </c>
      <c r="Q19" s="26">
        <v>0</v>
      </c>
      <c r="R19" s="26">
        <v>1</v>
      </c>
      <c r="S19" s="26">
        <v>0</v>
      </c>
      <c r="T19" s="26">
        <v>0</v>
      </c>
      <c r="U19" s="16">
        <v>0</v>
      </c>
      <c r="V19" s="16">
        <v>3</v>
      </c>
      <c r="W19" s="16">
        <v>0</v>
      </c>
      <c r="X19" s="16">
        <v>0</v>
      </c>
      <c r="Y19" s="16">
        <v>0</v>
      </c>
      <c r="Z19" s="16">
        <v>2</v>
      </c>
      <c r="AA19" s="16">
        <v>3</v>
      </c>
      <c r="AB19" s="16">
        <v>5</v>
      </c>
      <c r="AC19" s="16">
        <v>3</v>
      </c>
      <c r="AD19" s="16">
        <v>10</v>
      </c>
      <c r="AE19" s="16">
        <v>3</v>
      </c>
      <c r="AF19" s="16">
        <v>0</v>
      </c>
      <c r="AG19" s="16">
        <v>55</v>
      </c>
      <c r="AH19" s="16">
        <v>1</v>
      </c>
      <c r="AI19" s="16">
        <v>0</v>
      </c>
      <c r="AJ19" s="16">
        <v>3</v>
      </c>
      <c r="AK19" s="125"/>
      <c r="AL19" s="5"/>
      <c r="AM19" s="47" t="s">
        <v>76</v>
      </c>
      <c r="AN19" s="235"/>
      <c r="AO19" s="16">
        <v>1</v>
      </c>
      <c r="AP19" s="16">
        <v>0</v>
      </c>
      <c r="AQ19" s="16">
        <v>3</v>
      </c>
      <c r="AR19" s="16">
        <v>1</v>
      </c>
      <c r="AS19" s="16">
        <v>0</v>
      </c>
      <c r="AT19" s="16">
        <v>0</v>
      </c>
      <c r="AU19" s="16">
        <v>0</v>
      </c>
      <c r="AV19" s="16">
        <v>2</v>
      </c>
      <c r="AW19" s="16">
        <v>31</v>
      </c>
      <c r="AX19" s="16">
        <v>0</v>
      </c>
      <c r="AY19" s="16">
        <v>29</v>
      </c>
      <c r="AZ19" s="16">
        <v>5</v>
      </c>
      <c r="BA19" s="16">
        <v>0</v>
      </c>
      <c r="BB19" s="16">
        <v>2</v>
      </c>
      <c r="BC19" s="16">
        <v>0</v>
      </c>
      <c r="BD19" s="16">
        <v>0</v>
      </c>
      <c r="BE19" s="16">
        <v>0</v>
      </c>
      <c r="BF19" s="16">
        <v>0</v>
      </c>
      <c r="BG19" s="16">
        <v>0</v>
      </c>
      <c r="BH19" s="16">
        <v>2</v>
      </c>
      <c r="BI19" s="16">
        <v>0</v>
      </c>
      <c r="BJ19" s="16">
        <v>6</v>
      </c>
      <c r="BK19" s="16">
        <v>1</v>
      </c>
      <c r="BL19" s="16">
        <v>2</v>
      </c>
      <c r="BM19" s="16">
        <v>0</v>
      </c>
      <c r="BN19" s="16">
        <v>14</v>
      </c>
      <c r="BO19" s="16">
        <v>0</v>
      </c>
      <c r="BP19" s="16">
        <v>0</v>
      </c>
      <c r="BQ19" s="16">
        <v>0</v>
      </c>
      <c r="BR19" s="16">
        <v>0</v>
      </c>
      <c r="BS19" s="16">
        <v>1</v>
      </c>
    </row>
    <row r="20" spans="1:71" s="15" customFormat="1" ht="18.600000000000001" customHeight="1" x14ac:dyDescent="0.25">
      <c r="A20" s="125" t="s">
        <v>77</v>
      </c>
      <c r="B20" s="4"/>
      <c r="C20" s="47" t="s">
        <v>75</v>
      </c>
      <c r="D20" s="235"/>
      <c r="E20" s="16">
        <f t="shared" si="0"/>
        <v>85155</v>
      </c>
      <c r="F20" s="16">
        <v>140</v>
      </c>
      <c r="G20" s="16">
        <v>30</v>
      </c>
      <c r="H20" s="16">
        <v>1</v>
      </c>
      <c r="I20" s="16">
        <v>21</v>
      </c>
      <c r="J20" s="16">
        <v>16</v>
      </c>
      <c r="K20" s="16">
        <v>96</v>
      </c>
      <c r="L20" s="16">
        <v>21547</v>
      </c>
      <c r="M20" s="16">
        <v>7998</v>
      </c>
      <c r="N20" s="16">
        <v>460</v>
      </c>
      <c r="O20" s="16">
        <v>1802</v>
      </c>
      <c r="P20" s="16">
        <v>119</v>
      </c>
      <c r="Q20" s="16">
        <v>0</v>
      </c>
      <c r="R20" s="16">
        <v>1417</v>
      </c>
      <c r="S20" s="16">
        <v>1155</v>
      </c>
      <c r="T20" s="16">
        <v>173</v>
      </c>
      <c r="U20" s="16">
        <v>665</v>
      </c>
      <c r="V20" s="16">
        <v>1270</v>
      </c>
      <c r="W20" s="16">
        <v>101</v>
      </c>
      <c r="X20" s="16">
        <v>276</v>
      </c>
      <c r="Y20" s="16">
        <v>365</v>
      </c>
      <c r="Z20" s="16">
        <v>1742</v>
      </c>
      <c r="AA20" s="16">
        <v>753</v>
      </c>
      <c r="AB20" s="16">
        <v>90</v>
      </c>
      <c r="AC20" s="16">
        <v>1084</v>
      </c>
      <c r="AD20" s="16">
        <v>6134</v>
      </c>
      <c r="AE20" s="16">
        <v>5140</v>
      </c>
      <c r="AF20" s="16">
        <v>17</v>
      </c>
      <c r="AG20" s="16">
        <v>3219</v>
      </c>
      <c r="AH20" s="16">
        <v>148</v>
      </c>
      <c r="AI20" s="16">
        <v>6</v>
      </c>
      <c r="AJ20" s="16">
        <v>1015</v>
      </c>
      <c r="AK20" s="125" t="s">
        <v>77</v>
      </c>
      <c r="AL20" s="4"/>
      <c r="AM20" s="47" t="s">
        <v>75</v>
      </c>
      <c r="AN20" s="235"/>
      <c r="AO20" s="16">
        <v>201</v>
      </c>
      <c r="AP20" s="16">
        <v>153</v>
      </c>
      <c r="AQ20" s="16">
        <v>817</v>
      </c>
      <c r="AR20" s="16">
        <v>757</v>
      </c>
      <c r="AS20" s="16">
        <v>41</v>
      </c>
      <c r="AT20" s="16">
        <v>6</v>
      </c>
      <c r="AU20" s="16">
        <v>0</v>
      </c>
      <c r="AV20" s="16">
        <v>88</v>
      </c>
      <c r="AW20" s="16">
        <v>349</v>
      </c>
      <c r="AX20" s="16">
        <v>381</v>
      </c>
      <c r="AY20" s="16">
        <v>3234</v>
      </c>
      <c r="AZ20" s="16">
        <v>567</v>
      </c>
      <c r="BA20" s="16">
        <v>13</v>
      </c>
      <c r="BB20" s="16">
        <v>292</v>
      </c>
      <c r="BC20" s="16">
        <v>142</v>
      </c>
      <c r="BD20" s="16">
        <v>19</v>
      </c>
      <c r="BE20" s="16">
        <v>23</v>
      </c>
      <c r="BF20" s="16">
        <v>19</v>
      </c>
      <c r="BG20" s="16">
        <v>8</v>
      </c>
      <c r="BH20" s="16">
        <v>9</v>
      </c>
      <c r="BI20" s="16">
        <v>399</v>
      </c>
      <c r="BJ20" s="16">
        <v>1515</v>
      </c>
      <c r="BK20" s="16">
        <v>2246</v>
      </c>
      <c r="BL20" s="16">
        <v>295</v>
      </c>
      <c r="BM20" s="16">
        <v>16</v>
      </c>
      <c r="BN20" s="16">
        <v>10240</v>
      </c>
      <c r="BO20" s="16">
        <v>1439</v>
      </c>
      <c r="BP20" s="16">
        <v>1939</v>
      </c>
      <c r="BQ20" s="16">
        <v>15</v>
      </c>
      <c r="BR20" s="16">
        <v>0</v>
      </c>
      <c r="BS20" s="16">
        <v>2932</v>
      </c>
    </row>
    <row r="21" spans="1:71" s="15" customFormat="1" ht="18.600000000000001" customHeight="1" x14ac:dyDescent="0.25">
      <c r="A21" s="125"/>
      <c r="B21" s="4"/>
      <c r="C21" s="47" t="s">
        <v>76</v>
      </c>
      <c r="D21" s="235"/>
      <c r="E21" s="16">
        <f t="shared" si="0"/>
        <v>103</v>
      </c>
      <c r="F21" s="16">
        <v>0</v>
      </c>
      <c r="G21" s="16">
        <v>0</v>
      </c>
      <c r="H21" s="16">
        <v>1</v>
      </c>
      <c r="I21" s="16">
        <v>0</v>
      </c>
      <c r="J21" s="16">
        <v>0</v>
      </c>
      <c r="K21" s="16">
        <v>0</v>
      </c>
      <c r="L21" s="16">
        <v>1</v>
      </c>
      <c r="M21" s="16">
        <v>0</v>
      </c>
      <c r="N21" s="16">
        <v>0</v>
      </c>
      <c r="O21" s="16">
        <v>1</v>
      </c>
      <c r="P21" s="16">
        <v>2</v>
      </c>
      <c r="Q21" s="16">
        <v>0</v>
      </c>
      <c r="R21" s="16">
        <v>0</v>
      </c>
      <c r="S21" s="16">
        <v>0</v>
      </c>
      <c r="T21" s="16">
        <v>3</v>
      </c>
      <c r="U21" s="16">
        <v>0</v>
      </c>
      <c r="V21" s="16">
        <v>3</v>
      </c>
      <c r="W21" s="16">
        <v>0</v>
      </c>
      <c r="X21" s="16">
        <v>0</v>
      </c>
      <c r="Y21" s="16">
        <v>0</v>
      </c>
      <c r="Z21" s="16">
        <v>0</v>
      </c>
      <c r="AA21" s="16">
        <v>0</v>
      </c>
      <c r="AB21" s="16">
        <v>0</v>
      </c>
      <c r="AC21" s="16">
        <v>0</v>
      </c>
      <c r="AD21" s="16">
        <v>3</v>
      </c>
      <c r="AE21" s="16">
        <v>0</v>
      </c>
      <c r="AF21" s="16">
        <v>0</v>
      </c>
      <c r="AG21" s="16">
        <v>34</v>
      </c>
      <c r="AH21" s="16">
        <v>0</v>
      </c>
      <c r="AI21" s="16">
        <v>0</v>
      </c>
      <c r="AJ21" s="16">
        <v>2</v>
      </c>
      <c r="AK21" s="125"/>
      <c r="AL21" s="4"/>
      <c r="AM21" s="47" t="s">
        <v>76</v>
      </c>
      <c r="AN21" s="235"/>
      <c r="AO21" s="16">
        <v>0</v>
      </c>
      <c r="AP21" s="16">
        <v>0</v>
      </c>
      <c r="AQ21" s="16">
        <v>5</v>
      </c>
      <c r="AR21" s="16">
        <v>0</v>
      </c>
      <c r="AS21" s="16">
        <v>0</v>
      </c>
      <c r="AT21" s="16">
        <v>0</v>
      </c>
      <c r="AU21" s="16">
        <v>0</v>
      </c>
      <c r="AV21" s="16">
        <v>0</v>
      </c>
      <c r="AW21" s="16">
        <v>10</v>
      </c>
      <c r="AX21" s="16">
        <v>1</v>
      </c>
      <c r="AY21" s="16">
        <v>13</v>
      </c>
      <c r="AZ21" s="16">
        <v>6</v>
      </c>
      <c r="BA21" s="16">
        <v>0</v>
      </c>
      <c r="BB21" s="16">
        <v>0</v>
      </c>
      <c r="BC21" s="16">
        <v>0</v>
      </c>
      <c r="BD21" s="16">
        <v>0</v>
      </c>
      <c r="BE21" s="16">
        <v>0</v>
      </c>
      <c r="BF21" s="16">
        <v>0</v>
      </c>
      <c r="BG21" s="16">
        <v>0</v>
      </c>
      <c r="BH21" s="16">
        <v>0</v>
      </c>
      <c r="BI21" s="16">
        <v>0</v>
      </c>
      <c r="BJ21" s="16">
        <v>1</v>
      </c>
      <c r="BK21" s="16">
        <v>0</v>
      </c>
      <c r="BL21" s="16">
        <v>0</v>
      </c>
      <c r="BM21" s="16">
        <v>0</v>
      </c>
      <c r="BN21" s="16">
        <v>12</v>
      </c>
      <c r="BO21" s="16">
        <v>0</v>
      </c>
      <c r="BP21" s="16">
        <v>4</v>
      </c>
      <c r="BQ21" s="16">
        <v>0</v>
      </c>
      <c r="BR21" s="16">
        <v>0</v>
      </c>
      <c r="BS21" s="16">
        <v>1</v>
      </c>
    </row>
    <row r="22" spans="1:71" s="15" customFormat="1" ht="18.600000000000001" customHeight="1" x14ac:dyDescent="0.25">
      <c r="A22" s="125" t="s">
        <v>79</v>
      </c>
      <c r="B22" s="4"/>
      <c r="C22" s="47" t="s">
        <v>75</v>
      </c>
      <c r="D22" s="235"/>
      <c r="E22" s="16">
        <f t="shared" si="0"/>
        <v>31143</v>
      </c>
      <c r="F22" s="16">
        <v>251</v>
      </c>
      <c r="G22" s="16">
        <v>0</v>
      </c>
      <c r="H22" s="16">
        <v>1</v>
      </c>
      <c r="I22" s="16">
        <v>0</v>
      </c>
      <c r="J22" s="16">
        <v>23</v>
      </c>
      <c r="K22" s="16">
        <v>124</v>
      </c>
      <c r="L22" s="16">
        <v>1601</v>
      </c>
      <c r="M22" s="16">
        <v>492</v>
      </c>
      <c r="N22" s="16">
        <v>6</v>
      </c>
      <c r="O22" s="16">
        <v>1036</v>
      </c>
      <c r="P22" s="16">
        <v>76</v>
      </c>
      <c r="Q22" s="16">
        <v>0</v>
      </c>
      <c r="R22" s="16">
        <v>292</v>
      </c>
      <c r="S22" s="16">
        <v>321</v>
      </c>
      <c r="T22" s="16">
        <v>102</v>
      </c>
      <c r="U22" s="16">
        <v>239</v>
      </c>
      <c r="V22" s="16">
        <v>1065</v>
      </c>
      <c r="W22" s="16">
        <v>86</v>
      </c>
      <c r="X22" s="16">
        <v>48</v>
      </c>
      <c r="Y22" s="16">
        <v>193</v>
      </c>
      <c r="Z22" s="16">
        <v>331</v>
      </c>
      <c r="AA22" s="16">
        <v>139</v>
      </c>
      <c r="AB22" s="16">
        <v>76</v>
      </c>
      <c r="AC22" s="16">
        <v>567</v>
      </c>
      <c r="AD22" s="16">
        <v>9653</v>
      </c>
      <c r="AE22" s="16">
        <v>2279</v>
      </c>
      <c r="AF22" s="16">
        <v>31</v>
      </c>
      <c r="AG22" s="16">
        <v>1984</v>
      </c>
      <c r="AH22" s="16">
        <v>39</v>
      </c>
      <c r="AI22" s="16">
        <v>7</v>
      </c>
      <c r="AJ22" s="16">
        <v>800</v>
      </c>
      <c r="AK22" s="125" t="s">
        <v>79</v>
      </c>
      <c r="AL22" s="4"/>
      <c r="AM22" s="47" t="s">
        <v>75</v>
      </c>
      <c r="AN22" s="235"/>
      <c r="AO22" s="16">
        <v>13</v>
      </c>
      <c r="AP22" s="16">
        <v>36</v>
      </c>
      <c r="AQ22" s="16">
        <v>283</v>
      </c>
      <c r="AR22" s="16">
        <v>351</v>
      </c>
      <c r="AS22" s="16">
        <v>18</v>
      </c>
      <c r="AT22" s="16">
        <v>3</v>
      </c>
      <c r="AU22" s="16">
        <v>0</v>
      </c>
      <c r="AV22" s="16">
        <v>56</v>
      </c>
      <c r="AW22" s="16">
        <v>178</v>
      </c>
      <c r="AX22" s="16">
        <v>96</v>
      </c>
      <c r="AY22" s="16">
        <v>2011</v>
      </c>
      <c r="AZ22" s="16">
        <v>263</v>
      </c>
      <c r="BA22" s="16">
        <v>29</v>
      </c>
      <c r="BB22" s="16">
        <v>461</v>
      </c>
      <c r="BC22" s="16">
        <v>44</v>
      </c>
      <c r="BD22" s="16">
        <v>75</v>
      </c>
      <c r="BE22" s="16">
        <v>59</v>
      </c>
      <c r="BF22" s="16">
        <v>79</v>
      </c>
      <c r="BG22" s="16">
        <v>43</v>
      </c>
      <c r="BH22" s="16">
        <v>124</v>
      </c>
      <c r="BI22" s="16">
        <v>233</v>
      </c>
      <c r="BJ22" s="16">
        <v>434</v>
      </c>
      <c r="BK22" s="16">
        <v>411</v>
      </c>
      <c r="BL22" s="16">
        <v>161</v>
      </c>
      <c r="BM22" s="16">
        <v>49</v>
      </c>
      <c r="BN22" s="16">
        <v>3084</v>
      </c>
      <c r="BO22" s="16">
        <v>411</v>
      </c>
      <c r="BP22" s="16">
        <v>221</v>
      </c>
      <c r="BQ22" s="16">
        <v>2</v>
      </c>
      <c r="BR22" s="16">
        <v>0</v>
      </c>
      <c r="BS22" s="16">
        <v>53</v>
      </c>
    </row>
    <row r="23" spans="1:71" s="15" customFormat="1" ht="18.600000000000001" customHeight="1" x14ac:dyDescent="0.25">
      <c r="A23" s="125"/>
      <c r="B23" s="4"/>
      <c r="C23" s="47" t="s">
        <v>76</v>
      </c>
      <c r="D23" s="235"/>
      <c r="E23" s="16">
        <f t="shared" si="0"/>
        <v>233</v>
      </c>
      <c r="F23" s="16">
        <v>0</v>
      </c>
      <c r="G23" s="16">
        <v>0</v>
      </c>
      <c r="H23" s="16">
        <v>0</v>
      </c>
      <c r="I23" s="16">
        <v>0</v>
      </c>
      <c r="J23" s="16">
        <v>0</v>
      </c>
      <c r="K23" s="16">
        <v>0</v>
      </c>
      <c r="L23" s="16">
        <v>1</v>
      </c>
      <c r="M23" s="16">
        <v>11</v>
      </c>
      <c r="N23" s="16">
        <v>0</v>
      </c>
      <c r="O23" s="16">
        <v>0</v>
      </c>
      <c r="P23" s="16">
        <v>0</v>
      </c>
      <c r="Q23" s="16">
        <v>0</v>
      </c>
      <c r="R23" s="16">
        <v>2</v>
      </c>
      <c r="S23" s="16">
        <v>6</v>
      </c>
      <c r="T23" s="16">
        <v>0</v>
      </c>
      <c r="U23" s="16">
        <v>0</v>
      </c>
      <c r="V23" s="16">
        <v>0</v>
      </c>
      <c r="W23" s="16">
        <v>0</v>
      </c>
      <c r="X23" s="16">
        <v>0</v>
      </c>
      <c r="Y23" s="16">
        <v>0</v>
      </c>
      <c r="Z23" s="16">
        <v>1</v>
      </c>
      <c r="AA23" s="16">
        <v>4</v>
      </c>
      <c r="AB23" s="16">
        <v>5</v>
      </c>
      <c r="AC23" s="16">
        <v>5</v>
      </c>
      <c r="AD23" s="16">
        <v>30</v>
      </c>
      <c r="AE23" s="16">
        <v>4</v>
      </c>
      <c r="AF23" s="16">
        <v>0</v>
      </c>
      <c r="AG23" s="16">
        <v>39</v>
      </c>
      <c r="AH23" s="16">
        <v>0</v>
      </c>
      <c r="AI23" s="16">
        <v>0</v>
      </c>
      <c r="AJ23" s="16">
        <v>4</v>
      </c>
      <c r="AK23" s="125"/>
      <c r="AL23" s="4"/>
      <c r="AM23" s="47" t="s">
        <v>76</v>
      </c>
      <c r="AN23" s="235"/>
      <c r="AO23" s="16">
        <v>0</v>
      </c>
      <c r="AP23" s="16">
        <v>0</v>
      </c>
      <c r="AQ23" s="16">
        <v>1</v>
      </c>
      <c r="AR23" s="16">
        <v>2</v>
      </c>
      <c r="AS23" s="16">
        <v>0</v>
      </c>
      <c r="AT23" s="16">
        <v>0</v>
      </c>
      <c r="AU23" s="16">
        <v>0</v>
      </c>
      <c r="AV23" s="16">
        <v>2</v>
      </c>
      <c r="AW23" s="16">
        <v>20</v>
      </c>
      <c r="AX23" s="16">
        <v>2</v>
      </c>
      <c r="AY23" s="16">
        <v>24</v>
      </c>
      <c r="AZ23" s="16">
        <v>13</v>
      </c>
      <c r="BA23" s="16">
        <v>0</v>
      </c>
      <c r="BB23" s="16">
        <v>2</v>
      </c>
      <c r="BC23" s="16">
        <v>0</v>
      </c>
      <c r="BD23" s="16">
        <v>0</v>
      </c>
      <c r="BE23" s="16">
        <v>0</v>
      </c>
      <c r="BF23" s="16">
        <v>0</v>
      </c>
      <c r="BG23" s="16">
        <v>0</v>
      </c>
      <c r="BH23" s="16">
        <v>0</v>
      </c>
      <c r="BI23" s="16">
        <v>1</v>
      </c>
      <c r="BJ23" s="16">
        <v>10</v>
      </c>
      <c r="BK23" s="16">
        <v>5</v>
      </c>
      <c r="BL23" s="16">
        <v>9</v>
      </c>
      <c r="BM23" s="16">
        <v>3</v>
      </c>
      <c r="BN23" s="16">
        <v>4</v>
      </c>
      <c r="BO23" s="16">
        <v>7</v>
      </c>
      <c r="BP23" s="16">
        <v>9</v>
      </c>
      <c r="BQ23" s="16">
        <v>0</v>
      </c>
      <c r="BR23" s="16">
        <v>0</v>
      </c>
      <c r="BS23" s="16">
        <v>7</v>
      </c>
    </row>
    <row r="24" spans="1:71" s="15" customFormat="1" ht="18.600000000000001" customHeight="1" x14ac:dyDescent="0.25">
      <c r="A24" s="125" t="s">
        <v>407</v>
      </c>
      <c r="B24" s="4"/>
      <c r="C24" s="47" t="s">
        <v>75</v>
      </c>
      <c r="D24" s="235"/>
      <c r="E24" s="16">
        <f t="shared" si="0"/>
        <v>46252</v>
      </c>
      <c r="F24" s="16">
        <v>181</v>
      </c>
      <c r="G24" s="16">
        <v>20</v>
      </c>
      <c r="H24" s="16">
        <v>12</v>
      </c>
      <c r="I24" s="16">
        <v>1</v>
      </c>
      <c r="J24" s="16">
        <v>80</v>
      </c>
      <c r="K24" s="16">
        <v>84</v>
      </c>
      <c r="L24" s="16">
        <v>13247</v>
      </c>
      <c r="M24" s="16">
        <v>3335</v>
      </c>
      <c r="N24" s="16">
        <v>246</v>
      </c>
      <c r="O24" s="16">
        <v>1843</v>
      </c>
      <c r="P24" s="16">
        <v>198</v>
      </c>
      <c r="Q24" s="16">
        <v>0</v>
      </c>
      <c r="R24" s="16">
        <v>998</v>
      </c>
      <c r="S24" s="16">
        <v>415</v>
      </c>
      <c r="T24" s="16">
        <v>152</v>
      </c>
      <c r="U24" s="16">
        <v>140</v>
      </c>
      <c r="V24" s="16">
        <v>666</v>
      </c>
      <c r="W24" s="16">
        <v>51</v>
      </c>
      <c r="X24" s="16">
        <v>94</v>
      </c>
      <c r="Y24" s="16">
        <v>195</v>
      </c>
      <c r="Z24" s="16">
        <v>958</v>
      </c>
      <c r="AA24" s="16">
        <v>424</v>
      </c>
      <c r="AB24" s="16">
        <v>68</v>
      </c>
      <c r="AC24" s="16">
        <v>354</v>
      </c>
      <c r="AD24" s="16">
        <v>3649</v>
      </c>
      <c r="AE24" s="16">
        <v>4318</v>
      </c>
      <c r="AF24" s="16">
        <v>27</v>
      </c>
      <c r="AG24" s="16">
        <v>2601</v>
      </c>
      <c r="AH24" s="16">
        <v>163</v>
      </c>
      <c r="AI24" s="16">
        <v>2</v>
      </c>
      <c r="AJ24" s="16">
        <v>203</v>
      </c>
      <c r="AK24" s="125" t="s">
        <v>407</v>
      </c>
      <c r="AL24" s="4"/>
      <c r="AM24" s="47" t="s">
        <v>75</v>
      </c>
      <c r="AN24" s="235"/>
      <c r="AO24" s="16">
        <v>101</v>
      </c>
      <c r="AP24" s="16">
        <v>37</v>
      </c>
      <c r="AQ24" s="16">
        <v>210</v>
      </c>
      <c r="AR24" s="16">
        <v>211</v>
      </c>
      <c r="AS24" s="16">
        <v>8</v>
      </c>
      <c r="AT24" s="16">
        <v>0</v>
      </c>
      <c r="AU24" s="16">
        <v>0</v>
      </c>
      <c r="AV24" s="16">
        <v>179</v>
      </c>
      <c r="AW24" s="16">
        <v>1040</v>
      </c>
      <c r="AX24" s="16">
        <v>207</v>
      </c>
      <c r="AY24" s="16">
        <v>1735</v>
      </c>
      <c r="AZ24" s="16">
        <v>1228</v>
      </c>
      <c r="BA24" s="16">
        <v>9</v>
      </c>
      <c r="BB24" s="16">
        <v>229</v>
      </c>
      <c r="BC24" s="16">
        <v>41</v>
      </c>
      <c r="BD24" s="16">
        <v>28</v>
      </c>
      <c r="BE24" s="16">
        <v>42</v>
      </c>
      <c r="BF24" s="16">
        <v>98</v>
      </c>
      <c r="BG24" s="16">
        <v>100</v>
      </c>
      <c r="BH24" s="16">
        <v>60</v>
      </c>
      <c r="BI24" s="16">
        <v>351</v>
      </c>
      <c r="BJ24" s="16">
        <v>748</v>
      </c>
      <c r="BK24" s="16">
        <v>743</v>
      </c>
      <c r="BL24" s="16">
        <v>247</v>
      </c>
      <c r="BM24" s="16">
        <v>6</v>
      </c>
      <c r="BN24" s="16">
        <v>1927</v>
      </c>
      <c r="BO24" s="16">
        <v>599</v>
      </c>
      <c r="BP24" s="16">
        <v>814</v>
      </c>
      <c r="BQ24" s="16">
        <v>47</v>
      </c>
      <c r="BR24" s="16">
        <v>0</v>
      </c>
      <c r="BS24" s="16">
        <v>482</v>
      </c>
    </row>
    <row r="25" spans="1:71" s="15" customFormat="1" ht="18.600000000000001" customHeight="1" x14ac:dyDescent="0.25">
      <c r="A25" s="125"/>
      <c r="B25" s="4"/>
      <c r="C25" s="47" t="s">
        <v>76</v>
      </c>
      <c r="D25" s="235"/>
      <c r="E25" s="16">
        <f t="shared" si="0"/>
        <v>144</v>
      </c>
      <c r="F25" s="16">
        <v>0</v>
      </c>
      <c r="G25" s="16">
        <v>0</v>
      </c>
      <c r="H25" s="16">
        <v>0</v>
      </c>
      <c r="I25" s="16">
        <v>0</v>
      </c>
      <c r="J25" s="16">
        <v>0</v>
      </c>
      <c r="K25" s="16">
        <v>0</v>
      </c>
      <c r="L25" s="16">
        <v>1</v>
      </c>
      <c r="M25" s="16">
        <v>1</v>
      </c>
      <c r="N25" s="16">
        <v>0</v>
      </c>
      <c r="O25" s="16">
        <v>2</v>
      </c>
      <c r="P25" s="16">
        <v>10</v>
      </c>
      <c r="Q25" s="16">
        <v>0</v>
      </c>
      <c r="R25" s="16">
        <v>3</v>
      </c>
      <c r="S25" s="16">
        <v>5</v>
      </c>
      <c r="T25" s="16">
        <v>0</v>
      </c>
      <c r="U25" s="16">
        <v>1</v>
      </c>
      <c r="V25" s="16">
        <v>5</v>
      </c>
      <c r="W25" s="16">
        <v>0</v>
      </c>
      <c r="X25" s="16">
        <v>0</v>
      </c>
      <c r="Y25" s="16">
        <v>0</v>
      </c>
      <c r="Z25" s="16">
        <v>0</v>
      </c>
      <c r="AA25" s="16">
        <v>3</v>
      </c>
      <c r="AB25" s="16">
        <v>2</v>
      </c>
      <c r="AC25" s="16">
        <v>0</v>
      </c>
      <c r="AD25" s="16">
        <v>1</v>
      </c>
      <c r="AE25" s="16">
        <v>4</v>
      </c>
      <c r="AF25" s="16">
        <v>0</v>
      </c>
      <c r="AG25" s="16">
        <v>34</v>
      </c>
      <c r="AH25" s="16">
        <v>0</v>
      </c>
      <c r="AI25" s="16">
        <v>0</v>
      </c>
      <c r="AJ25" s="16">
        <v>1</v>
      </c>
      <c r="AK25" s="125"/>
      <c r="AL25" s="4"/>
      <c r="AM25" s="47" t="s">
        <v>76</v>
      </c>
      <c r="AN25" s="235"/>
      <c r="AO25" s="16">
        <v>0</v>
      </c>
      <c r="AP25" s="16">
        <v>0</v>
      </c>
      <c r="AQ25" s="16">
        <v>2</v>
      </c>
      <c r="AR25" s="16">
        <v>0</v>
      </c>
      <c r="AS25" s="16">
        <v>0</v>
      </c>
      <c r="AT25" s="16">
        <v>0</v>
      </c>
      <c r="AU25" s="16">
        <v>0</v>
      </c>
      <c r="AV25" s="16">
        <v>2</v>
      </c>
      <c r="AW25" s="16">
        <v>19</v>
      </c>
      <c r="AX25" s="16">
        <v>0</v>
      </c>
      <c r="AY25" s="16">
        <v>14</v>
      </c>
      <c r="AZ25" s="16">
        <v>0</v>
      </c>
      <c r="BA25" s="16">
        <v>0</v>
      </c>
      <c r="BB25" s="16">
        <v>1</v>
      </c>
      <c r="BC25" s="16">
        <v>0</v>
      </c>
      <c r="BD25" s="16">
        <v>0</v>
      </c>
      <c r="BE25" s="16">
        <v>0</v>
      </c>
      <c r="BF25" s="16">
        <v>6</v>
      </c>
      <c r="BG25" s="16">
        <v>0</v>
      </c>
      <c r="BH25" s="16">
        <v>0</v>
      </c>
      <c r="BI25" s="16">
        <v>0</v>
      </c>
      <c r="BJ25" s="16">
        <v>0</v>
      </c>
      <c r="BK25" s="16">
        <v>9</v>
      </c>
      <c r="BL25" s="16">
        <v>0</v>
      </c>
      <c r="BM25" s="16">
        <v>0</v>
      </c>
      <c r="BN25" s="16">
        <v>11</v>
      </c>
      <c r="BO25" s="16">
        <v>5</v>
      </c>
      <c r="BP25" s="16">
        <v>2</v>
      </c>
      <c r="BQ25" s="16">
        <v>0</v>
      </c>
      <c r="BR25" s="16">
        <v>0</v>
      </c>
      <c r="BS25" s="16">
        <v>0</v>
      </c>
    </row>
    <row r="26" spans="1:71" s="15" customFormat="1" ht="18.600000000000001" customHeight="1" x14ac:dyDescent="0.25">
      <c r="A26" s="125" t="s">
        <v>408</v>
      </c>
      <c r="B26" s="4"/>
      <c r="C26" s="47" t="s">
        <v>75</v>
      </c>
      <c r="D26" s="235"/>
      <c r="E26" s="16">
        <f t="shared" si="0"/>
        <v>16785</v>
      </c>
      <c r="F26" s="16">
        <v>8</v>
      </c>
      <c r="G26" s="16">
        <v>0</v>
      </c>
      <c r="H26" s="16">
        <v>1</v>
      </c>
      <c r="I26" s="16">
        <v>2</v>
      </c>
      <c r="J26" s="16">
        <v>0</v>
      </c>
      <c r="K26" s="16">
        <v>10</v>
      </c>
      <c r="L26" s="16">
        <v>2091</v>
      </c>
      <c r="M26" s="16">
        <v>539</v>
      </c>
      <c r="N26" s="16">
        <v>56</v>
      </c>
      <c r="O26" s="16">
        <v>763</v>
      </c>
      <c r="P26" s="16">
        <v>55</v>
      </c>
      <c r="Q26" s="16">
        <v>0</v>
      </c>
      <c r="R26" s="16">
        <v>554</v>
      </c>
      <c r="S26" s="16">
        <v>299</v>
      </c>
      <c r="T26" s="16">
        <v>231</v>
      </c>
      <c r="U26" s="16">
        <v>117</v>
      </c>
      <c r="V26" s="16">
        <v>267</v>
      </c>
      <c r="W26" s="16">
        <v>0</v>
      </c>
      <c r="X26" s="16">
        <v>73</v>
      </c>
      <c r="Y26" s="16">
        <v>70</v>
      </c>
      <c r="Z26" s="16">
        <v>198</v>
      </c>
      <c r="AA26" s="16">
        <v>201</v>
      </c>
      <c r="AB26" s="16">
        <v>137</v>
      </c>
      <c r="AC26" s="16">
        <v>147</v>
      </c>
      <c r="AD26" s="16">
        <v>1856</v>
      </c>
      <c r="AE26" s="16">
        <v>1835</v>
      </c>
      <c r="AF26" s="16">
        <v>4</v>
      </c>
      <c r="AG26" s="16">
        <v>1334</v>
      </c>
      <c r="AH26" s="16">
        <v>5</v>
      </c>
      <c r="AI26" s="16">
        <v>0</v>
      </c>
      <c r="AJ26" s="16">
        <v>205</v>
      </c>
      <c r="AK26" s="125" t="s">
        <v>408</v>
      </c>
      <c r="AL26" s="4"/>
      <c r="AM26" s="47" t="s">
        <v>75</v>
      </c>
      <c r="AN26" s="235"/>
      <c r="AO26" s="16">
        <v>32</v>
      </c>
      <c r="AP26" s="16">
        <v>2</v>
      </c>
      <c r="AQ26" s="16">
        <v>382</v>
      </c>
      <c r="AR26" s="16">
        <v>114</v>
      </c>
      <c r="AS26" s="16">
        <v>4</v>
      </c>
      <c r="AT26" s="16">
        <v>4</v>
      </c>
      <c r="AU26" s="16">
        <v>0</v>
      </c>
      <c r="AV26" s="16">
        <v>57</v>
      </c>
      <c r="AW26" s="16">
        <v>477</v>
      </c>
      <c r="AX26" s="16">
        <v>19</v>
      </c>
      <c r="AY26" s="16">
        <v>674</v>
      </c>
      <c r="AZ26" s="16">
        <v>340</v>
      </c>
      <c r="BA26" s="16">
        <v>13</v>
      </c>
      <c r="BB26" s="16">
        <v>74</v>
      </c>
      <c r="BC26" s="16">
        <v>8</v>
      </c>
      <c r="BD26" s="16">
        <v>145</v>
      </c>
      <c r="BE26" s="16">
        <v>55</v>
      </c>
      <c r="BF26" s="16">
        <v>79</v>
      </c>
      <c r="BG26" s="16">
        <v>92</v>
      </c>
      <c r="BH26" s="16">
        <v>40</v>
      </c>
      <c r="BI26" s="16">
        <v>59</v>
      </c>
      <c r="BJ26" s="16">
        <v>386</v>
      </c>
      <c r="BK26" s="16">
        <v>254</v>
      </c>
      <c r="BL26" s="16">
        <v>41</v>
      </c>
      <c r="BM26" s="16">
        <v>494</v>
      </c>
      <c r="BN26" s="16">
        <v>1409</v>
      </c>
      <c r="BO26" s="16">
        <v>231</v>
      </c>
      <c r="BP26" s="16">
        <v>232</v>
      </c>
      <c r="BQ26" s="16">
        <v>1</v>
      </c>
      <c r="BR26" s="16">
        <v>0</v>
      </c>
      <c r="BS26" s="16">
        <v>9</v>
      </c>
    </row>
    <row r="27" spans="1:71" s="15" customFormat="1" ht="18.600000000000001" customHeight="1" x14ac:dyDescent="0.25">
      <c r="A27" s="125"/>
      <c r="B27" s="4"/>
      <c r="C27" s="47" t="s">
        <v>76</v>
      </c>
      <c r="D27" s="235"/>
      <c r="E27" s="16">
        <f t="shared" si="0"/>
        <v>31</v>
      </c>
      <c r="F27" s="26">
        <v>0</v>
      </c>
      <c r="G27" s="26">
        <v>0</v>
      </c>
      <c r="H27" s="26">
        <v>0</v>
      </c>
      <c r="I27" s="26">
        <v>0</v>
      </c>
      <c r="J27" s="26">
        <v>0</v>
      </c>
      <c r="K27" s="26">
        <v>0</v>
      </c>
      <c r="L27" s="26">
        <v>0</v>
      </c>
      <c r="M27" s="26">
        <v>0</v>
      </c>
      <c r="N27" s="26">
        <v>0</v>
      </c>
      <c r="O27" s="26">
        <v>0</v>
      </c>
      <c r="P27" s="26">
        <v>0</v>
      </c>
      <c r="Q27" s="26">
        <v>0</v>
      </c>
      <c r="R27" s="26">
        <v>2</v>
      </c>
      <c r="S27" s="26">
        <v>0</v>
      </c>
      <c r="T27" s="26">
        <v>0</v>
      </c>
      <c r="U27" s="16">
        <v>1</v>
      </c>
      <c r="V27" s="16">
        <v>3</v>
      </c>
      <c r="W27" s="16">
        <v>0</v>
      </c>
      <c r="X27" s="16">
        <v>0</v>
      </c>
      <c r="Y27" s="16">
        <v>0</v>
      </c>
      <c r="Z27" s="16">
        <v>0</v>
      </c>
      <c r="AA27" s="16">
        <v>0</v>
      </c>
      <c r="AB27" s="16">
        <v>1</v>
      </c>
      <c r="AC27" s="16">
        <v>0</v>
      </c>
      <c r="AD27" s="16">
        <v>1</v>
      </c>
      <c r="AE27" s="16">
        <v>0</v>
      </c>
      <c r="AF27" s="16">
        <v>0</v>
      </c>
      <c r="AG27" s="16">
        <v>17</v>
      </c>
      <c r="AH27" s="16">
        <v>0</v>
      </c>
      <c r="AI27" s="16">
        <v>0</v>
      </c>
      <c r="AJ27" s="16">
        <v>0</v>
      </c>
      <c r="AK27" s="125"/>
      <c r="AL27" s="4"/>
      <c r="AM27" s="47" t="s">
        <v>76</v>
      </c>
      <c r="AN27" s="235"/>
      <c r="AO27" s="16">
        <v>0</v>
      </c>
      <c r="AP27" s="16">
        <v>0</v>
      </c>
      <c r="AQ27" s="16">
        <v>0</v>
      </c>
      <c r="AR27" s="16">
        <v>0</v>
      </c>
      <c r="AS27" s="16">
        <v>0</v>
      </c>
      <c r="AT27" s="16">
        <v>0</v>
      </c>
      <c r="AU27" s="16">
        <v>0</v>
      </c>
      <c r="AV27" s="16">
        <v>0</v>
      </c>
      <c r="AW27" s="16">
        <v>1</v>
      </c>
      <c r="AX27" s="16">
        <v>0</v>
      </c>
      <c r="AY27" s="16">
        <v>3</v>
      </c>
      <c r="AZ27" s="16">
        <v>1</v>
      </c>
      <c r="BA27" s="16">
        <v>0</v>
      </c>
      <c r="BB27" s="16">
        <v>0</v>
      </c>
      <c r="BC27" s="16">
        <v>0</v>
      </c>
      <c r="BD27" s="16">
        <v>0</v>
      </c>
      <c r="BE27" s="16">
        <v>0</v>
      </c>
      <c r="BF27" s="16">
        <v>0</v>
      </c>
      <c r="BG27" s="16">
        <v>0</v>
      </c>
      <c r="BH27" s="16">
        <v>0</v>
      </c>
      <c r="BI27" s="16">
        <v>0</v>
      </c>
      <c r="BJ27" s="16">
        <v>0</v>
      </c>
      <c r="BK27" s="16">
        <v>0</v>
      </c>
      <c r="BL27" s="16">
        <v>0</v>
      </c>
      <c r="BM27" s="16">
        <v>0</v>
      </c>
      <c r="BN27" s="16">
        <v>1</v>
      </c>
      <c r="BO27" s="16">
        <v>0</v>
      </c>
      <c r="BP27" s="16">
        <v>0</v>
      </c>
      <c r="BQ27" s="16">
        <v>0</v>
      </c>
      <c r="BR27" s="16">
        <v>0</v>
      </c>
      <c r="BS27" s="16">
        <v>0</v>
      </c>
    </row>
    <row r="28" spans="1:71" s="15" customFormat="1" ht="18.600000000000001" customHeight="1" x14ac:dyDescent="0.25">
      <c r="A28" s="125" t="s">
        <v>82</v>
      </c>
      <c r="B28" s="4"/>
      <c r="C28" s="47" t="s">
        <v>75</v>
      </c>
      <c r="D28" s="235"/>
      <c r="E28" s="16">
        <f t="shared" si="0"/>
        <v>4242</v>
      </c>
      <c r="F28" s="16">
        <v>4</v>
      </c>
      <c r="G28" s="16">
        <v>0</v>
      </c>
      <c r="H28" s="16">
        <v>0</v>
      </c>
      <c r="I28" s="16">
        <v>0</v>
      </c>
      <c r="J28" s="16">
        <v>0</v>
      </c>
      <c r="K28" s="16">
        <v>3</v>
      </c>
      <c r="L28" s="16">
        <v>943</v>
      </c>
      <c r="M28" s="16">
        <v>338</v>
      </c>
      <c r="N28" s="16">
        <v>5</v>
      </c>
      <c r="O28" s="16">
        <v>382</v>
      </c>
      <c r="P28" s="16">
        <v>3</v>
      </c>
      <c r="Q28" s="16">
        <v>0</v>
      </c>
      <c r="R28" s="16">
        <v>49</v>
      </c>
      <c r="S28" s="16">
        <v>48</v>
      </c>
      <c r="T28" s="16">
        <v>20</v>
      </c>
      <c r="U28" s="16">
        <v>23</v>
      </c>
      <c r="V28" s="16">
        <v>44</v>
      </c>
      <c r="W28" s="16">
        <v>0</v>
      </c>
      <c r="X28" s="16">
        <v>15</v>
      </c>
      <c r="Y28" s="16">
        <v>18</v>
      </c>
      <c r="Z28" s="16">
        <v>16</v>
      </c>
      <c r="AA28" s="16">
        <v>7</v>
      </c>
      <c r="AB28" s="16">
        <v>12</v>
      </c>
      <c r="AC28" s="16">
        <v>31</v>
      </c>
      <c r="AD28" s="16">
        <v>381</v>
      </c>
      <c r="AE28" s="16">
        <v>86</v>
      </c>
      <c r="AF28" s="16">
        <v>1</v>
      </c>
      <c r="AG28" s="16">
        <v>290</v>
      </c>
      <c r="AH28" s="16">
        <v>5</v>
      </c>
      <c r="AI28" s="16">
        <v>0</v>
      </c>
      <c r="AJ28" s="16">
        <v>20</v>
      </c>
      <c r="AK28" s="125" t="s">
        <v>82</v>
      </c>
      <c r="AL28" s="4"/>
      <c r="AM28" s="47" t="s">
        <v>75</v>
      </c>
      <c r="AN28" s="235"/>
      <c r="AO28" s="16">
        <v>3</v>
      </c>
      <c r="AP28" s="16">
        <v>2</v>
      </c>
      <c r="AQ28" s="16">
        <v>64</v>
      </c>
      <c r="AR28" s="16">
        <v>3</v>
      </c>
      <c r="AS28" s="16">
        <v>1</v>
      </c>
      <c r="AT28" s="16">
        <v>1</v>
      </c>
      <c r="AU28" s="16">
        <v>0</v>
      </c>
      <c r="AV28" s="16">
        <v>23</v>
      </c>
      <c r="AW28" s="16">
        <v>23</v>
      </c>
      <c r="AX28" s="16">
        <v>0</v>
      </c>
      <c r="AY28" s="16">
        <v>42</v>
      </c>
      <c r="AZ28" s="16">
        <v>68</v>
      </c>
      <c r="BA28" s="16">
        <v>3</v>
      </c>
      <c r="BB28" s="16">
        <v>2</v>
      </c>
      <c r="BC28" s="16">
        <v>3</v>
      </c>
      <c r="BD28" s="16">
        <v>0</v>
      </c>
      <c r="BE28" s="16">
        <v>0</v>
      </c>
      <c r="BF28" s="16">
        <v>21</v>
      </c>
      <c r="BG28" s="16">
        <v>2</v>
      </c>
      <c r="BH28" s="16">
        <v>7</v>
      </c>
      <c r="BI28" s="16">
        <v>25</v>
      </c>
      <c r="BJ28" s="16">
        <v>29</v>
      </c>
      <c r="BK28" s="16">
        <v>24</v>
      </c>
      <c r="BL28" s="16">
        <v>5</v>
      </c>
      <c r="BM28" s="16">
        <v>11</v>
      </c>
      <c r="BN28" s="16">
        <v>815</v>
      </c>
      <c r="BO28" s="16">
        <v>193</v>
      </c>
      <c r="BP28" s="16">
        <v>116</v>
      </c>
      <c r="BQ28" s="16">
        <v>0</v>
      </c>
      <c r="BR28" s="16">
        <v>0</v>
      </c>
      <c r="BS28" s="16">
        <v>12</v>
      </c>
    </row>
    <row r="29" spans="1:71" s="15" customFormat="1" ht="18.600000000000001" customHeight="1" x14ac:dyDescent="0.25">
      <c r="A29" s="125"/>
      <c r="B29" s="4"/>
      <c r="C29" s="47" t="s">
        <v>76</v>
      </c>
      <c r="D29" s="235"/>
      <c r="E29" s="16">
        <f t="shared" si="0"/>
        <v>24</v>
      </c>
      <c r="F29" s="26">
        <v>0</v>
      </c>
      <c r="G29" s="26">
        <v>0</v>
      </c>
      <c r="H29" s="26">
        <v>0</v>
      </c>
      <c r="I29" s="26">
        <v>0</v>
      </c>
      <c r="J29" s="26">
        <v>0</v>
      </c>
      <c r="K29" s="26">
        <v>0</v>
      </c>
      <c r="L29" s="26">
        <v>0</v>
      </c>
      <c r="M29" s="26">
        <v>0</v>
      </c>
      <c r="N29" s="26">
        <v>0</v>
      </c>
      <c r="O29" s="26">
        <v>0</v>
      </c>
      <c r="P29" s="26">
        <v>0</v>
      </c>
      <c r="Q29" s="26">
        <v>0</v>
      </c>
      <c r="R29" s="26">
        <v>0</v>
      </c>
      <c r="S29" s="26">
        <v>0</v>
      </c>
      <c r="T29" s="26">
        <v>0</v>
      </c>
      <c r="U29" s="16">
        <v>0</v>
      </c>
      <c r="V29" s="16">
        <v>1</v>
      </c>
      <c r="W29" s="16">
        <v>0</v>
      </c>
      <c r="X29" s="16">
        <v>0</v>
      </c>
      <c r="Y29" s="16">
        <v>0</v>
      </c>
      <c r="Z29" s="16">
        <v>0</v>
      </c>
      <c r="AA29" s="16">
        <v>0</v>
      </c>
      <c r="AB29" s="16">
        <v>0</v>
      </c>
      <c r="AC29" s="16">
        <v>0</v>
      </c>
      <c r="AD29" s="16">
        <v>0</v>
      </c>
      <c r="AE29" s="16">
        <v>0</v>
      </c>
      <c r="AF29" s="16">
        <v>0</v>
      </c>
      <c r="AG29" s="16">
        <v>13</v>
      </c>
      <c r="AH29" s="16">
        <v>0</v>
      </c>
      <c r="AI29" s="16">
        <v>0</v>
      </c>
      <c r="AJ29" s="16">
        <v>0</v>
      </c>
      <c r="AK29" s="125"/>
      <c r="AL29" s="4"/>
      <c r="AM29" s="47" t="s">
        <v>76</v>
      </c>
      <c r="AN29" s="235"/>
      <c r="AO29" s="16">
        <v>0</v>
      </c>
      <c r="AP29" s="16">
        <v>0</v>
      </c>
      <c r="AQ29" s="16">
        <v>1</v>
      </c>
      <c r="AR29" s="16">
        <v>0</v>
      </c>
      <c r="AS29" s="16">
        <v>0</v>
      </c>
      <c r="AT29" s="16">
        <v>0</v>
      </c>
      <c r="AU29" s="16">
        <v>0</v>
      </c>
      <c r="AV29" s="16">
        <v>0</v>
      </c>
      <c r="AW29" s="16">
        <v>1</v>
      </c>
      <c r="AX29" s="16">
        <v>0</v>
      </c>
      <c r="AY29" s="16">
        <v>5</v>
      </c>
      <c r="AZ29" s="16">
        <v>0</v>
      </c>
      <c r="BA29" s="16">
        <v>0</v>
      </c>
      <c r="BB29" s="16">
        <v>0</v>
      </c>
      <c r="BC29" s="16">
        <v>0</v>
      </c>
      <c r="BD29" s="16">
        <v>0</v>
      </c>
      <c r="BE29" s="16">
        <v>0</v>
      </c>
      <c r="BF29" s="16">
        <v>1</v>
      </c>
      <c r="BG29" s="16">
        <v>0</v>
      </c>
      <c r="BH29" s="16">
        <v>0</v>
      </c>
      <c r="BI29" s="16">
        <v>0</v>
      </c>
      <c r="BJ29" s="16">
        <v>0</v>
      </c>
      <c r="BK29" s="16">
        <v>0</v>
      </c>
      <c r="BL29" s="16">
        <v>0</v>
      </c>
      <c r="BM29" s="16">
        <v>0</v>
      </c>
      <c r="BN29" s="16">
        <v>2</v>
      </c>
      <c r="BO29" s="16">
        <v>0</v>
      </c>
      <c r="BP29" s="16">
        <v>0</v>
      </c>
      <c r="BQ29" s="16">
        <v>0</v>
      </c>
      <c r="BR29" s="16">
        <v>0</v>
      </c>
      <c r="BS29" s="16">
        <v>0</v>
      </c>
    </row>
    <row r="30" spans="1:71" s="15" customFormat="1" ht="18.600000000000001" customHeight="1" x14ac:dyDescent="0.25">
      <c r="A30" s="125" t="s">
        <v>83</v>
      </c>
      <c r="B30" s="4"/>
      <c r="C30" s="47" t="s">
        <v>75</v>
      </c>
      <c r="D30" s="235"/>
      <c r="E30" s="16">
        <f t="shared" si="0"/>
        <v>4637</v>
      </c>
      <c r="F30" s="16">
        <v>5</v>
      </c>
      <c r="G30" s="16">
        <v>0</v>
      </c>
      <c r="H30" s="16">
        <v>0</v>
      </c>
      <c r="I30" s="16">
        <v>0</v>
      </c>
      <c r="J30" s="16">
        <v>0</v>
      </c>
      <c r="K30" s="16">
        <v>1</v>
      </c>
      <c r="L30" s="16">
        <v>1169</v>
      </c>
      <c r="M30" s="16">
        <v>426</v>
      </c>
      <c r="N30" s="16">
        <v>10</v>
      </c>
      <c r="O30" s="16">
        <v>374</v>
      </c>
      <c r="P30" s="16">
        <v>9</v>
      </c>
      <c r="Q30" s="16">
        <v>0</v>
      </c>
      <c r="R30" s="16">
        <v>112</v>
      </c>
      <c r="S30" s="16">
        <v>47</v>
      </c>
      <c r="T30" s="16">
        <v>0</v>
      </c>
      <c r="U30" s="16">
        <v>14</v>
      </c>
      <c r="V30" s="16">
        <v>56</v>
      </c>
      <c r="W30" s="16">
        <v>7</v>
      </c>
      <c r="X30" s="16">
        <v>4</v>
      </c>
      <c r="Y30" s="16">
        <v>22</v>
      </c>
      <c r="Z30" s="16">
        <v>26</v>
      </c>
      <c r="AA30" s="16">
        <v>31</v>
      </c>
      <c r="AB30" s="16">
        <v>18</v>
      </c>
      <c r="AC30" s="16">
        <v>14</v>
      </c>
      <c r="AD30" s="16">
        <v>241</v>
      </c>
      <c r="AE30" s="16">
        <v>278</v>
      </c>
      <c r="AF30" s="16">
        <v>1</v>
      </c>
      <c r="AG30" s="16">
        <v>208</v>
      </c>
      <c r="AH30" s="16">
        <v>2</v>
      </c>
      <c r="AI30" s="16">
        <v>0</v>
      </c>
      <c r="AJ30" s="16">
        <v>20</v>
      </c>
      <c r="AK30" s="125" t="s">
        <v>83</v>
      </c>
      <c r="AL30" s="4"/>
      <c r="AM30" s="47" t="s">
        <v>75</v>
      </c>
      <c r="AN30" s="235"/>
      <c r="AO30" s="16">
        <v>3</v>
      </c>
      <c r="AP30" s="16">
        <v>7</v>
      </c>
      <c r="AQ30" s="16">
        <v>103</v>
      </c>
      <c r="AR30" s="16">
        <v>5</v>
      </c>
      <c r="AS30" s="16">
        <v>3</v>
      </c>
      <c r="AT30" s="16">
        <v>0</v>
      </c>
      <c r="AU30" s="16">
        <v>0</v>
      </c>
      <c r="AV30" s="16">
        <v>0</v>
      </c>
      <c r="AW30" s="16">
        <v>43</v>
      </c>
      <c r="AX30" s="16">
        <v>13</v>
      </c>
      <c r="AY30" s="16">
        <v>114</v>
      </c>
      <c r="AZ30" s="16">
        <v>264</v>
      </c>
      <c r="BA30" s="16">
        <v>1</v>
      </c>
      <c r="BB30" s="16">
        <v>6</v>
      </c>
      <c r="BC30" s="16">
        <v>5</v>
      </c>
      <c r="BD30" s="16">
        <v>0</v>
      </c>
      <c r="BE30" s="16">
        <v>0</v>
      </c>
      <c r="BF30" s="16">
        <v>14</v>
      </c>
      <c r="BG30" s="16">
        <v>4</v>
      </c>
      <c r="BH30" s="16">
        <v>19</v>
      </c>
      <c r="BI30" s="16">
        <v>3</v>
      </c>
      <c r="BJ30" s="16">
        <v>31</v>
      </c>
      <c r="BK30" s="16">
        <v>41</v>
      </c>
      <c r="BL30" s="16">
        <v>2</v>
      </c>
      <c r="BM30" s="16">
        <v>0</v>
      </c>
      <c r="BN30" s="16">
        <v>632</v>
      </c>
      <c r="BO30" s="16">
        <v>157</v>
      </c>
      <c r="BP30" s="16">
        <v>41</v>
      </c>
      <c r="BQ30" s="16">
        <v>0</v>
      </c>
      <c r="BR30" s="16">
        <v>0</v>
      </c>
      <c r="BS30" s="16">
        <v>31</v>
      </c>
    </row>
    <row r="31" spans="1:71" s="15" customFormat="1" ht="18.600000000000001" customHeight="1" x14ac:dyDescent="0.25">
      <c r="A31" s="125"/>
      <c r="B31" s="4"/>
      <c r="C31" s="47" t="s">
        <v>76</v>
      </c>
      <c r="D31" s="235"/>
      <c r="E31" s="16">
        <f t="shared" si="0"/>
        <v>34</v>
      </c>
      <c r="F31" s="26">
        <v>0</v>
      </c>
      <c r="G31" s="26">
        <v>0</v>
      </c>
      <c r="H31" s="26">
        <v>0</v>
      </c>
      <c r="I31" s="26">
        <v>0</v>
      </c>
      <c r="J31" s="26">
        <v>0</v>
      </c>
      <c r="K31" s="26">
        <v>0</v>
      </c>
      <c r="L31" s="26">
        <v>1</v>
      </c>
      <c r="M31" s="26">
        <v>0</v>
      </c>
      <c r="N31" s="26">
        <v>0</v>
      </c>
      <c r="O31" s="26">
        <v>0</v>
      </c>
      <c r="P31" s="26">
        <v>0</v>
      </c>
      <c r="Q31" s="26">
        <v>0</v>
      </c>
      <c r="R31" s="26">
        <v>1</v>
      </c>
      <c r="S31" s="26">
        <v>0</v>
      </c>
      <c r="T31" s="26">
        <v>0</v>
      </c>
      <c r="U31" s="16">
        <v>0</v>
      </c>
      <c r="V31" s="16">
        <v>1</v>
      </c>
      <c r="W31" s="16">
        <v>0</v>
      </c>
      <c r="X31" s="16">
        <v>0</v>
      </c>
      <c r="Y31" s="16">
        <v>0</v>
      </c>
      <c r="Z31" s="16">
        <v>0</v>
      </c>
      <c r="AA31" s="16">
        <v>0</v>
      </c>
      <c r="AB31" s="16">
        <v>0</v>
      </c>
      <c r="AC31" s="16">
        <v>0</v>
      </c>
      <c r="AD31" s="16">
        <v>0</v>
      </c>
      <c r="AE31" s="16">
        <v>1</v>
      </c>
      <c r="AF31" s="16">
        <v>0</v>
      </c>
      <c r="AG31" s="16">
        <v>16</v>
      </c>
      <c r="AH31" s="16">
        <v>0</v>
      </c>
      <c r="AI31" s="16">
        <v>0</v>
      </c>
      <c r="AJ31" s="16">
        <v>0</v>
      </c>
      <c r="AK31" s="125"/>
      <c r="AL31" s="4"/>
      <c r="AM31" s="47" t="s">
        <v>76</v>
      </c>
      <c r="AN31" s="235"/>
      <c r="AO31" s="16">
        <v>0</v>
      </c>
      <c r="AP31" s="16">
        <v>0</v>
      </c>
      <c r="AQ31" s="16">
        <v>0</v>
      </c>
      <c r="AR31" s="16">
        <v>0</v>
      </c>
      <c r="AS31" s="16">
        <v>0</v>
      </c>
      <c r="AT31" s="16">
        <v>0</v>
      </c>
      <c r="AU31" s="16">
        <v>0</v>
      </c>
      <c r="AV31" s="16">
        <v>0</v>
      </c>
      <c r="AW31" s="16">
        <v>2</v>
      </c>
      <c r="AX31" s="16">
        <v>0</v>
      </c>
      <c r="AY31" s="16">
        <v>6</v>
      </c>
      <c r="AZ31" s="16">
        <v>0</v>
      </c>
      <c r="BA31" s="16">
        <v>0</v>
      </c>
      <c r="BB31" s="16">
        <v>0</v>
      </c>
      <c r="BC31" s="16">
        <v>0</v>
      </c>
      <c r="BD31" s="16">
        <v>0</v>
      </c>
      <c r="BE31" s="16">
        <v>0</v>
      </c>
      <c r="BF31" s="16">
        <v>2</v>
      </c>
      <c r="BG31" s="16">
        <v>0</v>
      </c>
      <c r="BH31" s="16">
        <v>0</v>
      </c>
      <c r="BI31" s="16">
        <v>0</v>
      </c>
      <c r="BJ31" s="16">
        <v>0</v>
      </c>
      <c r="BK31" s="16">
        <v>0</v>
      </c>
      <c r="BL31" s="16">
        <v>0</v>
      </c>
      <c r="BM31" s="16">
        <v>0</v>
      </c>
      <c r="BN31" s="16">
        <v>1</v>
      </c>
      <c r="BO31" s="16">
        <v>0</v>
      </c>
      <c r="BP31" s="16">
        <v>0</v>
      </c>
      <c r="BQ31" s="16">
        <v>0</v>
      </c>
      <c r="BR31" s="16">
        <v>0</v>
      </c>
      <c r="BS31" s="16">
        <v>3</v>
      </c>
    </row>
    <row r="32" spans="1:71" s="15" customFormat="1" ht="18.600000000000001" customHeight="1" x14ac:dyDescent="0.25">
      <c r="A32" s="125" t="s">
        <v>84</v>
      </c>
      <c r="B32" s="4"/>
      <c r="C32" s="47" t="s">
        <v>75</v>
      </c>
      <c r="D32" s="235"/>
      <c r="E32" s="16">
        <f t="shared" si="0"/>
        <v>60533</v>
      </c>
      <c r="F32" s="16">
        <v>239</v>
      </c>
      <c r="G32" s="16">
        <v>41</v>
      </c>
      <c r="H32" s="16">
        <v>104</v>
      </c>
      <c r="I32" s="16">
        <v>14</v>
      </c>
      <c r="J32" s="16">
        <v>168</v>
      </c>
      <c r="K32" s="16">
        <v>261</v>
      </c>
      <c r="L32" s="16">
        <v>4125</v>
      </c>
      <c r="M32" s="16">
        <v>3580</v>
      </c>
      <c r="N32" s="16">
        <v>96</v>
      </c>
      <c r="O32" s="16">
        <v>2181</v>
      </c>
      <c r="P32" s="16">
        <v>559</v>
      </c>
      <c r="Q32" s="16">
        <v>3</v>
      </c>
      <c r="R32" s="16">
        <v>875</v>
      </c>
      <c r="S32" s="16">
        <v>979</v>
      </c>
      <c r="T32" s="16">
        <v>84</v>
      </c>
      <c r="U32" s="16">
        <v>462</v>
      </c>
      <c r="V32" s="16">
        <v>2519</v>
      </c>
      <c r="W32" s="16">
        <v>28</v>
      </c>
      <c r="X32" s="16">
        <v>76</v>
      </c>
      <c r="Y32" s="16">
        <v>274</v>
      </c>
      <c r="Z32" s="16">
        <v>1107</v>
      </c>
      <c r="AA32" s="16">
        <v>311</v>
      </c>
      <c r="AB32" s="16">
        <v>260</v>
      </c>
      <c r="AC32" s="16">
        <v>964</v>
      </c>
      <c r="AD32" s="16">
        <v>2517</v>
      </c>
      <c r="AE32" s="16">
        <v>2223</v>
      </c>
      <c r="AF32" s="16">
        <v>56</v>
      </c>
      <c r="AG32" s="16">
        <v>2656</v>
      </c>
      <c r="AH32" s="16">
        <v>293</v>
      </c>
      <c r="AI32" s="16">
        <v>18</v>
      </c>
      <c r="AJ32" s="16">
        <v>1271</v>
      </c>
      <c r="AK32" s="125" t="s">
        <v>84</v>
      </c>
      <c r="AL32" s="4"/>
      <c r="AM32" s="47" t="s">
        <v>75</v>
      </c>
      <c r="AN32" s="235"/>
      <c r="AO32" s="16">
        <v>66</v>
      </c>
      <c r="AP32" s="16">
        <v>89</v>
      </c>
      <c r="AQ32" s="16">
        <v>775</v>
      </c>
      <c r="AR32" s="16">
        <v>292</v>
      </c>
      <c r="AS32" s="16">
        <v>413</v>
      </c>
      <c r="AT32" s="16">
        <v>31</v>
      </c>
      <c r="AU32" s="16">
        <v>934</v>
      </c>
      <c r="AV32" s="16">
        <v>665</v>
      </c>
      <c r="AW32" s="16">
        <v>460</v>
      </c>
      <c r="AX32" s="16">
        <v>154</v>
      </c>
      <c r="AY32" s="16">
        <v>3528</v>
      </c>
      <c r="AZ32" s="16">
        <v>1495</v>
      </c>
      <c r="BA32" s="16">
        <v>42</v>
      </c>
      <c r="BB32" s="16">
        <v>1529</v>
      </c>
      <c r="BC32" s="16">
        <v>296</v>
      </c>
      <c r="BD32" s="16">
        <v>872</v>
      </c>
      <c r="BE32" s="16">
        <v>566</v>
      </c>
      <c r="BF32" s="16">
        <v>474</v>
      </c>
      <c r="BG32" s="16">
        <v>248</v>
      </c>
      <c r="BH32" s="16">
        <v>452</v>
      </c>
      <c r="BI32" s="16">
        <v>1140</v>
      </c>
      <c r="BJ32" s="16">
        <v>607</v>
      </c>
      <c r="BK32" s="16">
        <v>1565</v>
      </c>
      <c r="BL32" s="16">
        <v>3922</v>
      </c>
      <c r="BM32" s="16">
        <v>1301</v>
      </c>
      <c r="BN32" s="16">
        <v>6934</v>
      </c>
      <c r="BO32" s="16">
        <v>1289</v>
      </c>
      <c r="BP32" s="16">
        <v>1162</v>
      </c>
      <c r="BQ32" s="16">
        <v>12</v>
      </c>
      <c r="BR32" s="16">
        <v>0</v>
      </c>
      <c r="BS32" s="16">
        <v>876</v>
      </c>
    </row>
    <row r="33" spans="1:71" s="15" customFormat="1" ht="18.600000000000001" customHeight="1" x14ac:dyDescent="0.25">
      <c r="A33" s="125"/>
      <c r="B33" s="4"/>
      <c r="C33" s="47" t="s">
        <v>76</v>
      </c>
      <c r="D33" s="235"/>
      <c r="E33" s="16">
        <f t="shared" si="0"/>
        <v>130</v>
      </c>
      <c r="F33" s="26">
        <v>0</v>
      </c>
      <c r="G33" s="26">
        <v>0</v>
      </c>
      <c r="H33" s="26">
        <v>1</v>
      </c>
      <c r="I33" s="26">
        <v>0</v>
      </c>
      <c r="J33" s="26">
        <v>0</v>
      </c>
      <c r="K33" s="26">
        <v>1</v>
      </c>
      <c r="L33" s="26">
        <v>2</v>
      </c>
      <c r="M33" s="26">
        <v>4</v>
      </c>
      <c r="N33" s="26">
        <v>0</v>
      </c>
      <c r="O33" s="26">
        <v>2</v>
      </c>
      <c r="P33" s="26">
        <v>1</v>
      </c>
      <c r="Q33" s="26">
        <v>0</v>
      </c>
      <c r="R33" s="26">
        <v>3</v>
      </c>
      <c r="S33" s="26">
        <v>0</v>
      </c>
      <c r="T33" s="26">
        <v>0</v>
      </c>
      <c r="U33" s="26">
        <v>2</v>
      </c>
      <c r="V33" s="26">
        <v>7</v>
      </c>
      <c r="W33" s="26">
        <v>0</v>
      </c>
      <c r="X33" s="26">
        <v>0</v>
      </c>
      <c r="Y33" s="26">
        <v>0</v>
      </c>
      <c r="Z33" s="26">
        <v>0</v>
      </c>
      <c r="AA33" s="26">
        <v>0</v>
      </c>
      <c r="AB33" s="26">
        <v>2</v>
      </c>
      <c r="AC33" s="26">
        <v>1</v>
      </c>
      <c r="AD33" s="26">
        <v>10</v>
      </c>
      <c r="AE33" s="26">
        <v>5</v>
      </c>
      <c r="AF33" s="26">
        <v>0</v>
      </c>
      <c r="AG33" s="26">
        <v>30</v>
      </c>
      <c r="AH33" s="26">
        <v>0</v>
      </c>
      <c r="AI33" s="26">
        <v>0</v>
      </c>
      <c r="AJ33" s="26">
        <v>1</v>
      </c>
      <c r="AK33" s="125"/>
      <c r="AL33" s="4"/>
      <c r="AM33" s="47" t="s">
        <v>76</v>
      </c>
      <c r="AN33" s="235"/>
      <c r="AO33" s="16">
        <v>0</v>
      </c>
      <c r="AP33" s="16">
        <v>0</v>
      </c>
      <c r="AQ33" s="16">
        <v>11</v>
      </c>
      <c r="AR33" s="16">
        <v>0</v>
      </c>
      <c r="AS33" s="16">
        <v>0</v>
      </c>
      <c r="AT33" s="16">
        <v>0</v>
      </c>
      <c r="AU33" s="16">
        <v>0</v>
      </c>
      <c r="AV33" s="16">
        <v>0</v>
      </c>
      <c r="AW33" s="16">
        <v>3</v>
      </c>
      <c r="AX33" s="16">
        <v>0</v>
      </c>
      <c r="AY33" s="16">
        <v>18</v>
      </c>
      <c r="AZ33" s="16">
        <v>4</v>
      </c>
      <c r="BA33" s="16">
        <v>0</v>
      </c>
      <c r="BB33" s="16">
        <v>0</v>
      </c>
      <c r="BC33" s="16">
        <v>0</v>
      </c>
      <c r="BD33" s="16">
        <v>0</v>
      </c>
      <c r="BE33" s="16">
        <v>0</v>
      </c>
      <c r="BF33" s="16">
        <v>5</v>
      </c>
      <c r="BG33" s="16">
        <v>0</v>
      </c>
      <c r="BH33" s="16">
        <v>0</v>
      </c>
      <c r="BI33" s="16">
        <v>0</v>
      </c>
      <c r="BJ33" s="16">
        <v>0</v>
      </c>
      <c r="BK33" s="16">
        <v>6</v>
      </c>
      <c r="BL33" s="16">
        <v>11</v>
      </c>
      <c r="BM33" s="16">
        <v>0</v>
      </c>
      <c r="BN33" s="16">
        <v>0</v>
      </c>
      <c r="BO33" s="16">
        <v>0</v>
      </c>
      <c r="BP33" s="16">
        <v>0</v>
      </c>
      <c r="BQ33" s="16">
        <v>0</v>
      </c>
      <c r="BR33" s="16">
        <v>0</v>
      </c>
      <c r="BS33" s="16">
        <v>0</v>
      </c>
    </row>
    <row r="34" spans="1:71" s="15" customFormat="1" ht="18.600000000000001" customHeight="1" x14ac:dyDescent="0.25">
      <c r="A34" s="125" t="s">
        <v>85</v>
      </c>
      <c r="B34" s="5"/>
      <c r="C34" s="47" t="s">
        <v>75</v>
      </c>
      <c r="D34" s="235"/>
      <c r="E34" s="16">
        <f t="shared" si="0"/>
        <v>5149</v>
      </c>
      <c r="F34" s="16">
        <v>5</v>
      </c>
      <c r="G34" s="16">
        <v>0</v>
      </c>
      <c r="H34" s="16">
        <v>0</v>
      </c>
      <c r="I34" s="16">
        <v>1</v>
      </c>
      <c r="J34" s="16">
        <v>2</v>
      </c>
      <c r="K34" s="16">
        <v>7</v>
      </c>
      <c r="L34" s="26">
        <v>924</v>
      </c>
      <c r="M34" s="26">
        <v>520</v>
      </c>
      <c r="N34" s="26">
        <v>16</v>
      </c>
      <c r="O34" s="26">
        <v>327</v>
      </c>
      <c r="P34" s="26">
        <v>20</v>
      </c>
      <c r="Q34" s="26">
        <v>0</v>
      </c>
      <c r="R34" s="26">
        <v>140</v>
      </c>
      <c r="S34" s="26">
        <v>65</v>
      </c>
      <c r="T34" s="26">
        <v>7</v>
      </c>
      <c r="U34" s="26">
        <v>21</v>
      </c>
      <c r="V34" s="26">
        <v>139</v>
      </c>
      <c r="W34" s="26">
        <v>3</v>
      </c>
      <c r="X34" s="26">
        <v>17</v>
      </c>
      <c r="Y34" s="26">
        <v>54</v>
      </c>
      <c r="Z34" s="26">
        <v>45</v>
      </c>
      <c r="AA34" s="26">
        <v>26</v>
      </c>
      <c r="AB34" s="26">
        <v>26</v>
      </c>
      <c r="AC34" s="26">
        <v>61</v>
      </c>
      <c r="AD34" s="26">
        <v>317</v>
      </c>
      <c r="AE34" s="26">
        <v>307</v>
      </c>
      <c r="AF34" s="26">
        <v>3</v>
      </c>
      <c r="AG34" s="26">
        <v>538</v>
      </c>
      <c r="AH34" s="26">
        <v>2</v>
      </c>
      <c r="AI34" s="26">
        <v>0</v>
      </c>
      <c r="AJ34" s="26">
        <v>60</v>
      </c>
      <c r="AK34" s="125" t="s">
        <v>85</v>
      </c>
      <c r="AL34" s="5"/>
      <c r="AM34" s="47" t="s">
        <v>75</v>
      </c>
      <c r="AN34" s="235"/>
      <c r="AO34" s="16">
        <v>7</v>
      </c>
      <c r="AP34" s="16">
        <v>9</v>
      </c>
      <c r="AQ34" s="16">
        <v>103</v>
      </c>
      <c r="AR34" s="16">
        <v>40</v>
      </c>
      <c r="AS34" s="16">
        <v>0</v>
      </c>
      <c r="AT34" s="16">
        <v>0</v>
      </c>
      <c r="AU34" s="16">
        <v>0</v>
      </c>
      <c r="AV34" s="16">
        <v>3</v>
      </c>
      <c r="AW34" s="16">
        <v>27</v>
      </c>
      <c r="AX34" s="16">
        <v>4</v>
      </c>
      <c r="AY34" s="16">
        <v>148</v>
      </c>
      <c r="AZ34" s="16">
        <v>161</v>
      </c>
      <c r="BA34" s="16">
        <v>5</v>
      </c>
      <c r="BB34" s="16">
        <v>15</v>
      </c>
      <c r="BC34" s="16">
        <v>0</v>
      </c>
      <c r="BD34" s="16">
        <v>42</v>
      </c>
      <c r="BE34" s="16">
        <v>42</v>
      </c>
      <c r="BF34" s="16">
        <v>24</v>
      </c>
      <c r="BG34" s="16">
        <v>4</v>
      </c>
      <c r="BH34" s="16">
        <v>10</v>
      </c>
      <c r="BI34" s="16">
        <v>16</v>
      </c>
      <c r="BJ34" s="16">
        <v>31</v>
      </c>
      <c r="BK34" s="16">
        <v>42</v>
      </c>
      <c r="BL34" s="16">
        <v>10</v>
      </c>
      <c r="BM34" s="16">
        <v>4</v>
      </c>
      <c r="BN34" s="16">
        <v>411</v>
      </c>
      <c r="BO34" s="16">
        <v>230</v>
      </c>
      <c r="BP34" s="16">
        <v>98</v>
      </c>
      <c r="BQ34" s="16">
        <v>0</v>
      </c>
      <c r="BR34" s="16">
        <v>0</v>
      </c>
      <c r="BS34" s="16">
        <v>10</v>
      </c>
    </row>
    <row r="35" spans="1:71" s="15" customFormat="1" ht="18.600000000000001" customHeight="1" x14ac:dyDescent="0.25">
      <c r="A35" s="125"/>
      <c r="B35" s="5"/>
      <c r="C35" s="47" t="s">
        <v>76</v>
      </c>
      <c r="D35" s="235"/>
      <c r="E35" s="16">
        <f t="shared" si="0"/>
        <v>44</v>
      </c>
      <c r="F35" s="26">
        <v>0</v>
      </c>
      <c r="G35" s="26">
        <v>0</v>
      </c>
      <c r="H35" s="26">
        <v>0</v>
      </c>
      <c r="I35" s="26">
        <v>0</v>
      </c>
      <c r="J35" s="26">
        <v>0</v>
      </c>
      <c r="K35" s="26">
        <v>0</v>
      </c>
      <c r="L35" s="26">
        <v>1</v>
      </c>
      <c r="M35" s="26">
        <v>0</v>
      </c>
      <c r="N35" s="26">
        <v>0</v>
      </c>
      <c r="O35" s="26">
        <v>0</v>
      </c>
      <c r="P35" s="26">
        <v>1</v>
      </c>
      <c r="Q35" s="26">
        <v>0</v>
      </c>
      <c r="R35" s="26">
        <v>1</v>
      </c>
      <c r="S35" s="26">
        <v>0</v>
      </c>
      <c r="T35" s="26">
        <v>0</v>
      </c>
      <c r="U35" s="26">
        <v>1</v>
      </c>
      <c r="V35" s="26">
        <v>0</v>
      </c>
      <c r="W35" s="26">
        <v>0</v>
      </c>
      <c r="X35" s="26">
        <v>0</v>
      </c>
      <c r="Y35" s="26">
        <v>0</v>
      </c>
      <c r="Z35" s="26">
        <v>0</v>
      </c>
      <c r="AA35" s="26">
        <v>0</v>
      </c>
      <c r="AB35" s="26">
        <v>0</v>
      </c>
      <c r="AC35" s="26">
        <v>0</v>
      </c>
      <c r="AD35" s="26">
        <v>2</v>
      </c>
      <c r="AE35" s="26">
        <v>0</v>
      </c>
      <c r="AF35" s="26">
        <v>0</v>
      </c>
      <c r="AG35" s="26">
        <v>10</v>
      </c>
      <c r="AH35" s="26">
        <v>0</v>
      </c>
      <c r="AI35" s="26">
        <v>0</v>
      </c>
      <c r="AJ35" s="26">
        <v>0</v>
      </c>
      <c r="AK35" s="125"/>
      <c r="AL35" s="5"/>
      <c r="AM35" s="47" t="s">
        <v>76</v>
      </c>
      <c r="AN35" s="235"/>
      <c r="AO35" s="16">
        <v>0</v>
      </c>
      <c r="AP35" s="16">
        <v>0</v>
      </c>
      <c r="AQ35" s="16">
        <v>0</v>
      </c>
      <c r="AR35" s="16">
        <v>0</v>
      </c>
      <c r="AS35" s="16">
        <v>0</v>
      </c>
      <c r="AT35" s="16">
        <v>0</v>
      </c>
      <c r="AU35" s="16">
        <v>0</v>
      </c>
      <c r="AV35" s="16">
        <v>0</v>
      </c>
      <c r="AW35" s="16">
        <v>2</v>
      </c>
      <c r="AX35" s="16">
        <v>0</v>
      </c>
      <c r="AY35" s="16">
        <v>13</v>
      </c>
      <c r="AZ35" s="16">
        <v>12</v>
      </c>
      <c r="BA35" s="16">
        <v>0</v>
      </c>
      <c r="BB35" s="16">
        <v>0</v>
      </c>
      <c r="BC35" s="16">
        <v>0</v>
      </c>
      <c r="BD35" s="16">
        <v>0</v>
      </c>
      <c r="BE35" s="16">
        <v>0</v>
      </c>
      <c r="BF35" s="16">
        <v>0</v>
      </c>
      <c r="BG35" s="16">
        <v>0</v>
      </c>
      <c r="BH35" s="16">
        <v>0</v>
      </c>
      <c r="BI35" s="16">
        <v>0</v>
      </c>
      <c r="BJ35" s="16">
        <v>0</v>
      </c>
      <c r="BK35" s="16">
        <v>1</v>
      </c>
      <c r="BL35" s="16">
        <v>0</v>
      </c>
      <c r="BM35" s="16">
        <v>0</v>
      </c>
      <c r="BN35" s="16">
        <v>0</v>
      </c>
      <c r="BO35" s="16">
        <v>0</v>
      </c>
      <c r="BP35" s="16">
        <v>0</v>
      </c>
      <c r="BQ35" s="16">
        <v>0</v>
      </c>
      <c r="BR35" s="16">
        <v>0</v>
      </c>
      <c r="BS35" s="16">
        <v>0</v>
      </c>
    </row>
    <row r="36" spans="1:71" s="15" customFormat="1" ht="18.600000000000001" customHeight="1" x14ac:dyDescent="0.25">
      <c r="A36" s="125" t="s">
        <v>86</v>
      </c>
      <c r="B36" s="4"/>
      <c r="C36" s="47" t="s">
        <v>75</v>
      </c>
      <c r="D36" s="235"/>
      <c r="E36" s="16">
        <f t="shared" si="0"/>
        <v>7806</v>
      </c>
      <c r="F36" s="16">
        <v>19</v>
      </c>
      <c r="G36" s="16">
        <v>6</v>
      </c>
      <c r="H36" s="16">
        <v>0</v>
      </c>
      <c r="I36" s="16">
        <v>0</v>
      </c>
      <c r="J36" s="16">
        <v>10</v>
      </c>
      <c r="K36" s="16">
        <v>22</v>
      </c>
      <c r="L36" s="26">
        <v>1467</v>
      </c>
      <c r="M36" s="26">
        <v>428</v>
      </c>
      <c r="N36" s="26">
        <v>7</v>
      </c>
      <c r="O36" s="26">
        <v>400</v>
      </c>
      <c r="P36" s="26">
        <v>16</v>
      </c>
      <c r="Q36" s="26">
        <v>0</v>
      </c>
      <c r="R36" s="26">
        <v>70</v>
      </c>
      <c r="S36" s="26">
        <v>74</v>
      </c>
      <c r="T36" s="26">
        <v>4</v>
      </c>
      <c r="U36" s="26">
        <v>54</v>
      </c>
      <c r="V36" s="26">
        <v>346</v>
      </c>
      <c r="W36" s="26">
        <v>0</v>
      </c>
      <c r="X36" s="26">
        <v>11</v>
      </c>
      <c r="Y36" s="26">
        <v>30</v>
      </c>
      <c r="Z36" s="26">
        <v>97</v>
      </c>
      <c r="AA36" s="26">
        <v>29</v>
      </c>
      <c r="AB36" s="26">
        <v>73</v>
      </c>
      <c r="AC36" s="26">
        <v>41</v>
      </c>
      <c r="AD36" s="26">
        <v>545</v>
      </c>
      <c r="AE36" s="26">
        <v>137</v>
      </c>
      <c r="AF36" s="26">
        <v>2</v>
      </c>
      <c r="AG36" s="26">
        <v>379</v>
      </c>
      <c r="AH36" s="26">
        <v>12</v>
      </c>
      <c r="AI36" s="26">
        <v>0</v>
      </c>
      <c r="AJ36" s="26">
        <v>59</v>
      </c>
      <c r="AK36" s="125" t="s">
        <v>86</v>
      </c>
      <c r="AL36" s="4"/>
      <c r="AM36" s="47" t="s">
        <v>75</v>
      </c>
      <c r="AN36" s="235"/>
      <c r="AO36" s="16">
        <v>2</v>
      </c>
      <c r="AP36" s="16">
        <v>36</v>
      </c>
      <c r="AQ36" s="16">
        <v>135</v>
      </c>
      <c r="AR36" s="16">
        <v>10</v>
      </c>
      <c r="AS36" s="16">
        <v>0</v>
      </c>
      <c r="AT36" s="16">
        <v>0</v>
      </c>
      <c r="AU36" s="16">
        <v>2</v>
      </c>
      <c r="AV36" s="16">
        <v>2</v>
      </c>
      <c r="AW36" s="16">
        <v>58</v>
      </c>
      <c r="AX36" s="16">
        <v>9</v>
      </c>
      <c r="AY36" s="16">
        <v>400</v>
      </c>
      <c r="AZ36" s="16">
        <v>842</v>
      </c>
      <c r="BA36" s="16">
        <v>2</v>
      </c>
      <c r="BB36" s="16">
        <v>45</v>
      </c>
      <c r="BC36" s="16">
        <v>8</v>
      </c>
      <c r="BD36" s="16">
        <v>237</v>
      </c>
      <c r="BE36" s="16">
        <v>41</v>
      </c>
      <c r="BF36" s="16">
        <v>14</v>
      </c>
      <c r="BG36" s="16">
        <v>4</v>
      </c>
      <c r="BH36" s="16">
        <v>12</v>
      </c>
      <c r="BI36" s="16">
        <v>49</v>
      </c>
      <c r="BJ36" s="16">
        <v>48</v>
      </c>
      <c r="BK36" s="16">
        <v>26</v>
      </c>
      <c r="BL36" s="16">
        <v>16</v>
      </c>
      <c r="BM36" s="16">
        <v>83</v>
      </c>
      <c r="BN36" s="16">
        <v>881</v>
      </c>
      <c r="BO36" s="16">
        <v>342</v>
      </c>
      <c r="BP36" s="16">
        <v>131</v>
      </c>
      <c r="BQ36" s="16">
        <v>0</v>
      </c>
      <c r="BR36" s="16">
        <v>0</v>
      </c>
      <c r="BS36" s="16">
        <v>33</v>
      </c>
    </row>
    <row r="37" spans="1:71" s="15" customFormat="1" ht="18.600000000000001" customHeight="1" x14ac:dyDescent="0.25">
      <c r="A37" s="125"/>
      <c r="B37" s="4"/>
      <c r="C37" s="47" t="s">
        <v>76</v>
      </c>
      <c r="D37" s="235"/>
      <c r="E37" s="16">
        <f t="shared" si="0"/>
        <v>21</v>
      </c>
      <c r="F37" s="26">
        <v>0</v>
      </c>
      <c r="G37" s="26">
        <v>0</v>
      </c>
      <c r="H37" s="26">
        <v>0</v>
      </c>
      <c r="I37" s="26">
        <v>0</v>
      </c>
      <c r="J37" s="26">
        <v>0</v>
      </c>
      <c r="K37" s="26">
        <v>0</v>
      </c>
      <c r="L37" s="26">
        <v>0</v>
      </c>
      <c r="M37" s="26">
        <v>1</v>
      </c>
      <c r="N37" s="26">
        <v>0</v>
      </c>
      <c r="O37" s="26">
        <v>0</v>
      </c>
      <c r="P37" s="26">
        <v>0</v>
      </c>
      <c r="Q37" s="26">
        <v>0</v>
      </c>
      <c r="R37" s="26">
        <v>0</v>
      </c>
      <c r="S37" s="26">
        <v>0</v>
      </c>
      <c r="T37" s="26">
        <v>0</v>
      </c>
      <c r="U37" s="26">
        <v>1</v>
      </c>
      <c r="V37" s="26">
        <v>0</v>
      </c>
      <c r="W37" s="26">
        <v>0</v>
      </c>
      <c r="X37" s="26">
        <v>0</v>
      </c>
      <c r="Y37" s="26">
        <v>0</v>
      </c>
      <c r="Z37" s="26">
        <v>0</v>
      </c>
      <c r="AA37" s="26">
        <v>1</v>
      </c>
      <c r="AB37" s="26">
        <v>1</v>
      </c>
      <c r="AC37" s="26">
        <v>0</v>
      </c>
      <c r="AD37" s="26">
        <v>0</v>
      </c>
      <c r="AE37" s="26">
        <v>0</v>
      </c>
      <c r="AF37" s="26">
        <v>0</v>
      </c>
      <c r="AG37" s="26">
        <v>0</v>
      </c>
      <c r="AH37" s="26">
        <v>0</v>
      </c>
      <c r="AI37" s="26">
        <v>0</v>
      </c>
      <c r="AJ37" s="26">
        <v>0</v>
      </c>
      <c r="AK37" s="125"/>
      <c r="AL37" s="4"/>
      <c r="AM37" s="47" t="s">
        <v>76</v>
      </c>
      <c r="AN37" s="235"/>
      <c r="AO37" s="16">
        <v>0</v>
      </c>
      <c r="AP37" s="16">
        <v>0</v>
      </c>
      <c r="AQ37" s="16">
        <v>4</v>
      </c>
      <c r="AR37" s="16">
        <v>0</v>
      </c>
      <c r="AS37" s="16">
        <v>0</v>
      </c>
      <c r="AT37" s="16">
        <v>0</v>
      </c>
      <c r="AU37" s="16">
        <v>0</v>
      </c>
      <c r="AV37" s="16">
        <v>0</v>
      </c>
      <c r="AW37" s="16">
        <v>4</v>
      </c>
      <c r="AX37" s="16">
        <v>0</v>
      </c>
      <c r="AY37" s="16">
        <v>3</v>
      </c>
      <c r="AZ37" s="16">
        <v>3</v>
      </c>
      <c r="BA37" s="16">
        <v>0</v>
      </c>
      <c r="BB37" s="16">
        <v>0</v>
      </c>
      <c r="BC37" s="16">
        <v>0</v>
      </c>
      <c r="BD37" s="16">
        <v>0</v>
      </c>
      <c r="BE37" s="16">
        <v>0</v>
      </c>
      <c r="BF37" s="16">
        <v>0</v>
      </c>
      <c r="BG37" s="16">
        <v>0</v>
      </c>
      <c r="BH37" s="16">
        <v>0</v>
      </c>
      <c r="BI37" s="16">
        <v>0</v>
      </c>
      <c r="BJ37" s="16">
        <v>1</v>
      </c>
      <c r="BK37" s="16">
        <v>1</v>
      </c>
      <c r="BL37" s="16">
        <v>1</v>
      </c>
      <c r="BM37" s="16">
        <v>0</v>
      </c>
      <c r="BN37" s="16">
        <v>0</v>
      </c>
      <c r="BO37" s="16">
        <v>0</v>
      </c>
      <c r="BP37" s="16">
        <v>0</v>
      </c>
      <c r="BQ37" s="16">
        <v>0</v>
      </c>
      <c r="BR37" s="16">
        <v>0</v>
      </c>
      <c r="BS37" s="16">
        <v>0</v>
      </c>
    </row>
    <row r="38" spans="1:71" s="15" customFormat="1" ht="18.600000000000001" customHeight="1" x14ac:dyDescent="0.25">
      <c r="A38" s="125" t="s">
        <v>87</v>
      </c>
      <c r="B38" s="4"/>
      <c r="C38" s="47" t="s">
        <v>75</v>
      </c>
      <c r="D38" s="235"/>
      <c r="E38" s="16">
        <f t="shared" si="0"/>
        <v>9228</v>
      </c>
      <c r="F38" s="16">
        <v>33</v>
      </c>
      <c r="G38" s="16">
        <v>2</v>
      </c>
      <c r="H38" s="16">
        <v>3</v>
      </c>
      <c r="I38" s="16">
        <v>0</v>
      </c>
      <c r="J38" s="16">
        <v>17</v>
      </c>
      <c r="K38" s="16">
        <v>3</v>
      </c>
      <c r="L38" s="26">
        <v>1211</v>
      </c>
      <c r="M38" s="26">
        <v>996</v>
      </c>
      <c r="N38" s="26">
        <v>83</v>
      </c>
      <c r="O38" s="26">
        <v>586</v>
      </c>
      <c r="P38" s="26">
        <v>25</v>
      </c>
      <c r="Q38" s="26">
        <v>0</v>
      </c>
      <c r="R38" s="26">
        <v>107</v>
      </c>
      <c r="S38" s="26">
        <v>106</v>
      </c>
      <c r="T38" s="26">
        <v>23</v>
      </c>
      <c r="U38" s="26">
        <v>23</v>
      </c>
      <c r="V38" s="26">
        <v>239</v>
      </c>
      <c r="W38" s="26">
        <v>2</v>
      </c>
      <c r="X38" s="26">
        <v>8</v>
      </c>
      <c r="Y38" s="26">
        <v>82</v>
      </c>
      <c r="Z38" s="26">
        <v>358</v>
      </c>
      <c r="AA38" s="26">
        <v>93</v>
      </c>
      <c r="AB38" s="26">
        <v>38</v>
      </c>
      <c r="AC38" s="26">
        <v>94</v>
      </c>
      <c r="AD38" s="26">
        <v>923</v>
      </c>
      <c r="AE38" s="26">
        <v>329</v>
      </c>
      <c r="AF38" s="26">
        <v>3</v>
      </c>
      <c r="AG38" s="26">
        <v>366</v>
      </c>
      <c r="AH38" s="26">
        <v>17</v>
      </c>
      <c r="AI38" s="26">
        <v>2</v>
      </c>
      <c r="AJ38" s="26">
        <v>94</v>
      </c>
      <c r="AK38" s="125" t="s">
        <v>87</v>
      </c>
      <c r="AL38" s="4"/>
      <c r="AM38" s="47" t="s">
        <v>75</v>
      </c>
      <c r="AN38" s="235"/>
      <c r="AO38" s="16">
        <v>7</v>
      </c>
      <c r="AP38" s="16">
        <v>5</v>
      </c>
      <c r="AQ38" s="16">
        <v>263</v>
      </c>
      <c r="AR38" s="16">
        <v>51</v>
      </c>
      <c r="AS38" s="16">
        <v>1</v>
      </c>
      <c r="AT38" s="16">
        <v>0</v>
      </c>
      <c r="AU38" s="16">
        <v>2</v>
      </c>
      <c r="AV38" s="16">
        <v>55</v>
      </c>
      <c r="AW38" s="16">
        <v>120</v>
      </c>
      <c r="AX38" s="16">
        <v>40</v>
      </c>
      <c r="AY38" s="16">
        <v>711</v>
      </c>
      <c r="AZ38" s="16">
        <v>263</v>
      </c>
      <c r="BA38" s="16">
        <v>6</v>
      </c>
      <c r="BB38" s="16">
        <v>65</v>
      </c>
      <c r="BC38" s="16">
        <v>5</v>
      </c>
      <c r="BD38" s="16">
        <v>1</v>
      </c>
      <c r="BE38" s="16">
        <v>1</v>
      </c>
      <c r="BF38" s="16">
        <v>21</v>
      </c>
      <c r="BG38" s="16">
        <v>5</v>
      </c>
      <c r="BH38" s="16">
        <v>19</v>
      </c>
      <c r="BI38" s="16">
        <v>54</v>
      </c>
      <c r="BJ38" s="16">
        <v>61</v>
      </c>
      <c r="BK38" s="16">
        <v>41</v>
      </c>
      <c r="BL38" s="16">
        <v>0</v>
      </c>
      <c r="BM38" s="16">
        <v>10</v>
      </c>
      <c r="BN38" s="16">
        <v>813</v>
      </c>
      <c r="BO38" s="16">
        <v>548</v>
      </c>
      <c r="BP38" s="16">
        <v>182</v>
      </c>
      <c r="BQ38" s="16">
        <v>0</v>
      </c>
      <c r="BR38" s="16">
        <v>0</v>
      </c>
      <c r="BS38" s="16">
        <v>12</v>
      </c>
    </row>
    <row r="39" spans="1:71" s="15" customFormat="1" ht="18.600000000000001" customHeight="1" x14ac:dyDescent="0.25">
      <c r="A39" s="125"/>
      <c r="B39" s="4"/>
      <c r="C39" s="47" t="s">
        <v>76</v>
      </c>
      <c r="D39" s="235"/>
      <c r="E39" s="16">
        <f t="shared" si="0"/>
        <v>29</v>
      </c>
      <c r="F39" s="26">
        <v>0</v>
      </c>
      <c r="G39" s="26">
        <v>0</v>
      </c>
      <c r="H39" s="26">
        <v>0</v>
      </c>
      <c r="I39" s="26">
        <v>0</v>
      </c>
      <c r="J39" s="26">
        <v>0</v>
      </c>
      <c r="K39" s="26">
        <v>0</v>
      </c>
      <c r="L39" s="26">
        <v>0</v>
      </c>
      <c r="M39" s="26">
        <v>0</v>
      </c>
      <c r="N39" s="26">
        <v>0</v>
      </c>
      <c r="O39" s="26">
        <v>0</v>
      </c>
      <c r="P39" s="26">
        <v>0</v>
      </c>
      <c r="Q39" s="26">
        <v>0</v>
      </c>
      <c r="R39" s="26">
        <v>0</v>
      </c>
      <c r="S39" s="26">
        <v>1</v>
      </c>
      <c r="T39" s="26">
        <v>0</v>
      </c>
      <c r="U39" s="26">
        <v>1</v>
      </c>
      <c r="V39" s="26">
        <v>0</v>
      </c>
      <c r="W39" s="26">
        <v>0</v>
      </c>
      <c r="X39" s="26">
        <v>0</v>
      </c>
      <c r="Y39" s="26">
        <v>0</v>
      </c>
      <c r="Z39" s="26">
        <v>0</v>
      </c>
      <c r="AA39" s="26">
        <v>0</v>
      </c>
      <c r="AB39" s="26">
        <v>0</v>
      </c>
      <c r="AC39" s="26">
        <v>0</v>
      </c>
      <c r="AD39" s="26">
        <v>0</v>
      </c>
      <c r="AE39" s="26">
        <v>0</v>
      </c>
      <c r="AF39" s="26">
        <v>0</v>
      </c>
      <c r="AG39" s="26">
        <v>8</v>
      </c>
      <c r="AH39" s="26">
        <v>0</v>
      </c>
      <c r="AI39" s="26">
        <v>0</v>
      </c>
      <c r="AJ39" s="26">
        <v>1</v>
      </c>
      <c r="AK39" s="125"/>
      <c r="AL39" s="4"/>
      <c r="AM39" s="47" t="s">
        <v>76</v>
      </c>
      <c r="AN39" s="235"/>
      <c r="AO39" s="16">
        <v>0</v>
      </c>
      <c r="AP39" s="16">
        <v>0</v>
      </c>
      <c r="AQ39" s="16">
        <v>2</v>
      </c>
      <c r="AR39" s="16">
        <v>0</v>
      </c>
      <c r="AS39" s="16">
        <v>0</v>
      </c>
      <c r="AT39" s="16">
        <v>0</v>
      </c>
      <c r="AU39" s="16">
        <v>0</v>
      </c>
      <c r="AV39" s="16">
        <v>0</v>
      </c>
      <c r="AW39" s="16">
        <v>1</v>
      </c>
      <c r="AX39" s="16">
        <v>0</v>
      </c>
      <c r="AY39" s="16">
        <v>3</v>
      </c>
      <c r="AZ39" s="16">
        <v>2</v>
      </c>
      <c r="BA39" s="16">
        <v>0</v>
      </c>
      <c r="BB39" s="16">
        <v>1</v>
      </c>
      <c r="BC39" s="16">
        <v>0</v>
      </c>
      <c r="BD39" s="16">
        <v>0</v>
      </c>
      <c r="BE39" s="16">
        <v>0</v>
      </c>
      <c r="BF39" s="16">
        <v>0</v>
      </c>
      <c r="BG39" s="16">
        <v>0</v>
      </c>
      <c r="BH39" s="16">
        <v>1</v>
      </c>
      <c r="BI39" s="16">
        <v>2</v>
      </c>
      <c r="BJ39" s="16">
        <v>0</v>
      </c>
      <c r="BK39" s="16">
        <v>0</v>
      </c>
      <c r="BL39" s="16">
        <v>0</v>
      </c>
      <c r="BM39" s="16">
        <v>3</v>
      </c>
      <c r="BN39" s="16">
        <v>0</v>
      </c>
      <c r="BO39" s="16">
        <v>0</v>
      </c>
      <c r="BP39" s="16">
        <v>0</v>
      </c>
      <c r="BQ39" s="16">
        <v>0</v>
      </c>
      <c r="BR39" s="16">
        <v>0</v>
      </c>
      <c r="BS39" s="16">
        <v>3</v>
      </c>
    </row>
    <row r="40" spans="1:71" s="15" customFormat="1" ht="18.600000000000001" customHeight="1" x14ac:dyDescent="0.25">
      <c r="A40" s="125" t="s">
        <v>88</v>
      </c>
      <c r="B40" s="5"/>
      <c r="C40" s="47" t="s">
        <v>75</v>
      </c>
      <c r="D40" s="235"/>
      <c r="E40" s="16">
        <f t="shared" si="0"/>
        <v>6736</v>
      </c>
      <c r="F40" s="16">
        <v>35</v>
      </c>
      <c r="G40" s="16">
        <v>2</v>
      </c>
      <c r="H40" s="16">
        <v>0</v>
      </c>
      <c r="I40" s="16">
        <v>0</v>
      </c>
      <c r="J40" s="16">
        <v>4</v>
      </c>
      <c r="K40" s="16">
        <v>10</v>
      </c>
      <c r="L40" s="26">
        <v>1181</v>
      </c>
      <c r="M40" s="26">
        <v>546</v>
      </c>
      <c r="N40" s="26">
        <v>34</v>
      </c>
      <c r="O40" s="26">
        <v>427</v>
      </c>
      <c r="P40" s="26">
        <v>21</v>
      </c>
      <c r="Q40" s="26">
        <v>0</v>
      </c>
      <c r="R40" s="26">
        <v>213</v>
      </c>
      <c r="S40" s="26">
        <v>102</v>
      </c>
      <c r="T40" s="26">
        <v>15</v>
      </c>
      <c r="U40" s="26">
        <v>47</v>
      </c>
      <c r="V40" s="26">
        <v>219</v>
      </c>
      <c r="W40" s="26">
        <v>2</v>
      </c>
      <c r="X40" s="26">
        <v>20</v>
      </c>
      <c r="Y40" s="26">
        <v>82</v>
      </c>
      <c r="Z40" s="26">
        <v>36</v>
      </c>
      <c r="AA40" s="26">
        <v>89</v>
      </c>
      <c r="AB40" s="26">
        <v>41</v>
      </c>
      <c r="AC40" s="26">
        <v>47</v>
      </c>
      <c r="AD40" s="26">
        <v>391</v>
      </c>
      <c r="AE40" s="26">
        <v>356</v>
      </c>
      <c r="AF40" s="26">
        <v>3</v>
      </c>
      <c r="AG40" s="26">
        <v>536</v>
      </c>
      <c r="AH40" s="26">
        <v>6</v>
      </c>
      <c r="AI40" s="26">
        <v>0</v>
      </c>
      <c r="AJ40" s="26">
        <v>58</v>
      </c>
      <c r="AK40" s="125" t="s">
        <v>88</v>
      </c>
      <c r="AL40" s="5"/>
      <c r="AM40" s="47" t="s">
        <v>75</v>
      </c>
      <c r="AN40" s="235"/>
      <c r="AO40" s="16">
        <v>0</v>
      </c>
      <c r="AP40" s="16">
        <v>4</v>
      </c>
      <c r="AQ40" s="16">
        <v>116</v>
      </c>
      <c r="AR40" s="16">
        <v>38</v>
      </c>
      <c r="AS40" s="16">
        <v>2</v>
      </c>
      <c r="AT40" s="16">
        <v>0</v>
      </c>
      <c r="AU40" s="16">
        <v>0</v>
      </c>
      <c r="AV40" s="16">
        <v>14</v>
      </c>
      <c r="AW40" s="16">
        <v>91</v>
      </c>
      <c r="AX40" s="16">
        <v>9</v>
      </c>
      <c r="AY40" s="16">
        <v>130</v>
      </c>
      <c r="AZ40" s="16">
        <v>495</v>
      </c>
      <c r="BA40" s="16">
        <v>4</v>
      </c>
      <c r="BB40" s="16">
        <v>9</v>
      </c>
      <c r="BC40" s="16">
        <v>0</v>
      </c>
      <c r="BD40" s="16">
        <v>56</v>
      </c>
      <c r="BE40" s="16">
        <v>30</v>
      </c>
      <c r="BF40" s="16">
        <v>19</v>
      </c>
      <c r="BG40" s="16">
        <v>13</v>
      </c>
      <c r="BH40" s="16">
        <v>4</v>
      </c>
      <c r="BI40" s="16">
        <v>23</v>
      </c>
      <c r="BJ40" s="16">
        <v>58</v>
      </c>
      <c r="BK40" s="16">
        <v>61</v>
      </c>
      <c r="BL40" s="16">
        <v>0</v>
      </c>
      <c r="BM40" s="16">
        <v>3</v>
      </c>
      <c r="BN40" s="16">
        <v>694</v>
      </c>
      <c r="BO40" s="16">
        <v>222</v>
      </c>
      <c r="BP40" s="16">
        <v>91</v>
      </c>
      <c r="BQ40" s="16">
        <v>0</v>
      </c>
      <c r="BR40" s="16">
        <v>0</v>
      </c>
      <c r="BS40" s="16">
        <v>27</v>
      </c>
    </row>
    <row r="41" spans="1:71" s="15" customFormat="1" ht="18.600000000000001" customHeight="1" x14ac:dyDescent="0.25">
      <c r="A41" s="125"/>
      <c r="B41" s="5"/>
      <c r="C41" s="47" t="s">
        <v>76</v>
      </c>
      <c r="D41" s="235"/>
      <c r="E41" s="16">
        <f t="shared" si="0"/>
        <v>48</v>
      </c>
      <c r="F41" s="26">
        <v>0</v>
      </c>
      <c r="G41" s="26">
        <v>0</v>
      </c>
      <c r="H41" s="26">
        <v>0</v>
      </c>
      <c r="I41" s="26">
        <v>0</v>
      </c>
      <c r="J41" s="26">
        <v>0</v>
      </c>
      <c r="K41" s="26">
        <v>0</v>
      </c>
      <c r="L41" s="26">
        <v>1</v>
      </c>
      <c r="M41" s="26">
        <v>1</v>
      </c>
      <c r="N41" s="26">
        <v>0</v>
      </c>
      <c r="O41" s="26">
        <v>0</v>
      </c>
      <c r="P41" s="26">
        <v>0</v>
      </c>
      <c r="Q41" s="26">
        <v>0</v>
      </c>
      <c r="R41" s="26">
        <v>2</v>
      </c>
      <c r="S41" s="26">
        <v>0</v>
      </c>
      <c r="T41" s="26">
        <v>0</v>
      </c>
      <c r="U41" s="26">
        <v>0</v>
      </c>
      <c r="V41" s="26">
        <v>2</v>
      </c>
      <c r="W41" s="26">
        <v>0</v>
      </c>
      <c r="X41" s="26">
        <v>0</v>
      </c>
      <c r="Y41" s="26">
        <v>0</v>
      </c>
      <c r="Z41" s="26">
        <v>0</v>
      </c>
      <c r="AA41" s="26">
        <v>1</v>
      </c>
      <c r="AB41" s="26">
        <v>2</v>
      </c>
      <c r="AC41" s="26">
        <v>0</v>
      </c>
      <c r="AD41" s="26">
        <v>1</v>
      </c>
      <c r="AE41" s="26">
        <v>0</v>
      </c>
      <c r="AF41" s="26">
        <v>0</v>
      </c>
      <c r="AG41" s="26">
        <v>29</v>
      </c>
      <c r="AH41" s="26">
        <v>0</v>
      </c>
      <c r="AI41" s="26">
        <v>0</v>
      </c>
      <c r="AJ41" s="26">
        <v>0</v>
      </c>
      <c r="AK41" s="125"/>
      <c r="AL41" s="5"/>
      <c r="AM41" s="47" t="s">
        <v>76</v>
      </c>
      <c r="AN41" s="235"/>
      <c r="AO41" s="16">
        <v>0</v>
      </c>
      <c r="AP41" s="16">
        <v>0</v>
      </c>
      <c r="AQ41" s="16">
        <v>1</v>
      </c>
      <c r="AR41" s="16">
        <v>0</v>
      </c>
      <c r="AS41" s="16">
        <v>0</v>
      </c>
      <c r="AT41" s="16">
        <v>0</v>
      </c>
      <c r="AU41" s="16">
        <v>0</v>
      </c>
      <c r="AV41" s="16">
        <v>0</v>
      </c>
      <c r="AW41" s="16">
        <v>2</v>
      </c>
      <c r="AX41" s="16">
        <v>0</v>
      </c>
      <c r="AY41" s="16">
        <v>2</v>
      </c>
      <c r="AZ41" s="16">
        <v>2</v>
      </c>
      <c r="BA41" s="16">
        <v>0</v>
      </c>
      <c r="BB41" s="16">
        <v>1</v>
      </c>
      <c r="BC41" s="16">
        <v>0</v>
      </c>
      <c r="BD41" s="16">
        <v>0</v>
      </c>
      <c r="BE41" s="16">
        <v>0</v>
      </c>
      <c r="BF41" s="16">
        <v>0</v>
      </c>
      <c r="BG41" s="16">
        <v>0</v>
      </c>
      <c r="BH41" s="16">
        <v>1</v>
      </c>
      <c r="BI41" s="16">
        <v>0</v>
      </c>
      <c r="BJ41" s="16">
        <v>0</v>
      </c>
      <c r="BK41" s="16">
        <v>0</v>
      </c>
      <c r="BL41" s="16">
        <v>0</v>
      </c>
      <c r="BM41" s="16">
        <v>0</v>
      </c>
      <c r="BN41" s="16">
        <v>0</v>
      </c>
      <c r="BO41" s="16">
        <v>0</v>
      </c>
      <c r="BP41" s="16">
        <v>0</v>
      </c>
      <c r="BQ41" s="16">
        <v>0</v>
      </c>
      <c r="BR41" s="16">
        <v>0</v>
      </c>
      <c r="BS41" s="16">
        <v>0</v>
      </c>
    </row>
    <row r="42" spans="1:71" s="15" customFormat="1" ht="18.600000000000001" customHeight="1" x14ac:dyDescent="0.25">
      <c r="A42" s="125" t="s">
        <v>89</v>
      </c>
      <c r="B42" s="4"/>
      <c r="C42" s="47" t="s">
        <v>75</v>
      </c>
      <c r="D42" s="235"/>
      <c r="E42" s="16">
        <f t="shared" si="0"/>
        <v>5039</v>
      </c>
      <c r="F42" s="16">
        <v>8</v>
      </c>
      <c r="G42" s="16">
        <v>1</v>
      </c>
      <c r="H42" s="16">
        <v>0</v>
      </c>
      <c r="I42" s="16">
        <v>0</v>
      </c>
      <c r="J42" s="16">
        <v>0</v>
      </c>
      <c r="K42" s="16">
        <v>10</v>
      </c>
      <c r="L42" s="26">
        <v>1071</v>
      </c>
      <c r="M42" s="26">
        <v>666</v>
      </c>
      <c r="N42" s="26">
        <v>36</v>
      </c>
      <c r="O42" s="26">
        <v>431</v>
      </c>
      <c r="P42" s="26">
        <v>3</v>
      </c>
      <c r="Q42" s="26">
        <v>0</v>
      </c>
      <c r="R42" s="26">
        <v>66</v>
      </c>
      <c r="S42" s="26">
        <v>81</v>
      </c>
      <c r="T42" s="26">
        <v>5</v>
      </c>
      <c r="U42" s="26">
        <v>46</v>
      </c>
      <c r="V42" s="26">
        <v>120</v>
      </c>
      <c r="W42" s="26">
        <v>10</v>
      </c>
      <c r="X42" s="26">
        <v>22</v>
      </c>
      <c r="Y42" s="26">
        <v>58</v>
      </c>
      <c r="Z42" s="26">
        <v>167</v>
      </c>
      <c r="AA42" s="26">
        <v>98</v>
      </c>
      <c r="AB42" s="26">
        <v>9</v>
      </c>
      <c r="AC42" s="26">
        <v>65</v>
      </c>
      <c r="AD42" s="26">
        <v>389</v>
      </c>
      <c r="AE42" s="26">
        <v>187</v>
      </c>
      <c r="AF42" s="26">
        <v>1</v>
      </c>
      <c r="AG42" s="26">
        <v>311</v>
      </c>
      <c r="AH42" s="26">
        <v>27</v>
      </c>
      <c r="AI42" s="26">
        <v>0</v>
      </c>
      <c r="AJ42" s="26">
        <v>69</v>
      </c>
      <c r="AK42" s="125" t="s">
        <v>89</v>
      </c>
      <c r="AL42" s="4"/>
      <c r="AM42" s="47" t="s">
        <v>75</v>
      </c>
      <c r="AN42" s="235"/>
      <c r="AO42" s="16">
        <v>1</v>
      </c>
      <c r="AP42" s="16">
        <v>1</v>
      </c>
      <c r="AQ42" s="16">
        <v>79</v>
      </c>
      <c r="AR42" s="16">
        <v>18</v>
      </c>
      <c r="AS42" s="16">
        <v>0</v>
      </c>
      <c r="AT42" s="16">
        <v>2</v>
      </c>
      <c r="AU42" s="16">
        <v>0</v>
      </c>
      <c r="AV42" s="16">
        <v>13</v>
      </c>
      <c r="AW42" s="16">
        <v>82</v>
      </c>
      <c r="AX42" s="16">
        <v>9</v>
      </c>
      <c r="AY42" s="16">
        <v>140</v>
      </c>
      <c r="AZ42" s="16">
        <v>43</v>
      </c>
      <c r="BA42" s="16">
        <v>4</v>
      </c>
      <c r="BB42" s="16">
        <v>2</v>
      </c>
      <c r="BC42" s="16">
        <v>0</v>
      </c>
      <c r="BD42" s="16">
        <v>0</v>
      </c>
      <c r="BE42" s="16">
        <v>2</v>
      </c>
      <c r="BF42" s="16">
        <v>29</v>
      </c>
      <c r="BG42" s="16">
        <v>4</v>
      </c>
      <c r="BH42" s="16">
        <v>7</v>
      </c>
      <c r="BI42" s="16">
        <v>10</v>
      </c>
      <c r="BJ42" s="16">
        <v>93</v>
      </c>
      <c r="BK42" s="16">
        <v>74</v>
      </c>
      <c r="BL42" s="16">
        <v>3</v>
      </c>
      <c r="BM42" s="16">
        <v>0</v>
      </c>
      <c r="BN42" s="16">
        <v>124</v>
      </c>
      <c r="BO42" s="16">
        <v>129</v>
      </c>
      <c r="BP42" s="16">
        <v>127</v>
      </c>
      <c r="BQ42" s="16">
        <v>0</v>
      </c>
      <c r="BR42" s="16">
        <v>0</v>
      </c>
      <c r="BS42" s="16">
        <v>86</v>
      </c>
    </row>
    <row r="43" spans="1:71" s="15" customFormat="1" ht="18.600000000000001" customHeight="1" x14ac:dyDescent="0.25">
      <c r="A43" s="125"/>
      <c r="B43" s="4"/>
      <c r="C43" s="47" t="s">
        <v>76</v>
      </c>
      <c r="D43" s="235"/>
      <c r="E43" s="16">
        <f t="shared" si="0"/>
        <v>45</v>
      </c>
      <c r="F43" s="26">
        <v>0</v>
      </c>
      <c r="G43" s="26">
        <v>0</v>
      </c>
      <c r="H43" s="26">
        <v>0</v>
      </c>
      <c r="I43" s="26">
        <v>0</v>
      </c>
      <c r="J43" s="26">
        <v>0</v>
      </c>
      <c r="K43" s="26">
        <v>0</v>
      </c>
      <c r="L43" s="26">
        <v>0</v>
      </c>
      <c r="M43" s="26">
        <v>0</v>
      </c>
      <c r="N43" s="26">
        <v>0</v>
      </c>
      <c r="O43" s="26">
        <v>0</v>
      </c>
      <c r="P43" s="26">
        <v>0</v>
      </c>
      <c r="Q43" s="26">
        <v>0</v>
      </c>
      <c r="R43" s="26">
        <v>3</v>
      </c>
      <c r="S43" s="26">
        <v>0</v>
      </c>
      <c r="T43" s="26">
        <v>0</v>
      </c>
      <c r="U43" s="26">
        <v>0</v>
      </c>
      <c r="V43" s="26">
        <v>0</v>
      </c>
      <c r="W43" s="26">
        <v>0</v>
      </c>
      <c r="X43" s="26">
        <v>0</v>
      </c>
      <c r="Y43" s="26">
        <v>0</v>
      </c>
      <c r="Z43" s="26">
        <v>0</v>
      </c>
      <c r="AA43" s="26">
        <v>0</v>
      </c>
      <c r="AB43" s="26">
        <v>1</v>
      </c>
      <c r="AC43" s="26">
        <v>0</v>
      </c>
      <c r="AD43" s="26">
        <v>2</v>
      </c>
      <c r="AE43" s="26">
        <v>3</v>
      </c>
      <c r="AF43" s="26">
        <v>0</v>
      </c>
      <c r="AG43" s="26">
        <v>9</v>
      </c>
      <c r="AH43" s="26">
        <v>0</v>
      </c>
      <c r="AI43" s="26">
        <v>0</v>
      </c>
      <c r="AJ43" s="26">
        <v>1</v>
      </c>
      <c r="AK43" s="125"/>
      <c r="AL43" s="4"/>
      <c r="AM43" s="47" t="s">
        <v>76</v>
      </c>
      <c r="AN43" s="235"/>
      <c r="AO43" s="16">
        <v>0</v>
      </c>
      <c r="AP43" s="16">
        <v>0</v>
      </c>
      <c r="AQ43" s="16">
        <v>1</v>
      </c>
      <c r="AR43" s="16">
        <v>1</v>
      </c>
      <c r="AS43" s="16">
        <v>0</v>
      </c>
      <c r="AT43" s="16">
        <v>0</v>
      </c>
      <c r="AU43" s="16">
        <v>0</v>
      </c>
      <c r="AV43" s="16">
        <v>0</v>
      </c>
      <c r="AW43" s="16">
        <v>7</v>
      </c>
      <c r="AX43" s="16">
        <v>0</v>
      </c>
      <c r="AY43" s="16">
        <v>8</v>
      </c>
      <c r="AZ43" s="16">
        <v>0</v>
      </c>
      <c r="BA43" s="16">
        <v>0</v>
      </c>
      <c r="BB43" s="16">
        <v>0</v>
      </c>
      <c r="BC43" s="16">
        <v>0</v>
      </c>
      <c r="BD43" s="16">
        <v>0</v>
      </c>
      <c r="BE43" s="16">
        <v>0</v>
      </c>
      <c r="BF43" s="16">
        <v>6</v>
      </c>
      <c r="BG43" s="16">
        <v>0</v>
      </c>
      <c r="BH43" s="16">
        <v>0</v>
      </c>
      <c r="BI43" s="16">
        <v>0</v>
      </c>
      <c r="BJ43" s="16">
        <v>0</v>
      </c>
      <c r="BK43" s="16">
        <v>0</v>
      </c>
      <c r="BL43" s="16">
        <v>0</v>
      </c>
      <c r="BM43" s="16">
        <v>0</v>
      </c>
      <c r="BN43" s="16">
        <v>0</v>
      </c>
      <c r="BO43" s="16">
        <v>3</v>
      </c>
      <c r="BP43" s="16">
        <v>0</v>
      </c>
      <c r="BQ43" s="16">
        <v>0</v>
      </c>
      <c r="BR43" s="16">
        <v>0</v>
      </c>
      <c r="BS43" s="16">
        <v>0</v>
      </c>
    </row>
    <row r="44" spans="1:71" s="15" customFormat="1" ht="18.600000000000001" customHeight="1" x14ac:dyDescent="0.25">
      <c r="A44" s="125" t="s">
        <v>90</v>
      </c>
      <c r="B44" s="4"/>
      <c r="C44" s="47" t="s">
        <v>75</v>
      </c>
      <c r="D44" s="235"/>
      <c r="E44" s="16">
        <f t="shared" si="0"/>
        <v>6302</v>
      </c>
      <c r="F44" s="16">
        <v>36</v>
      </c>
      <c r="G44" s="16">
        <v>0</v>
      </c>
      <c r="H44" s="16">
        <v>0</v>
      </c>
      <c r="I44" s="16">
        <v>0</v>
      </c>
      <c r="J44" s="16">
        <v>0</v>
      </c>
      <c r="K44" s="16">
        <v>24</v>
      </c>
      <c r="L44" s="26">
        <v>2160</v>
      </c>
      <c r="M44" s="26">
        <v>499</v>
      </c>
      <c r="N44" s="26">
        <v>146</v>
      </c>
      <c r="O44" s="26">
        <v>543</v>
      </c>
      <c r="P44" s="26">
        <v>2</v>
      </c>
      <c r="Q44" s="26">
        <v>0</v>
      </c>
      <c r="R44" s="26">
        <v>32</v>
      </c>
      <c r="S44" s="26">
        <v>66</v>
      </c>
      <c r="T44" s="26">
        <v>4</v>
      </c>
      <c r="U44" s="26">
        <v>15</v>
      </c>
      <c r="V44" s="26">
        <v>122</v>
      </c>
      <c r="W44" s="26">
        <v>0</v>
      </c>
      <c r="X44" s="26">
        <v>7</v>
      </c>
      <c r="Y44" s="26">
        <v>14</v>
      </c>
      <c r="Z44" s="26">
        <v>49</v>
      </c>
      <c r="AA44" s="26">
        <v>47</v>
      </c>
      <c r="AB44" s="26">
        <v>31</v>
      </c>
      <c r="AC44" s="26">
        <v>36</v>
      </c>
      <c r="AD44" s="26">
        <v>420</v>
      </c>
      <c r="AE44" s="26">
        <v>270</v>
      </c>
      <c r="AF44" s="26">
        <v>2</v>
      </c>
      <c r="AG44" s="26">
        <v>279</v>
      </c>
      <c r="AH44" s="26">
        <v>1</v>
      </c>
      <c r="AI44" s="26">
        <v>0</v>
      </c>
      <c r="AJ44" s="26">
        <v>57</v>
      </c>
      <c r="AK44" s="125" t="s">
        <v>90</v>
      </c>
      <c r="AL44" s="4"/>
      <c r="AM44" s="47" t="s">
        <v>75</v>
      </c>
      <c r="AN44" s="235"/>
      <c r="AO44" s="16">
        <v>5</v>
      </c>
      <c r="AP44" s="16">
        <v>3</v>
      </c>
      <c r="AQ44" s="16">
        <v>111</v>
      </c>
      <c r="AR44" s="16">
        <v>23</v>
      </c>
      <c r="AS44" s="16">
        <v>0</v>
      </c>
      <c r="AT44" s="16">
        <v>0</v>
      </c>
      <c r="AU44" s="16">
        <v>0</v>
      </c>
      <c r="AV44" s="16">
        <v>11</v>
      </c>
      <c r="AW44" s="16">
        <v>32</v>
      </c>
      <c r="AX44" s="16">
        <v>3</v>
      </c>
      <c r="AY44" s="16">
        <v>381</v>
      </c>
      <c r="AZ44" s="16">
        <v>290</v>
      </c>
      <c r="BA44" s="16">
        <v>1</v>
      </c>
      <c r="BB44" s="16">
        <v>54</v>
      </c>
      <c r="BC44" s="16">
        <v>0</v>
      </c>
      <c r="BD44" s="16">
        <v>0</v>
      </c>
      <c r="BE44" s="16">
        <v>0</v>
      </c>
      <c r="BF44" s="16">
        <v>16</v>
      </c>
      <c r="BG44" s="16">
        <v>3</v>
      </c>
      <c r="BH44" s="16">
        <v>0</v>
      </c>
      <c r="BI44" s="16">
        <v>48</v>
      </c>
      <c r="BJ44" s="16">
        <v>37</v>
      </c>
      <c r="BK44" s="16">
        <v>102</v>
      </c>
      <c r="BL44" s="16">
        <v>2</v>
      </c>
      <c r="BM44" s="16">
        <v>1</v>
      </c>
      <c r="BN44" s="16">
        <v>201</v>
      </c>
      <c r="BO44" s="16">
        <v>33</v>
      </c>
      <c r="BP44" s="16">
        <v>61</v>
      </c>
      <c r="BQ44" s="16">
        <v>0</v>
      </c>
      <c r="BR44" s="16">
        <v>0</v>
      </c>
      <c r="BS44" s="16">
        <v>22</v>
      </c>
    </row>
    <row r="45" spans="1:71" s="15" customFormat="1" ht="18.600000000000001" customHeight="1" x14ac:dyDescent="0.25">
      <c r="A45" s="125"/>
      <c r="B45" s="4"/>
      <c r="C45" s="47" t="s">
        <v>76</v>
      </c>
      <c r="D45" s="235"/>
      <c r="E45" s="16">
        <f t="shared" si="0"/>
        <v>53</v>
      </c>
      <c r="F45" s="26">
        <v>0</v>
      </c>
      <c r="G45" s="26">
        <v>0</v>
      </c>
      <c r="H45" s="26">
        <v>0</v>
      </c>
      <c r="I45" s="26">
        <v>0</v>
      </c>
      <c r="J45" s="26">
        <v>0</v>
      </c>
      <c r="K45" s="26">
        <v>0</v>
      </c>
      <c r="L45" s="26">
        <v>0</v>
      </c>
      <c r="M45" s="26">
        <v>0</v>
      </c>
      <c r="N45" s="26">
        <v>0</v>
      </c>
      <c r="O45" s="26">
        <v>0</v>
      </c>
      <c r="P45" s="26">
        <v>0</v>
      </c>
      <c r="Q45" s="26">
        <v>0</v>
      </c>
      <c r="R45" s="26">
        <v>1</v>
      </c>
      <c r="S45" s="26">
        <v>2</v>
      </c>
      <c r="T45" s="26">
        <v>0</v>
      </c>
      <c r="U45" s="26">
        <v>0</v>
      </c>
      <c r="V45" s="26">
        <v>4</v>
      </c>
      <c r="W45" s="26">
        <v>0</v>
      </c>
      <c r="X45" s="26">
        <v>0</v>
      </c>
      <c r="Y45" s="26">
        <v>0</v>
      </c>
      <c r="Z45" s="26">
        <v>0</v>
      </c>
      <c r="AA45" s="26">
        <v>0</v>
      </c>
      <c r="AB45" s="26">
        <v>3</v>
      </c>
      <c r="AC45" s="26">
        <v>0</v>
      </c>
      <c r="AD45" s="26">
        <v>0</v>
      </c>
      <c r="AE45" s="26">
        <v>0</v>
      </c>
      <c r="AF45" s="26">
        <v>0</v>
      </c>
      <c r="AG45" s="26">
        <v>14</v>
      </c>
      <c r="AH45" s="26">
        <v>0</v>
      </c>
      <c r="AI45" s="26">
        <v>0</v>
      </c>
      <c r="AJ45" s="26">
        <v>0</v>
      </c>
      <c r="AK45" s="125"/>
      <c r="AL45" s="4"/>
      <c r="AM45" s="47" t="s">
        <v>76</v>
      </c>
      <c r="AN45" s="235"/>
      <c r="AO45" s="16">
        <v>0</v>
      </c>
      <c r="AP45" s="16">
        <v>0</v>
      </c>
      <c r="AQ45" s="16">
        <v>2</v>
      </c>
      <c r="AR45" s="16">
        <v>0</v>
      </c>
      <c r="AS45" s="16">
        <v>0</v>
      </c>
      <c r="AT45" s="16">
        <v>0</v>
      </c>
      <c r="AU45" s="16">
        <v>0</v>
      </c>
      <c r="AV45" s="16">
        <v>0</v>
      </c>
      <c r="AW45" s="16">
        <v>1</v>
      </c>
      <c r="AX45" s="16">
        <v>0</v>
      </c>
      <c r="AY45" s="16">
        <v>9</v>
      </c>
      <c r="AZ45" s="16">
        <v>13</v>
      </c>
      <c r="BA45" s="16">
        <v>0</v>
      </c>
      <c r="BB45" s="16">
        <v>1</v>
      </c>
      <c r="BC45" s="16">
        <v>0</v>
      </c>
      <c r="BD45" s="16">
        <v>0</v>
      </c>
      <c r="BE45" s="16">
        <v>0</v>
      </c>
      <c r="BF45" s="16">
        <v>0</v>
      </c>
      <c r="BG45" s="16">
        <v>1</v>
      </c>
      <c r="BH45" s="16">
        <v>0</v>
      </c>
      <c r="BI45" s="16">
        <v>0</v>
      </c>
      <c r="BJ45" s="16">
        <v>0</v>
      </c>
      <c r="BK45" s="16">
        <v>0</v>
      </c>
      <c r="BL45" s="16">
        <v>0</v>
      </c>
      <c r="BM45" s="16">
        <v>0</v>
      </c>
      <c r="BN45" s="16">
        <v>0</v>
      </c>
      <c r="BO45" s="16">
        <v>0</v>
      </c>
      <c r="BP45" s="16">
        <v>2</v>
      </c>
      <c r="BQ45" s="16">
        <v>0</v>
      </c>
      <c r="BR45" s="16">
        <v>0</v>
      </c>
      <c r="BS45" s="16">
        <v>0</v>
      </c>
    </row>
    <row r="46" spans="1:71" s="15" customFormat="1" ht="18.600000000000001" customHeight="1" x14ac:dyDescent="0.25">
      <c r="A46" s="125" t="s">
        <v>91</v>
      </c>
      <c r="B46" s="4"/>
      <c r="C46" s="47" t="s">
        <v>75</v>
      </c>
      <c r="D46" s="235"/>
      <c r="E46" s="16">
        <f t="shared" si="0"/>
        <v>2168</v>
      </c>
      <c r="F46" s="16">
        <v>0</v>
      </c>
      <c r="G46" s="16">
        <v>0</v>
      </c>
      <c r="H46" s="16">
        <v>0</v>
      </c>
      <c r="I46" s="16">
        <v>0</v>
      </c>
      <c r="J46" s="16">
        <v>1</v>
      </c>
      <c r="K46" s="16">
        <v>0</v>
      </c>
      <c r="L46" s="26">
        <v>202</v>
      </c>
      <c r="M46" s="26">
        <v>138</v>
      </c>
      <c r="N46" s="26">
        <v>21</v>
      </c>
      <c r="O46" s="26">
        <v>77</v>
      </c>
      <c r="P46" s="26">
        <v>1</v>
      </c>
      <c r="Q46" s="26">
        <v>0</v>
      </c>
      <c r="R46" s="26">
        <v>52</v>
      </c>
      <c r="S46" s="26">
        <v>34</v>
      </c>
      <c r="T46" s="26">
        <v>30</v>
      </c>
      <c r="U46" s="26">
        <v>17</v>
      </c>
      <c r="V46" s="26">
        <v>31</v>
      </c>
      <c r="W46" s="26">
        <v>2</v>
      </c>
      <c r="X46" s="26">
        <v>7</v>
      </c>
      <c r="Y46" s="26">
        <v>7</v>
      </c>
      <c r="Z46" s="26">
        <v>137</v>
      </c>
      <c r="AA46" s="26">
        <v>14</v>
      </c>
      <c r="AB46" s="26">
        <v>8</v>
      </c>
      <c r="AC46" s="26">
        <v>8</v>
      </c>
      <c r="AD46" s="26">
        <v>150</v>
      </c>
      <c r="AE46" s="26">
        <v>101</v>
      </c>
      <c r="AF46" s="26">
        <v>0</v>
      </c>
      <c r="AG46" s="26">
        <v>149</v>
      </c>
      <c r="AH46" s="26">
        <v>3</v>
      </c>
      <c r="AI46" s="26">
        <v>2</v>
      </c>
      <c r="AJ46" s="26">
        <v>10</v>
      </c>
      <c r="AK46" s="125" t="s">
        <v>91</v>
      </c>
      <c r="AL46" s="4"/>
      <c r="AM46" s="47" t="s">
        <v>75</v>
      </c>
      <c r="AN46" s="235"/>
      <c r="AO46" s="16">
        <v>3</v>
      </c>
      <c r="AP46" s="16">
        <v>2</v>
      </c>
      <c r="AQ46" s="16">
        <v>25</v>
      </c>
      <c r="AR46" s="16">
        <v>2</v>
      </c>
      <c r="AS46" s="16">
        <v>0</v>
      </c>
      <c r="AT46" s="16">
        <v>0</v>
      </c>
      <c r="AU46" s="16">
        <v>0</v>
      </c>
      <c r="AV46" s="16">
        <v>1</v>
      </c>
      <c r="AW46" s="16">
        <v>74</v>
      </c>
      <c r="AX46" s="16">
        <v>6</v>
      </c>
      <c r="AY46" s="16">
        <v>94</v>
      </c>
      <c r="AZ46" s="16">
        <v>92</v>
      </c>
      <c r="BA46" s="16">
        <v>0</v>
      </c>
      <c r="BB46" s="16">
        <v>1</v>
      </c>
      <c r="BC46" s="16">
        <v>3</v>
      </c>
      <c r="BD46" s="16">
        <v>4</v>
      </c>
      <c r="BE46" s="16">
        <v>0</v>
      </c>
      <c r="BF46" s="16">
        <v>9</v>
      </c>
      <c r="BG46" s="16">
        <v>2</v>
      </c>
      <c r="BH46" s="16">
        <v>6</v>
      </c>
      <c r="BI46" s="16">
        <v>6</v>
      </c>
      <c r="BJ46" s="16">
        <v>25</v>
      </c>
      <c r="BK46" s="16">
        <v>22</v>
      </c>
      <c r="BL46" s="16">
        <v>4</v>
      </c>
      <c r="BM46" s="16">
        <v>0</v>
      </c>
      <c r="BN46" s="16">
        <v>356</v>
      </c>
      <c r="BO46" s="16">
        <v>63</v>
      </c>
      <c r="BP46" s="16">
        <v>163</v>
      </c>
      <c r="BQ46" s="16">
        <v>0</v>
      </c>
      <c r="BR46" s="16">
        <v>0</v>
      </c>
      <c r="BS46" s="16">
        <v>3</v>
      </c>
    </row>
    <row r="47" spans="1:71" s="15" customFormat="1" ht="18.600000000000001" customHeight="1" x14ac:dyDescent="0.25">
      <c r="A47" s="125"/>
      <c r="B47" s="4"/>
      <c r="C47" s="47" t="s">
        <v>76</v>
      </c>
      <c r="D47" s="235"/>
      <c r="E47" s="16">
        <f t="shared" si="0"/>
        <v>70</v>
      </c>
      <c r="F47" s="26">
        <v>0</v>
      </c>
      <c r="G47" s="26">
        <v>0</v>
      </c>
      <c r="H47" s="26">
        <v>0</v>
      </c>
      <c r="I47" s="26">
        <v>0</v>
      </c>
      <c r="J47" s="26">
        <v>0</v>
      </c>
      <c r="K47" s="26">
        <v>0</v>
      </c>
      <c r="L47" s="26">
        <v>0</v>
      </c>
      <c r="M47" s="26">
        <v>0</v>
      </c>
      <c r="N47" s="26">
        <v>0</v>
      </c>
      <c r="O47" s="26">
        <v>0</v>
      </c>
      <c r="P47" s="26">
        <v>0</v>
      </c>
      <c r="Q47" s="26">
        <v>0</v>
      </c>
      <c r="R47" s="26">
        <v>13</v>
      </c>
      <c r="S47" s="26">
        <v>0</v>
      </c>
      <c r="T47" s="26">
        <v>0</v>
      </c>
      <c r="U47" s="26">
        <v>0</v>
      </c>
      <c r="V47" s="26">
        <v>2</v>
      </c>
      <c r="W47" s="26">
        <v>0</v>
      </c>
      <c r="X47" s="26">
        <v>0</v>
      </c>
      <c r="Y47" s="26">
        <v>0</v>
      </c>
      <c r="Z47" s="26">
        <v>0</v>
      </c>
      <c r="AA47" s="26">
        <v>0</v>
      </c>
      <c r="AB47" s="26">
        <v>0</v>
      </c>
      <c r="AC47" s="26">
        <v>0</v>
      </c>
      <c r="AD47" s="26">
        <v>6</v>
      </c>
      <c r="AE47" s="26">
        <v>0</v>
      </c>
      <c r="AF47" s="26">
        <v>0</v>
      </c>
      <c r="AG47" s="26">
        <v>12</v>
      </c>
      <c r="AH47" s="26">
        <v>0</v>
      </c>
      <c r="AI47" s="26">
        <v>0</v>
      </c>
      <c r="AJ47" s="26">
        <v>0</v>
      </c>
      <c r="AK47" s="125"/>
      <c r="AL47" s="4"/>
      <c r="AM47" s="47" t="s">
        <v>76</v>
      </c>
      <c r="AN47" s="235"/>
      <c r="AO47" s="16">
        <v>0</v>
      </c>
      <c r="AP47" s="16">
        <v>0</v>
      </c>
      <c r="AQ47" s="16">
        <v>0</v>
      </c>
      <c r="AR47" s="16">
        <v>0</v>
      </c>
      <c r="AS47" s="16">
        <v>0</v>
      </c>
      <c r="AT47" s="16">
        <v>0</v>
      </c>
      <c r="AU47" s="16">
        <v>0</v>
      </c>
      <c r="AV47" s="16">
        <v>0</v>
      </c>
      <c r="AW47" s="16">
        <v>18</v>
      </c>
      <c r="AX47" s="16">
        <v>0</v>
      </c>
      <c r="AY47" s="16">
        <v>10</v>
      </c>
      <c r="AZ47" s="16">
        <v>8</v>
      </c>
      <c r="BA47" s="16">
        <v>0</v>
      </c>
      <c r="BB47" s="16">
        <v>0</v>
      </c>
      <c r="BC47" s="16">
        <v>0</v>
      </c>
      <c r="BD47" s="16">
        <v>0</v>
      </c>
      <c r="BE47" s="16">
        <v>0</v>
      </c>
      <c r="BF47" s="16">
        <v>0</v>
      </c>
      <c r="BG47" s="16">
        <v>0</v>
      </c>
      <c r="BH47" s="16">
        <v>0</v>
      </c>
      <c r="BI47" s="16">
        <v>0</v>
      </c>
      <c r="BJ47" s="16">
        <v>0</v>
      </c>
      <c r="BK47" s="16">
        <v>0</v>
      </c>
      <c r="BL47" s="16">
        <v>0</v>
      </c>
      <c r="BM47" s="16">
        <v>0</v>
      </c>
      <c r="BN47" s="16">
        <v>0</v>
      </c>
      <c r="BO47" s="16">
        <v>1</v>
      </c>
      <c r="BP47" s="16">
        <v>0</v>
      </c>
      <c r="BQ47" s="16">
        <v>0</v>
      </c>
      <c r="BR47" s="16">
        <v>0</v>
      </c>
      <c r="BS47" s="16">
        <v>0</v>
      </c>
    </row>
    <row r="48" spans="1:71" s="15" customFormat="1" ht="18.600000000000001" customHeight="1" x14ac:dyDescent="0.25">
      <c r="A48" s="125" t="s">
        <v>92</v>
      </c>
      <c r="B48" s="4"/>
      <c r="C48" s="47" t="s">
        <v>75</v>
      </c>
      <c r="D48" s="235"/>
      <c r="E48" s="16">
        <f t="shared" si="0"/>
        <v>5157</v>
      </c>
      <c r="F48" s="16">
        <v>18</v>
      </c>
      <c r="G48" s="16">
        <v>0</v>
      </c>
      <c r="H48" s="16">
        <v>1</v>
      </c>
      <c r="I48" s="16">
        <v>0</v>
      </c>
      <c r="J48" s="16">
        <v>0</v>
      </c>
      <c r="K48" s="16">
        <v>5</v>
      </c>
      <c r="L48" s="26">
        <v>1634</v>
      </c>
      <c r="M48" s="26">
        <v>486</v>
      </c>
      <c r="N48" s="26">
        <v>8</v>
      </c>
      <c r="O48" s="26">
        <v>283</v>
      </c>
      <c r="P48" s="26">
        <v>13</v>
      </c>
      <c r="Q48" s="26">
        <v>0</v>
      </c>
      <c r="R48" s="26">
        <v>71</v>
      </c>
      <c r="S48" s="26">
        <v>59</v>
      </c>
      <c r="T48" s="26">
        <v>2</v>
      </c>
      <c r="U48" s="26">
        <v>18</v>
      </c>
      <c r="V48" s="26">
        <v>53</v>
      </c>
      <c r="W48" s="26">
        <v>9</v>
      </c>
      <c r="X48" s="26">
        <v>3</v>
      </c>
      <c r="Y48" s="26">
        <v>11</v>
      </c>
      <c r="Z48" s="26">
        <v>54</v>
      </c>
      <c r="AA48" s="26">
        <v>41</v>
      </c>
      <c r="AB48" s="26">
        <v>22</v>
      </c>
      <c r="AC48" s="26">
        <v>45</v>
      </c>
      <c r="AD48" s="26">
        <v>406</v>
      </c>
      <c r="AE48" s="26">
        <v>212</v>
      </c>
      <c r="AF48" s="26">
        <v>0</v>
      </c>
      <c r="AG48" s="26">
        <v>248</v>
      </c>
      <c r="AH48" s="26">
        <v>4</v>
      </c>
      <c r="AI48" s="26">
        <v>1</v>
      </c>
      <c r="AJ48" s="26">
        <v>15</v>
      </c>
      <c r="AK48" s="125" t="s">
        <v>92</v>
      </c>
      <c r="AL48" s="4"/>
      <c r="AM48" s="47" t="s">
        <v>75</v>
      </c>
      <c r="AN48" s="235"/>
      <c r="AO48" s="16">
        <v>5</v>
      </c>
      <c r="AP48" s="16">
        <v>1</v>
      </c>
      <c r="AQ48" s="16">
        <v>72</v>
      </c>
      <c r="AR48" s="16">
        <v>21</v>
      </c>
      <c r="AS48" s="16">
        <v>0</v>
      </c>
      <c r="AT48" s="16">
        <v>0</v>
      </c>
      <c r="AU48" s="16">
        <v>0</v>
      </c>
      <c r="AV48" s="16">
        <v>12</v>
      </c>
      <c r="AW48" s="16">
        <v>53</v>
      </c>
      <c r="AX48" s="16">
        <v>12</v>
      </c>
      <c r="AY48" s="16">
        <v>138</v>
      </c>
      <c r="AZ48" s="16">
        <v>21</v>
      </c>
      <c r="BA48" s="16">
        <v>5</v>
      </c>
      <c r="BB48" s="16">
        <v>22</v>
      </c>
      <c r="BC48" s="16">
        <v>3</v>
      </c>
      <c r="BD48" s="16">
        <v>1</v>
      </c>
      <c r="BE48" s="16">
        <v>7</v>
      </c>
      <c r="BF48" s="16">
        <v>11</v>
      </c>
      <c r="BG48" s="16">
        <v>17</v>
      </c>
      <c r="BH48" s="16">
        <v>7</v>
      </c>
      <c r="BI48" s="16">
        <v>12</v>
      </c>
      <c r="BJ48" s="16">
        <v>26</v>
      </c>
      <c r="BK48" s="16">
        <v>103</v>
      </c>
      <c r="BL48" s="16">
        <v>1</v>
      </c>
      <c r="BM48" s="16">
        <v>0</v>
      </c>
      <c r="BN48" s="16">
        <v>608</v>
      </c>
      <c r="BO48" s="16">
        <v>176</v>
      </c>
      <c r="BP48" s="16">
        <v>52</v>
      </c>
      <c r="BQ48" s="16">
        <v>0</v>
      </c>
      <c r="BR48" s="16">
        <v>0</v>
      </c>
      <c r="BS48" s="16">
        <v>49</v>
      </c>
    </row>
    <row r="49" spans="1:195" s="15" customFormat="1" ht="18.600000000000001" customHeight="1" x14ac:dyDescent="0.25">
      <c r="A49" s="125"/>
      <c r="B49" s="4"/>
      <c r="C49" s="47" t="s">
        <v>76</v>
      </c>
      <c r="D49" s="235"/>
      <c r="E49" s="16">
        <f t="shared" si="0"/>
        <v>102</v>
      </c>
      <c r="F49" s="26">
        <v>0</v>
      </c>
      <c r="G49" s="26">
        <v>0</v>
      </c>
      <c r="H49" s="26">
        <v>0</v>
      </c>
      <c r="I49" s="26">
        <v>0</v>
      </c>
      <c r="J49" s="26">
        <v>0</v>
      </c>
      <c r="K49" s="26">
        <v>0</v>
      </c>
      <c r="L49" s="26">
        <v>0</v>
      </c>
      <c r="M49" s="26">
        <v>5</v>
      </c>
      <c r="N49" s="26">
        <v>0</v>
      </c>
      <c r="O49" s="26">
        <v>0</v>
      </c>
      <c r="P49" s="26">
        <v>0</v>
      </c>
      <c r="Q49" s="26">
        <v>0</v>
      </c>
      <c r="R49" s="26">
        <v>0</v>
      </c>
      <c r="S49" s="26">
        <v>1</v>
      </c>
      <c r="T49" s="26">
        <v>0</v>
      </c>
      <c r="U49" s="26">
        <v>0</v>
      </c>
      <c r="V49" s="26">
        <v>0</v>
      </c>
      <c r="W49" s="26">
        <v>1</v>
      </c>
      <c r="X49" s="26">
        <v>0</v>
      </c>
      <c r="Y49" s="26">
        <v>0</v>
      </c>
      <c r="Z49" s="26">
        <v>0</v>
      </c>
      <c r="AA49" s="26">
        <v>0</v>
      </c>
      <c r="AB49" s="26">
        <v>1</v>
      </c>
      <c r="AC49" s="26">
        <v>2</v>
      </c>
      <c r="AD49" s="26">
        <v>15</v>
      </c>
      <c r="AE49" s="26">
        <v>18</v>
      </c>
      <c r="AF49" s="26">
        <v>0</v>
      </c>
      <c r="AG49" s="26">
        <v>8</v>
      </c>
      <c r="AH49" s="26">
        <v>0</v>
      </c>
      <c r="AI49" s="26">
        <v>0</v>
      </c>
      <c r="AJ49" s="26">
        <v>0</v>
      </c>
      <c r="AK49" s="125"/>
      <c r="AL49" s="4"/>
      <c r="AM49" s="47" t="s">
        <v>76</v>
      </c>
      <c r="AN49" s="235"/>
      <c r="AO49" s="16">
        <v>1</v>
      </c>
      <c r="AP49" s="16">
        <v>0</v>
      </c>
      <c r="AQ49" s="16">
        <v>4</v>
      </c>
      <c r="AR49" s="16">
        <v>1</v>
      </c>
      <c r="AS49" s="16">
        <v>0</v>
      </c>
      <c r="AT49" s="16">
        <v>0</v>
      </c>
      <c r="AU49" s="16">
        <v>0</v>
      </c>
      <c r="AV49" s="16">
        <v>0</v>
      </c>
      <c r="AW49" s="16">
        <v>3</v>
      </c>
      <c r="AX49" s="16">
        <v>1</v>
      </c>
      <c r="AY49" s="16">
        <v>13</v>
      </c>
      <c r="AZ49" s="16">
        <v>0</v>
      </c>
      <c r="BA49" s="16">
        <v>0</v>
      </c>
      <c r="BB49" s="16">
        <v>0</v>
      </c>
      <c r="BC49" s="16">
        <v>0</v>
      </c>
      <c r="BD49" s="16">
        <v>0</v>
      </c>
      <c r="BE49" s="16">
        <v>0</v>
      </c>
      <c r="BF49" s="16">
        <v>0</v>
      </c>
      <c r="BG49" s="16">
        <v>0</v>
      </c>
      <c r="BH49" s="16">
        <v>0</v>
      </c>
      <c r="BI49" s="16">
        <v>0</v>
      </c>
      <c r="BJ49" s="16">
        <v>0</v>
      </c>
      <c r="BK49" s="16">
        <v>1</v>
      </c>
      <c r="BL49" s="16">
        <v>0</v>
      </c>
      <c r="BM49" s="16">
        <v>0</v>
      </c>
      <c r="BN49" s="16">
        <v>1</v>
      </c>
      <c r="BO49" s="16">
        <v>1</v>
      </c>
      <c r="BP49" s="16">
        <v>0</v>
      </c>
      <c r="BQ49" s="16">
        <v>0</v>
      </c>
      <c r="BR49" s="16">
        <v>0</v>
      </c>
      <c r="BS49" s="16">
        <v>25</v>
      </c>
    </row>
    <row r="50" spans="1:195" s="15" customFormat="1" ht="18.600000000000001" customHeight="1" x14ac:dyDescent="0.25">
      <c r="A50" s="125" t="s">
        <v>93</v>
      </c>
      <c r="B50" s="5"/>
      <c r="C50" s="47" t="s">
        <v>75</v>
      </c>
      <c r="D50" s="235"/>
      <c r="E50" s="16">
        <f t="shared" si="0"/>
        <v>4317</v>
      </c>
      <c r="F50" s="16">
        <v>3</v>
      </c>
      <c r="G50" s="16">
        <v>0</v>
      </c>
      <c r="H50" s="16">
        <v>0</v>
      </c>
      <c r="I50" s="16">
        <v>0</v>
      </c>
      <c r="J50" s="16">
        <v>2</v>
      </c>
      <c r="K50" s="16">
        <v>4</v>
      </c>
      <c r="L50" s="26">
        <v>1143</v>
      </c>
      <c r="M50" s="26">
        <v>395</v>
      </c>
      <c r="N50" s="26">
        <v>38</v>
      </c>
      <c r="O50" s="26">
        <v>348</v>
      </c>
      <c r="P50" s="26">
        <v>18</v>
      </c>
      <c r="Q50" s="26">
        <v>0</v>
      </c>
      <c r="R50" s="26">
        <v>71</v>
      </c>
      <c r="S50" s="26">
        <v>47</v>
      </c>
      <c r="T50" s="26">
        <v>0</v>
      </c>
      <c r="U50" s="26">
        <v>31</v>
      </c>
      <c r="V50" s="26">
        <v>66</v>
      </c>
      <c r="W50" s="26">
        <v>0</v>
      </c>
      <c r="X50" s="26">
        <v>3</v>
      </c>
      <c r="Y50" s="26">
        <v>11</v>
      </c>
      <c r="Z50" s="26">
        <v>25</v>
      </c>
      <c r="AA50" s="26">
        <v>15</v>
      </c>
      <c r="AB50" s="26">
        <v>21</v>
      </c>
      <c r="AC50" s="26">
        <v>16</v>
      </c>
      <c r="AD50" s="26">
        <v>285</v>
      </c>
      <c r="AE50" s="26">
        <v>146</v>
      </c>
      <c r="AF50" s="26">
        <v>2</v>
      </c>
      <c r="AG50" s="26">
        <v>268</v>
      </c>
      <c r="AH50" s="26">
        <v>2</v>
      </c>
      <c r="AI50" s="26">
        <v>2</v>
      </c>
      <c r="AJ50" s="26">
        <v>12</v>
      </c>
      <c r="AK50" s="125" t="s">
        <v>93</v>
      </c>
      <c r="AL50" s="5"/>
      <c r="AM50" s="47" t="s">
        <v>75</v>
      </c>
      <c r="AN50" s="235"/>
      <c r="AO50" s="16">
        <v>7</v>
      </c>
      <c r="AP50" s="16">
        <v>0</v>
      </c>
      <c r="AQ50" s="16">
        <v>74</v>
      </c>
      <c r="AR50" s="16">
        <v>0</v>
      </c>
      <c r="AS50" s="16">
        <v>3</v>
      </c>
      <c r="AT50" s="16">
        <v>0</v>
      </c>
      <c r="AU50" s="16">
        <v>2</v>
      </c>
      <c r="AV50" s="16">
        <v>102</v>
      </c>
      <c r="AW50" s="16">
        <v>38</v>
      </c>
      <c r="AX50" s="16">
        <v>11</v>
      </c>
      <c r="AY50" s="16">
        <v>97</v>
      </c>
      <c r="AZ50" s="16">
        <v>104</v>
      </c>
      <c r="BA50" s="16">
        <v>7</v>
      </c>
      <c r="BB50" s="16">
        <v>13</v>
      </c>
      <c r="BC50" s="16">
        <v>4</v>
      </c>
      <c r="BD50" s="16">
        <v>25</v>
      </c>
      <c r="BE50" s="16">
        <v>17</v>
      </c>
      <c r="BF50" s="16">
        <v>35</v>
      </c>
      <c r="BG50" s="16">
        <v>0</v>
      </c>
      <c r="BH50" s="16">
        <v>2</v>
      </c>
      <c r="BI50" s="16">
        <v>5</v>
      </c>
      <c r="BJ50" s="16">
        <v>50</v>
      </c>
      <c r="BK50" s="16">
        <v>41</v>
      </c>
      <c r="BL50" s="16">
        <v>0</v>
      </c>
      <c r="BM50" s="16">
        <v>0</v>
      </c>
      <c r="BN50" s="16">
        <v>463</v>
      </c>
      <c r="BO50" s="16">
        <v>63</v>
      </c>
      <c r="BP50" s="16">
        <v>105</v>
      </c>
      <c r="BQ50" s="16">
        <v>0</v>
      </c>
      <c r="BR50" s="16">
        <v>0</v>
      </c>
      <c r="BS50" s="16">
        <v>75</v>
      </c>
    </row>
    <row r="51" spans="1:195" s="15" customFormat="1" ht="18.600000000000001" customHeight="1" x14ac:dyDescent="0.25">
      <c r="A51" s="125"/>
      <c r="B51" s="5"/>
      <c r="C51" s="47" t="s">
        <v>76</v>
      </c>
      <c r="D51" s="235"/>
      <c r="E51" s="16">
        <f t="shared" si="0"/>
        <v>25</v>
      </c>
      <c r="F51" s="26">
        <v>0</v>
      </c>
      <c r="G51" s="26">
        <v>0</v>
      </c>
      <c r="H51" s="26">
        <v>0</v>
      </c>
      <c r="I51" s="26">
        <v>0</v>
      </c>
      <c r="J51" s="26">
        <v>0</v>
      </c>
      <c r="K51" s="26">
        <v>0</v>
      </c>
      <c r="L51" s="26">
        <v>0</v>
      </c>
      <c r="M51" s="26">
        <v>1</v>
      </c>
      <c r="N51" s="26">
        <v>0</v>
      </c>
      <c r="O51" s="26">
        <v>0</v>
      </c>
      <c r="P51" s="26">
        <v>0</v>
      </c>
      <c r="Q51" s="26">
        <v>0</v>
      </c>
      <c r="R51" s="26">
        <v>3</v>
      </c>
      <c r="S51" s="26">
        <v>4</v>
      </c>
      <c r="T51" s="26">
        <v>0</v>
      </c>
      <c r="U51" s="26">
        <v>0</v>
      </c>
      <c r="V51" s="26">
        <v>0</v>
      </c>
      <c r="W51" s="26">
        <v>0</v>
      </c>
      <c r="X51" s="26">
        <v>0</v>
      </c>
      <c r="Y51" s="26">
        <v>0</v>
      </c>
      <c r="Z51" s="26">
        <v>0</v>
      </c>
      <c r="AA51" s="26">
        <v>0</v>
      </c>
      <c r="AB51" s="26">
        <v>0</v>
      </c>
      <c r="AC51" s="26">
        <v>0</v>
      </c>
      <c r="AD51" s="26">
        <v>1</v>
      </c>
      <c r="AE51" s="26">
        <v>0</v>
      </c>
      <c r="AF51" s="26">
        <v>0</v>
      </c>
      <c r="AG51" s="26">
        <v>0</v>
      </c>
      <c r="AH51" s="26">
        <v>0</v>
      </c>
      <c r="AI51" s="26">
        <v>0</v>
      </c>
      <c r="AJ51" s="26">
        <v>0</v>
      </c>
      <c r="AK51" s="125"/>
      <c r="AL51" s="5"/>
      <c r="AM51" s="47" t="s">
        <v>76</v>
      </c>
      <c r="AN51" s="235"/>
      <c r="AO51" s="16">
        <v>0</v>
      </c>
      <c r="AP51" s="16">
        <v>0</v>
      </c>
      <c r="AQ51" s="16">
        <v>0</v>
      </c>
      <c r="AR51" s="16">
        <v>0</v>
      </c>
      <c r="AS51" s="16">
        <v>0</v>
      </c>
      <c r="AT51" s="16">
        <v>0</v>
      </c>
      <c r="AU51" s="16">
        <v>0</v>
      </c>
      <c r="AV51" s="16">
        <v>1</v>
      </c>
      <c r="AW51" s="16">
        <v>0</v>
      </c>
      <c r="AX51" s="16">
        <v>0</v>
      </c>
      <c r="AY51" s="16">
        <v>10</v>
      </c>
      <c r="AZ51" s="16">
        <v>1</v>
      </c>
      <c r="BA51" s="16">
        <v>0</v>
      </c>
      <c r="BB51" s="16">
        <v>0</v>
      </c>
      <c r="BC51" s="16">
        <v>0</v>
      </c>
      <c r="BD51" s="16">
        <v>0</v>
      </c>
      <c r="BE51" s="16">
        <v>0</v>
      </c>
      <c r="BF51" s="16">
        <v>2</v>
      </c>
      <c r="BG51" s="16">
        <v>0</v>
      </c>
      <c r="BH51" s="16">
        <v>0</v>
      </c>
      <c r="BI51" s="16">
        <v>0</v>
      </c>
      <c r="BJ51" s="16">
        <v>0</v>
      </c>
      <c r="BK51" s="16">
        <v>2</v>
      </c>
      <c r="BL51" s="16">
        <v>0</v>
      </c>
      <c r="BM51" s="16">
        <v>0</v>
      </c>
      <c r="BN51" s="16">
        <v>0</v>
      </c>
      <c r="BO51" s="16">
        <v>0</v>
      </c>
      <c r="BP51" s="16">
        <v>0</v>
      </c>
      <c r="BQ51" s="16">
        <v>0</v>
      </c>
      <c r="BR51" s="16">
        <v>0</v>
      </c>
      <c r="BS51" s="16">
        <v>0</v>
      </c>
    </row>
    <row r="52" spans="1:195" s="15" customFormat="1" ht="18.600000000000001" customHeight="1" x14ac:dyDescent="0.25">
      <c r="A52" s="125" t="s">
        <v>94</v>
      </c>
      <c r="B52" s="4"/>
      <c r="C52" s="47" t="s">
        <v>75</v>
      </c>
      <c r="D52" s="235"/>
      <c r="E52" s="16">
        <f t="shared" si="0"/>
        <v>5015</v>
      </c>
      <c r="F52" s="16">
        <v>2</v>
      </c>
      <c r="G52" s="16">
        <v>0</v>
      </c>
      <c r="H52" s="16">
        <v>0</v>
      </c>
      <c r="I52" s="16">
        <v>0</v>
      </c>
      <c r="J52" s="16">
        <v>13</v>
      </c>
      <c r="K52" s="16">
        <v>0</v>
      </c>
      <c r="L52" s="26">
        <v>939</v>
      </c>
      <c r="M52" s="26">
        <v>1294</v>
      </c>
      <c r="N52" s="26">
        <v>4</v>
      </c>
      <c r="O52" s="26">
        <v>358</v>
      </c>
      <c r="P52" s="26">
        <v>35</v>
      </c>
      <c r="Q52" s="26">
        <v>0</v>
      </c>
      <c r="R52" s="26">
        <v>51</v>
      </c>
      <c r="S52" s="26">
        <v>77</v>
      </c>
      <c r="T52" s="26">
        <v>0</v>
      </c>
      <c r="U52" s="26">
        <v>10</v>
      </c>
      <c r="V52" s="26">
        <v>141</v>
      </c>
      <c r="W52" s="26">
        <v>3</v>
      </c>
      <c r="X52" s="26">
        <v>7</v>
      </c>
      <c r="Y52" s="26">
        <v>11</v>
      </c>
      <c r="Z52" s="26">
        <v>43</v>
      </c>
      <c r="AA52" s="26">
        <v>41</v>
      </c>
      <c r="AB52" s="26">
        <v>22</v>
      </c>
      <c r="AC52" s="26">
        <v>68</v>
      </c>
      <c r="AD52" s="26">
        <v>387</v>
      </c>
      <c r="AE52" s="26">
        <v>267</v>
      </c>
      <c r="AF52" s="26">
        <v>2</v>
      </c>
      <c r="AG52" s="26">
        <v>199</v>
      </c>
      <c r="AH52" s="26">
        <v>2</v>
      </c>
      <c r="AI52" s="26">
        <v>3</v>
      </c>
      <c r="AJ52" s="26">
        <v>13</v>
      </c>
      <c r="AK52" s="125" t="s">
        <v>94</v>
      </c>
      <c r="AL52" s="4"/>
      <c r="AM52" s="47" t="s">
        <v>75</v>
      </c>
      <c r="AN52" s="235"/>
      <c r="AO52" s="16">
        <v>13</v>
      </c>
      <c r="AP52" s="16">
        <v>2</v>
      </c>
      <c r="AQ52" s="16">
        <v>104</v>
      </c>
      <c r="AR52" s="16">
        <v>60</v>
      </c>
      <c r="AS52" s="16">
        <v>7</v>
      </c>
      <c r="AT52" s="16">
        <v>0</v>
      </c>
      <c r="AU52" s="16">
        <v>0</v>
      </c>
      <c r="AV52" s="16">
        <v>6</v>
      </c>
      <c r="AW52" s="16">
        <v>32</v>
      </c>
      <c r="AX52" s="16">
        <v>3</v>
      </c>
      <c r="AY52" s="16">
        <v>94</v>
      </c>
      <c r="AZ52" s="16">
        <v>68</v>
      </c>
      <c r="BA52" s="16">
        <v>2</v>
      </c>
      <c r="BB52" s="16">
        <v>11</v>
      </c>
      <c r="BC52" s="16">
        <v>13</v>
      </c>
      <c r="BD52" s="16">
        <v>0</v>
      </c>
      <c r="BE52" s="16">
        <v>0</v>
      </c>
      <c r="BF52" s="16">
        <v>17</v>
      </c>
      <c r="BG52" s="16">
        <v>4</v>
      </c>
      <c r="BH52" s="16">
        <v>1</v>
      </c>
      <c r="BI52" s="16">
        <v>24</v>
      </c>
      <c r="BJ52" s="16">
        <v>35</v>
      </c>
      <c r="BK52" s="16">
        <v>9</v>
      </c>
      <c r="BL52" s="16">
        <v>0</v>
      </c>
      <c r="BM52" s="16">
        <v>0</v>
      </c>
      <c r="BN52" s="16">
        <v>160</v>
      </c>
      <c r="BO52" s="16">
        <v>127</v>
      </c>
      <c r="BP52" s="16">
        <v>221</v>
      </c>
      <c r="BQ52" s="16">
        <v>1</v>
      </c>
      <c r="BR52" s="16">
        <v>0</v>
      </c>
      <c r="BS52" s="16">
        <v>9</v>
      </c>
    </row>
    <row r="53" spans="1:195" s="15" customFormat="1" ht="18.600000000000001" customHeight="1" x14ac:dyDescent="0.25">
      <c r="A53" s="125"/>
      <c r="B53" s="4"/>
      <c r="C53" s="47" t="s">
        <v>76</v>
      </c>
      <c r="D53" s="235"/>
      <c r="E53" s="16">
        <f t="shared" si="0"/>
        <v>37</v>
      </c>
      <c r="F53" s="26">
        <v>0</v>
      </c>
      <c r="G53" s="26">
        <v>0</v>
      </c>
      <c r="H53" s="26">
        <v>0</v>
      </c>
      <c r="I53" s="26">
        <v>0</v>
      </c>
      <c r="J53" s="26">
        <v>0</v>
      </c>
      <c r="K53" s="26">
        <v>0</v>
      </c>
      <c r="L53" s="26">
        <v>0</v>
      </c>
      <c r="M53" s="26">
        <v>0</v>
      </c>
      <c r="N53" s="26">
        <v>0</v>
      </c>
      <c r="O53" s="26">
        <v>2</v>
      </c>
      <c r="P53" s="26">
        <v>0</v>
      </c>
      <c r="Q53" s="26">
        <v>0</v>
      </c>
      <c r="R53" s="26">
        <v>1</v>
      </c>
      <c r="S53" s="26">
        <v>0</v>
      </c>
      <c r="T53" s="26">
        <v>0</v>
      </c>
      <c r="U53" s="26">
        <v>0</v>
      </c>
      <c r="V53" s="26">
        <v>2</v>
      </c>
      <c r="W53" s="26">
        <v>0</v>
      </c>
      <c r="X53" s="26">
        <v>0</v>
      </c>
      <c r="Y53" s="26">
        <v>0</v>
      </c>
      <c r="Z53" s="26">
        <v>0</v>
      </c>
      <c r="AA53" s="26">
        <v>0</v>
      </c>
      <c r="AB53" s="26">
        <v>0</v>
      </c>
      <c r="AC53" s="26">
        <v>0</v>
      </c>
      <c r="AD53" s="26">
        <v>3</v>
      </c>
      <c r="AE53" s="26">
        <v>0</v>
      </c>
      <c r="AF53" s="26">
        <v>0</v>
      </c>
      <c r="AG53" s="26">
        <v>5</v>
      </c>
      <c r="AH53" s="26">
        <v>0</v>
      </c>
      <c r="AI53" s="26">
        <v>0</v>
      </c>
      <c r="AJ53" s="26">
        <v>0</v>
      </c>
      <c r="AK53" s="125"/>
      <c r="AL53" s="4"/>
      <c r="AM53" s="47" t="s">
        <v>76</v>
      </c>
      <c r="AN53" s="235"/>
      <c r="AO53" s="16">
        <v>0</v>
      </c>
      <c r="AP53" s="16">
        <v>0</v>
      </c>
      <c r="AQ53" s="16">
        <v>3</v>
      </c>
      <c r="AR53" s="16">
        <v>0</v>
      </c>
      <c r="AS53" s="16">
        <v>0</v>
      </c>
      <c r="AT53" s="16">
        <v>0</v>
      </c>
      <c r="AU53" s="16">
        <v>0</v>
      </c>
      <c r="AV53" s="16">
        <v>0</v>
      </c>
      <c r="AW53" s="16">
        <v>7</v>
      </c>
      <c r="AX53" s="16">
        <v>0</v>
      </c>
      <c r="AY53" s="16">
        <v>13</v>
      </c>
      <c r="AZ53" s="16">
        <v>1</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row>
    <row r="54" spans="1:195" s="15" customFormat="1" ht="18.600000000000001" customHeight="1" x14ac:dyDescent="0.25">
      <c r="A54" s="125" t="s">
        <v>95</v>
      </c>
      <c r="B54" s="4"/>
      <c r="C54" s="47" t="s">
        <v>75</v>
      </c>
      <c r="D54" s="235"/>
      <c r="E54" s="16">
        <f t="shared" si="0"/>
        <v>2522</v>
      </c>
      <c r="F54" s="16">
        <v>6</v>
      </c>
      <c r="G54" s="16">
        <v>0</v>
      </c>
      <c r="H54" s="16">
        <v>0</v>
      </c>
      <c r="I54" s="16">
        <v>0</v>
      </c>
      <c r="J54" s="16">
        <v>2</v>
      </c>
      <c r="K54" s="16">
        <v>5</v>
      </c>
      <c r="L54" s="26">
        <v>459</v>
      </c>
      <c r="M54" s="26">
        <v>181</v>
      </c>
      <c r="N54" s="26">
        <v>19</v>
      </c>
      <c r="O54" s="26">
        <v>57</v>
      </c>
      <c r="P54" s="26">
        <v>14</v>
      </c>
      <c r="Q54" s="26">
        <v>0</v>
      </c>
      <c r="R54" s="26">
        <v>75</v>
      </c>
      <c r="S54" s="26">
        <v>42</v>
      </c>
      <c r="T54" s="26">
        <v>4</v>
      </c>
      <c r="U54" s="26">
        <v>9</v>
      </c>
      <c r="V54" s="26">
        <v>67</v>
      </c>
      <c r="W54" s="26">
        <v>0</v>
      </c>
      <c r="X54" s="26">
        <v>14</v>
      </c>
      <c r="Y54" s="26">
        <v>11</v>
      </c>
      <c r="Z54" s="26">
        <v>70</v>
      </c>
      <c r="AA54" s="26">
        <v>42</v>
      </c>
      <c r="AB54" s="26">
        <v>160</v>
      </c>
      <c r="AC54" s="26">
        <v>13</v>
      </c>
      <c r="AD54" s="26">
        <v>165</v>
      </c>
      <c r="AE54" s="26">
        <v>61</v>
      </c>
      <c r="AF54" s="26">
        <v>0</v>
      </c>
      <c r="AG54" s="26">
        <v>436</v>
      </c>
      <c r="AH54" s="26">
        <v>0</v>
      </c>
      <c r="AI54" s="26">
        <v>0</v>
      </c>
      <c r="AJ54" s="26">
        <v>4</v>
      </c>
      <c r="AK54" s="125" t="s">
        <v>95</v>
      </c>
      <c r="AL54" s="4"/>
      <c r="AM54" s="47" t="s">
        <v>75</v>
      </c>
      <c r="AN54" s="235"/>
      <c r="AO54" s="16">
        <v>13</v>
      </c>
      <c r="AP54" s="16">
        <v>2</v>
      </c>
      <c r="AQ54" s="16">
        <v>48</v>
      </c>
      <c r="AR54" s="16">
        <v>8</v>
      </c>
      <c r="AS54" s="16">
        <v>0</v>
      </c>
      <c r="AT54" s="16">
        <v>0</v>
      </c>
      <c r="AU54" s="16">
        <v>0</v>
      </c>
      <c r="AV54" s="16">
        <v>0</v>
      </c>
      <c r="AW54" s="16">
        <v>32</v>
      </c>
      <c r="AX54" s="16">
        <v>0</v>
      </c>
      <c r="AY54" s="16">
        <v>151</v>
      </c>
      <c r="AZ54" s="16">
        <v>67</v>
      </c>
      <c r="BA54" s="16">
        <v>0</v>
      </c>
      <c r="BB54" s="16">
        <v>25</v>
      </c>
      <c r="BC54" s="16">
        <v>0</v>
      </c>
      <c r="BD54" s="16">
        <v>0</v>
      </c>
      <c r="BE54" s="16">
        <v>0</v>
      </c>
      <c r="BF54" s="16">
        <v>10</v>
      </c>
      <c r="BG54" s="16">
        <v>6</v>
      </c>
      <c r="BH54" s="16">
        <v>0</v>
      </c>
      <c r="BI54" s="16">
        <v>6</v>
      </c>
      <c r="BJ54" s="16">
        <v>32</v>
      </c>
      <c r="BK54" s="16">
        <v>27</v>
      </c>
      <c r="BL54" s="16">
        <v>0</v>
      </c>
      <c r="BM54" s="16">
        <v>0</v>
      </c>
      <c r="BN54" s="16">
        <v>95</v>
      </c>
      <c r="BO54" s="16">
        <v>65</v>
      </c>
      <c r="BP54" s="16">
        <v>16</v>
      </c>
      <c r="BQ54" s="16">
        <v>0</v>
      </c>
      <c r="BR54" s="16">
        <v>0</v>
      </c>
      <c r="BS54" s="16">
        <v>3</v>
      </c>
    </row>
    <row r="55" spans="1:195" s="15" customFormat="1" ht="18.600000000000001" customHeight="1" x14ac:dyDescent="0.25">
      <c r="A55" s="125"/>
      <c r="B55" s="4"/>
      <c r="C55" s="47" t="s">
        <v>76</v>
      </c>
      <c r="D55" s="235"/>
      <c r="E55" s="16">
        <f t="shared" si="0"/>
        <v>10</v>
      </c>
      <c r="F55" s="26">
        <v>0</v>
      </c>
      <c r="G55" s="26">
        <v>0</v>
      </c>
      <c r="H55" s="26">
        <v>0</v>
      </c>
      <c r="I55" s="26">
        <v>0</v>
      </c>
      <c r="J55" s="26">
        <v>0</v>
      </c>
      <c r="K55" s="26">
        <v>0</v>
      </c>
      <c r="L55" s="26">
        <v>0</v>
      </c>
      <c r="M55" s="26">
        <v>0</v>
      </c>
      <c r="N55" s="26">
        <v>0</v>
      </c>
      <c r="O55" s="26">
        <v>0</v>
      </c>
      <c r="P55" s="26">
        <v>0</v>
      </c>
      <c r="Q55" s="26">
        <v>0</v>
      </c>
      <c r="R55" s="26">
        <v>1</v>
      </c>
      <c r="S55" s="26">
        <v>0</v>
      </c>
      <c r="T55" s="26">
        <v>0</v>
      </c>
      <c r="U55" s="26">
        <v>0</v>
      </c>
      <c r="V55" s="26">
        <v>0</v>
      </c>
      <c r="W55" s="26">
        <v>0</v>
      </c>
      <c r="X55" s="26">
        <v>0</v>
      </c>
      <c r="Y55" s="26">
        <v>0</v>
      </c>
      <c r="Z55" s="26">
        <v>0</v>
      </c>
      <c r="AA55" s="26">
        <v>0</v>
      </c>
      <c r="AB55" s="26">
        <v>1</v>
      </c>
      <c r="AC55" s="26">
        <v>0</v>
      </c>
      <c r="AD55" s="26">
        <v>0</v>
      </c>
      <c r="AE55" s="26">
        <v>0</v>
      </c>
      <c r="AF55" s="26">
        <v>0</v>
      </c>
      <c r="AG55" s="26">
        <v>7</v>
      </c>
      <c r="AH55" s="26">
        <v>0</v>
      </c>
      <c r="AI55" s="26">
        <v>0</v>
      </c>
      <c r="AJ55" s="26">
        <v>0</v>
      </c>
      <c r="AK55" s="125"/>
      <c r="AL55" s="4"/>
      <c r="AM55" s="47" t="s">
        <v>76</v>
      </c>
      <c r="AN55" s="235"/>
      <c r="AO55" s="16">
        <v>0</v>
      </c>
      <c r="AP55" s="16">
        <v>0</v>
      </c>
      <c r="AQ55" s="16">
        <v>0</v>
      </c>
      <c r="AR55" s="16">
        <v>0</v>
      </c>
      <c r="AS55" s="16">
        <v>0</v>
      </c>
      <c r="AT55" s="16">
        <v>0</v>
      </c>
      <c r="AU55" s="16">
        <v>0</v>
      </c>
      <c r="AV55" s="16">
        <v>0</v>
      </c>
      <c r="AW55" s="16">
        <v>1</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row>
    <row r="56" spans="1:195" s="15" customFormat="1" ht="18.600000000000001" customHeight="1" x14ac:dyDescent="0.25">
      <c r="A56" s="125" t="s">
        <v>96</v>
      </c>
      <c r="B56" s="4"/>
      <c r="C56" s="47" t="s">
        <v>75</v>
      </c>
      <c r="D56" s="235"/>
      <c r="E56" s="16">
        <f t="shared" si="0"/>
        <v>568</v>
      </c>
      <c r="F56" s="16">
        <v>1</v>
      </c>
      <c r="G56" s="16">
        <v>0</v>
      </c>
      <c r="H56" s="16">
        <v>0</v>
      </c>
      <c r="I56" s="16">
        <v>0</v>
      </c>
      <c r="J56" s="16">
        <v>0</v>
      </c>
      <c r="K56" s="16">
        <v>5</v>
      </c>
      <c r="L56" s="26">
        <v>94</v>
      </c>
      <c r="M56" s="26">
        <v>14</v>
      </c>
      <c r="N56" s="26">
        <v>0</v>
      </c>
      <c r="O56" s="26">
        <v>53</v>
      </c>
      <c r="P56" s="26">
        <v>0</v>
      </c>
      <c r="Q56" s="26">
        <v>0</v>
      </c>
      <c r="R56" s="26">
        <v>27</v>
      </c>
      <c r="S56" s="26">
        <v>19</v>
      </c>
      <c r="T56" s="26">
        <v>0</v>
      </c>
      <c r="U56" s="26">
        <v>4</v>
      </c>
      <c r="V56" s="26">
        <v>16</v>
      </c>
      <c r="W56" s="26">
        <v>0</v>
      </c>
      <c r="X56" s="26">
        <v>2</v>
      </c>
      <c r="Y56" s="26">
        <v>4</v>
      </c>
      <c r="Z56" s="26">
        <v>2</v>
      </c>
      <c r="AA56" s="26">
        <v>15</v>
      </c>
      <c r="AB56" s="26">
        <v>13</v>
      </c>
      <c r="AC56" s="26">
        <v>3</v>
      </c>
      <c r="AD56" s="26">
        <v>55</v>
      </c>
      <c r="AE56" s="26">
        <v>30</v>
      </c>
      <c r="AF56" s="26">
        <v>0</v>
      </c>
      <c r="AG56" s="26">
        <v>128</v>
      </c>
      <c r="AH56" s="26">
        <v>2</v>
      </c>
      <c r="AI56" s="26">
        <v>0</v>
      </c>
      <c r="AJ56" s="26">
        <v>6</v>
      </c>
      <c r="AK56" s="125" t="s">
        <v>96</v>
      </c>
      <c r="AL56" s="4"/>
      <c r="AM56" s="47" t="s">
        <v>75</v>
      </c>
      <c r="AN56" s="235"/>
      <c r="AO56" s="16">
        <v>3</v>
      </c>
      <c r="AP56" s="16">
        <v>0</v>
      </c>
      <c r="AQ56" s="16">
        <v>8</v>
      </c>
      <c r="AR56" s="16">
        <v>1</v>
      </c>
      <c r="AS56" s="16">
        <v>0</v>
      </c>
      <c r="AT56" s="16">
        <v>0</v>
      </c>
      <c r="AU56" s="16">
        <v>0</v>
      </c>
      <c r="AV56" s="16">
        <v>0</v>
      </c>
      <c r="AW56" s="16">
        <v>9</v>
      </c>
      <c r="AX56" s="16">
        <v>2</v>
      </c>
      <c r="AY56" s="16">
        <v>18</v>
      </c>
      <c r="AZ56" s="16">
        <v>2</v>
      </c>
      <c r="BA56" s="16">
        <v>0</v>
      </c>
      <c r="BB56" s="16">
        <v>0</v>
      </c>
      <c r="BC56" s="16">
        <v>0</v>
      </c>
      <c r="BD56" s="16">
        <v>0</v>
      </c>
      <c r="BE56" s="16">
        <v>0</v>
      </c>
      <c r="BF56" s="16">
        <v>10</v>
      </c>
      <c r="BG56" s="16">
        <v>0</v>
      </c>
      <c r="BH56" s="16">
        <v>0</v>
      </c>
      <c r="BI56" s="16">
        <v>0</v>
      </c>
      <c r="BJ56" s="16">
        <v>4</v>
      </c>
      <c r="BK56" s="16">
        <v>1</v>
      </c>
      <c r="BL56" s="16">
        <v>0</v>
      </c>
      <c r="BM56" s="16">
        <v>0</v>
      </c>
      <c r="BN56" s="16">
        <v>11</v>
      </c>
      <c r="BO56" s="16">
        <v>5</v>
      </c>
      <c r="BP56" s="16">
        <v>1</v>
      </c>
      <c r="BQ56" s="16">
        <v>0</v>
      </c>
      <c r="BR56" s="16">
        <v>0</v>
      </c>
      <c r="BS56" s="16">
        <v>0</v>
      </c>
    </row>
    <row r="57" spans="1:195" s="15" customFormat="1" ht="18.600000000000001" customHeight="1" x14ac:dyDescent="0.25">
      <c r="A57" s="134"/>
      <c r="B57" s="6"/>
      <c r="C57" s="49" t="s">
        <v>76</v>
      </c>
      <c r="D57" s="236"/>
      <c r="E57" s="55">
        <f t="shared" si="0"/>
        <v>7</v>
      </c>
      <c r="F57" s="56">
        <v>0</v>
      </c>
      <c r="G57" s="56">
        <v>0</v>
      </c>
      <c r="H57" s="56">
        <v>0</v>
      </c>
      <c r="I57" s="56">
        <v>0</v>
      </c>
      <c r="J57" s="56">
        <v>0</v>
      </c>
      <c r="K57" s="56">
        <v>0</v>
      </c>
      <c r="L57" s="56">
        <v>0</v>
      </c>
      <c r="M57" s="56">
        <v>0</v>
      </c>
      <c r="N57" s="56">
        <v>0</v>
      </c>
      <c r="O57" s="56">
        <v>0</v>
      </c>
      <c r="P57" s="56">
        <v>0</v>
      </c>
      <c r="Q57" s="56">
        <v>0</v>
      </c>
      <c r="R57" s="56">
        <v>0</v>
      </c>
      <c r="S57" s="56">
        <v>1</v>
      </c>
      <c r="T57" s="56">
        <v>0</v>
      </c>
      <c r="U57" s="56">
        <v>0</v>
      </c>
      <c r="V57" s="56">
        <v>0</v>
      </c>
      <c r="W57" s="56">
        <v>0</v>
      </c>
      <c r="X57" s="56">
        <v>0</v>
      </c>
      <c r="Y57" s="56">
        <v>0</v>
      </c>
      <c r="Z57" s="56">
        <v>0</v>
      </c>
      <c r="AA57" s="56">
        <v>0</v>
      </c>
      <c r="AB57" s="56">
        <v>0</v>
      </c>
      <c r="AC57" s="56">
        <v>0</v>
      </c>
      <c r="AD57" s="56">
        <v>0</v>
      </c>
      <c r="AE57" s="56">
        <v>0</v>
      </c>
      <c r="AF57" s="56">
        <v>0</v>
      </c>
      <c r="AG57" s="56">
        <v>6</v>
      </c>
      <c r="AH57" s="56">
        <v>0</v>
      </c>
      <c r="AI57" s="56">
        <v>0</v>
      </c>
      <c r="AJ57" s="56">
        <v>0</v>
      </c>
      <c r="AK57" s="134"/>
      <c r="AL57" s="6"/>
      <c r="AM57" s="49" t="s">
        <v>76</v>
      </c>
      <c r="AN57" s="236"/>
      <c r="AO57" s="57">
        <v>0</v>
      </c>
      <c r="AP57" s="57">
        <v>0</v>
      </c>
      <c r="AQ57" s="57">
        <v>0</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c r="BQ57" s="57">
        <v>0</v>
      </c>
      <c r="BR57" s="57">
        <v>0</v>
      </c>
      <c r="BS57" s="57">
        <v>0</v>
      </c>
    </row>
    <row r="58" spans="1:195" s="237" customFormat="1" ht="18" customHeight="1" x14ac:dyDescent="0.3">
      <c r="AA58" s="238"/>
      <c r="AC58" s="239"/>
      <c r="AG58" s="240"/>
      <c r="AI58" s="115"/>
      <c r="AK58" s="63" t="s">
        <v>191</v>
      </c>
      <c r="AL58" s="58"/>
      <c r="AM58" s="58"/>
      <c r="AN58" s="63"/>
      <c r="AO58" s="63"/>
      <c r="AP58" s="64"/>
      <c r="AQ58" s="58"/>
      <c r="AR58" s="63"/>
      <c r="AS58" s="63" t="s">
        <v>178</v>
      </c>
      <c r="AT58" s="63"/>
      <c r="AU58" s="62"/>
      <c r="AV58" s="58"/>
      <c r="AW58" s="63"/>
      <c r="AX58" s="58"/>
      <c r="AY58" s="64"/>
      <c r="AZ58" s="64"/>
      <c r="BA58" s="62" t="s">
        <v>179</v>
      </c>
      <c r="BB58" s="58"/>
      <c r="BC58" s="63"/>
      <c r="BD58" s="62"/>
      <c r="BE58" s="65"/>
      <c r="BF58" s="64"/>
      <c r="BG58" s="58"/>
      <c r="BH58" s="62" t="s">
        <v>180</v>
      </c>
      <c r="BK58" s="115"/>
      <c r="BL58" s="115"/>
      <c r="BM58" s="115"/>
      <c r="BN58" s="115"/>
      <c r="BP58" s="115"/>
      <c r="BQ58" s="115"/>
      <c r="BR58" s="115"/>
      <c r="BS58" s="241"/>
      <c r="BT58" s="115"/>
      <c r="BU58" s="115"/>
      <c r="BV58" s="115"/>
      <c r="BW58" s="115"/>
      <c r="BX58" s="115"/>
      <c r="BY58" s="115"/>
      <c r="BZ58" s="115"/>
      <c r="CA58" s="115"/>
      <c r="CB58" s="115"/>
      <c r="CC58" s="115"/>
      <c r="CD58" s="115"/>
      <c r="CE58" s="115"/>
      <c r="CF58" s="115"/>
      <c r="CG58" s="115"/>
      <c r="CH58" s="115"/>
      <c r="CI58" s="115"/>
      <c r="CJ58" s="115"/>
      <c r="CK58" s="115"/>
      <c r="CL58" s="115"/>
      <c r="CM58" s="115"/>
      <c r="CN58" s="115"/>
      <c r="CO58" s="115"/>
      <c r="CP58" s="115"/>
      <c r="CQ58" s="115"/>
      <c r="CR58" s="115"/>
      <c r="CS58" s="115"/>
      <c r="CT58" s="115"/>
      <c r="CU58" s="115"/>
      <c r="CV58" s="115"/>
      <c r="CW58" s="115"/>
      <c r="CX58" s="115"/>
      <c r="CY58" s="115"/>
      <c r="CZ58" s="115"/>
      <c r="DA58" s="115"/>
      <c r="DB58" s="115"/>
      <c r="DC58" s="115"/>
      <c r="DD58" s="115"/>
      <c r="DE58" s="115"/>
      <c r="DF58" s="115"/>
      <c r="DG58" s="115"/>
      <c r="DH58" s="115"/>
      <c r="DI58" s="115"/>
      <c r="DJ58" s="115"/>
      <c r="DK58" s="115"/>
      <c r="DL58" s="115"/>
      <c r="DM58" s="115"/>
      <c r="DN58" s="115"/>
      <c r="DO58" s="115"/>
      <c r="DP58" s="115"/>
      <c r="DQ58" s="115"/>
      <c r="DR58" s="115"/>
      <c r="DS58" s="115"/>
      <c r="DT58" s="115"/>
      <c r="DU58" s="115"/>
      <c r="DV58" s="115"/>
      <c r="DW58" s="115"/>
      <c r="DX58" s="115"/>
      <c r="DY58" s="115"/>
      <c r="DZ58" s="115"/>
      <c r="EA58" s="115"/>
      <c r="EB58" s="115"/>
      <c r="EC58" s="115"/>
      <c r="ED58" s="115"/>
      <c r="EE58" s="115"/>
      <c r="EF58" s="115"/>
      <c r="EG58" s="115"/>
      <c r="EH58" s="115"/>
      <c r="EI58" s="115"/>
      <c r="EJ58" s="115"/>
      <c r="EK58" s="115"/>
      <c r="EL58" s="115"/>
      <c r="EM58" s="115"/>
      <c r="EN58" s="115"/>
      <c r="EO58" s="115"/>
      <c r="EP58" s="115"/>
      <c r="EQ58" s="115"/>
      <c r="ER58" s="115"/>
      <c r="ES58" s="115"/>
      <c r="ET58" s="115"/>
      <c r="EU58" s="115"/>
      <c r="EV58" s="115"/>
      <c r="EW58" s="115"/>
      <c r="EX58" s="115"/>
      <c r="EY58" s="115"/>
      <c r="EZ58" s="115"/>
      <c r="FA58" s="115"/>
      <c r="FB58" s="115"/>
      <c r="FC58" s="115"/>
      <c r="FD58" s="115"/>
      <c r="FE58" s="115"/>
      <c r="FF58" s="115"/>
      <c r="FG58" s="115"/>
      <c r="FH58" s="115"/>
      <c r="FI58" s="115"/>
      <c r="FJ58" s="115"/>
      <c r="FK58" s="115"/>
      <c r="FL58" s="115"/>
      <c r="FM58" s="115"/>
      <c r="FN58" s="115"/>
      <c r="FO58" s="115"/>
      <c r="FP58" s="115"/>
      <c r="FQ58" s="115"/>
      <c r="FR58" s="115"/>
      <c r="FS58" s="115"/>
      <c r="FT58" s="115"/>
      <c r="FU58" s="115"/>
      <c r="FV58" s="115"/>
      <c r="FW58" s="115"/>
      <c r="FX58" s="115"/>
      <c r="FY58" s="115"/>
      <c r="FZ58" s="115"/>
      <c r="GA58" s="115"/>
      <c r="GB58" s="115"/>
      <c r="GC58" s="115"/>
      <c r="GD58" s="115"/>
      <c r="GE58" s="115"/>
      <c r="GF58" s="115"/>
      <c r="GG58" s="115"/>
      <c r="GH58" s="115"/>
      <c r="GI58" s="115"/>
      <c r="GJ58" s="115"/>
      <c r="GK58" s="115"/>
      <c r="GL58" s="115"/>
      <c r="GM58" s="115"/>
    </row>
    <row r="59" spans="1:195" s="237" customFormat="1" ht="18" customHeight="1" x14ac:dyDescent="0.3">
      <c r="AG59" s="240"/>
      <c r="AI59" s="115"/>
      <c r="AK59" s="63"/>
      <c r="AL59" s="58"/>
      <c r="AM59" s="58"/>
      <c r="AN59" s="63"/>
      <c r="AO59" s="63"/>
      <c r="AP59" s="64"/>
      <c r="AQ59" s="64"/>
      <c r="AR59" s="65"/>
      <c r="AS59" s="63"/>
      <c r="AT59" s="63"/>
      <c r="AU59" s="63"/>
      <c r="AV59" s="58"/>
      <c r="AW59" s="63"/>
      <c r="AX59" s="58"/>
      <c r="AY59" s="63"/>
      <c r="AZ59" s="63"/>
      <c r="BA59" s="65" t="s">
        <v>181</v>
      </c>
      <c r="BB59" s="63"/>
      <c r="BC59" s="63"/>
      <c r="BD59" s="62"/>
      <c r="BE59" s="65"/>
      <c r="BF59" s="63"/>
      <c r="BG59" s="62"/>
      <c r="BH59" s="58"/>
      <c r="BK59" s="242"/>
      <c r="BL59" s="115"/>
      <c r="BM59" s="243"/>
      <c r="BN59" s="243"/>
      <c r="BO59" s="243"/>
      <c r="BP59" s="115"/>
      <c r="BQ59" s="115"/>
      <c r="BR59" s="115"/>
      <c r="BS59" s="115"/>
      <c r="BT59" s="115"/>
      <c r="BU59" s="115"/>
      <c r="BV59" s="115"/>
      <c r="BW59" s="115"/>
      <c r="BX59" s="115"/>
      <c r="BY59" s="115"/>
      <c r="BZ59" s="115"/>
      <c r="CA59" s="115"/>
      <c r="CB59" s="115"/>
      <c r="CC59" s="115"/>
      <c r="CD59" s="115"/>
      <c r="CE59" s="115"/>
      <c r="CF59" s="115"/>
      <c r="CG59" s="115"/>
      <c r="CH59" s="115"/>
      <c r="CI59" s="115"/>
      <c r="CJ59" s="115"/>
      <c r="CK59" s="115"/>
      <c r="CL59" s="115"/>
      <c r="CM59" s="115"/>
      <c r="CN59" s="115"/>
      <c r="CO59" s="115"/>
      <c r="CP59" s="115"/>
      <c r="CQ59" s="115"/>
      <c r="CR59" s="115"/>
      <c r="CS59" s="115"/>
      <c r="CT59" s="115"/>
      <c r="CU59" s="115"/>
      <c r="CV59" s="115"/>
      <c r="CW59" s="115"/>
      <c r="CX59" s="115"/>
      <c r="CY59" s="115"/>
      <c r="CZ59" s="115"/>
      <c r="DA59" s="115"/>
      <c r="DB59" s="115"/>
      <c r="DC59" s="115"/>
      <c r="DD59" s="115"/>
      <c r="DE59" s="115"/>
      <c r="DF59" s="115"/>
      <c r="DG59" s="115"/>
      <c r="DH59" s="115"/>
      <c r="DI59" s="115"/>
      <c r="DJ59" s="115"/>
      <c r="DK59" s="115"/>
      <c r="DL59" s="115"/>
      <c r="DM59" s="115"/>
      <c r="DN59" s="115"/>
      <c r="DO59" s="115"/>
      <c r="DP59" s="115"/>
      <c r="DQ59" s="115"/>
      <c r="DR59" s="115"/>
      <c r="DS59" s="115"/>
      <c r="DT59" s="115"/>
      <c r="DU59" s="115"/>
      <c r="DV59" s="115"/>
      <c r="DW59" s="115"/>
      <c r="DX59" s="115"/>
      <c r="DY59" s="115"/>
      <c r="DZ59" s="115"/>
      <c r="EA59" s="115"/>
      <c r="EB59" s="115"/>
      <c r="EC59" s="115"/>
      <c r="ED59" s="115"/>
      <c r="EE59" s="115"/>
      <c r="EF59" s="115"/>
      <c r="EG59" s="115"/>
      <c r="EH59" s="115"/>
      <c r="EI59" s="115"/>
      <c r="EJ59" s="115"/>
      <c r="EK59" s="115"/>
      <c r="EL59" s="115"/>
      <c r="EM59" s="115"/>
      <c r="EN59" s="115"/>
      <c r="EO59" s="115"/>
      <c r="EP59" s="115"/>
      <c r="EQ59" s="115"/>
      <c r="ER59" s="115"/>
      <c r="ES59" s="115"/>
      <c r="ET59" s="115"/>
      <c r="EU59" s="115"/>
      <c r="EV59" s="115"/>
      <c r="EW59" s="115"/>
      <c r="EX59" s="115"/>
      <c r="EY59" s="115"/>
      <c r="EZ59" s="115"/>
      <c r="FA59" s="115"/>
      <c r="FB59" s="115"/>
      <c r="FC59" s="115"/>
      <c r="FD59" s="115"/>
      <c r="FE59" s="115"/>
      <c r="FF59" s="115"/>
      <c r="FG59" s="115"/>
      <c r="FH59" s="115"/>
      <c r="FI59" s="115"/>
      <c r="FJ59" s="115"/>
      <c r="FK59" s="115"/>
      <c r="FL59" s="115"/>
      <c r="FM59" s="115"/>
      <c r="FN59" s="115"/>
      <c r="FO59" s="115"/>
      <c r="FP59" s="115"/>
      <c r="FQ59" s="115"/>
      <c r="FR59" s="115"/>
      <c r="FS59" s="115"/>
      <c r="FT59" s="115"/>
      <c r="FU59" s="115"/>
      <c r="FV59" s="115"/>
      <c r="FW59" s="115"/>
      <c r="FX59" s="115"/>
      <c r="FY59" s="115"/>
      <c r="FZ59" s="115"/>
      <c r="GA59" s="115"/>
      <c r="GB59" s="115"/>
      <c r="GC59" s="115"/>
      <c r="GD59" s="115"/>
      <c r="GE59" s="115"/>
      <c r="GF59" s="115"/>
      <c r="GG59" s="115"/>
      <c r="GH59" s="115"/>
      <c r="GI59" s="115"/>
      <c r="GJ59" s="115"/>
      <c r="GK59" s="115"/>
      <c r="GL59" s="115"/>
      <c r="GM59" s="115"/>
    </row>
    <row r="60" spans="1:195" s="237" customFormat="1" ht="18" customHeight="1" x14ac:dyDescent="0.3">
      <c r="Z60" s="244"/>
      <c r="AA60" s="245"/>
      <c r="AB60" s="244"/>
      <c r="AC60" s="246"/>
      <c r="AD60" s="246"/>
      <c r="AE60" s="246"/>
      <c r="AF60" s="246"/>
      <c r="AI60" s="115"/>
      <c r="AK60" s="76" t="s">
        <v>409</v>
      </c>
      <c r="AL60" s="58"/>
      <c r="AM60" s="58"/>
      <c r="AN60" s="62"/>
      <c r="AO60" s="58"/>
      <c r="AP60" s="76"/>
      <c r="AQ60" s="77"/>
      <c r="AR60" s="76"/>
      <c r="AS60" s="74"/>
      <c r="AT60" s="76"/>
      <c r="AU60" s="76"/>
      <c r="AV60" s="76"/>
      <c r="AW60" s="76"/>
      <c r="AX60" s="76"/>
      <c r="AY60" s="77"/>
      <c r="AZ60" s="76"/>
      <c r="BA60" s="76"/>
      <c r="BB60" s="76"/>
      <c r="BC60" s="76"/>
      <c r="BD60" s="59"/>
      <c r="BE60" s="59"/>
      <c r="BF60" s="59"/>
      <c r="BG60" s="75"/>
      <c r="BH60" s="58"/>
      <c r="BK60" s="247"/>
      <c r="BL60" s="247"/>
      <c r="BM60" s="115"/>
      <c r="BN60" s="115"/>
      <c r="BO60" s="115"/>
      <c r="BP60" s="115"/>
      <c r="BQ60" s="115"/>
      <c r="BR60" s="115"/>
      <c r="BS60" s="115"/>
      <c r="BT60" s="115"/>
      <c r="BU60" s="115"/>
      <c r="BV60" s="115"/>
      <c r="BW60" s="115"/>
      <c r="BX60" s="115"/>
      <c r="BY60" s="115"/>
      <c r="BZ60" s="115"/>
      <c r="CA60" s="115"/>
      <c r="CB60" s="115"/>
      <c r="CC60" s="115"/>
      <c r="CD60" s="115"/>
      <c r="CE60" s="115"/>
      <c r="CF60" s="115"/>
      <c r="CG60" s="115"/>
      <c r="CH60" s="115"/>
      <c r="CI60" s="115"/>
      <c r="CJ60" s="115"/>
      <c r="CK60" s="115"/>
      <c r="CL60" s="115"/>
      <c r="CM60" s="115"/>
      <c r="CN60" s="115"/>
      <c r="CO60" s="115"/>
      <c r="CP60" s="115"/>
      <c r="CQ60" s="115"/>
      <c r="CR60" s="115"/>
      <c r="CS60" s="115"/>
      <c r="CT60" s="115"/>
      <c r="CU60" s="115"/>
      <c r="CV60" s="115"/>
      <c r="CW60" s="115"/>
      <c r="CX60" s="115"/>
      <c r="CY60" s="115"/>
      <c r="CZ60" s="115"/>
      <c r="DA60" s="115"/>
      <c r="DB60" s="115"/>
      <c r="DC60" s="115"/>
      <c r="DD60" s="115"/>
      <c r="DE60" s="115"/>
      <c r="DF60" s="115"/>
      <c r="DG60" s="115"/>
      <c r="DH60" s="115"/>
      <c r="DI60" s="115"/>
      <c r="DJ60" s="115"/>
      <c r="DK60" s="115"/>
      <c r="DL60" s="115"/>
      <c r="DM60" s="115"/>
      <c r="DN60" s="115"/>
      <c r="DO60" s="115"/>
      <c r="DP60" s="115"/>
      <c r="DQ60" s="115"/>
      <c r="DR60" s="115"/>
      <c r="DS60" s="115"/>
      <c r="DT60" s="115"/>
      <c r="DU60" s="115"/>
      <c r="DV60" s="115"/>
      <c r="DW60" s="115"/>
      <c r="DX60" s="115"/>
      <c r="DY60" s="115"/>
      <c r="DZ60" s="115"/>
      <c r="EA60" s="115"/>
      <c r="EB60" s="115"/>
      <c r="EC60" s="115"/>
      <c r="ED60" s="115"/>
      <c r="EE60" s="115"/>
      <c r="EF60" s="115"/>
      <c r="EG60" s="115"/>
      <c r="EH60" s="115"/>
      <c r="EI60" s="115"/>
      <c r="EJ60" s="115"/>
      <c r="EK60" s="115"/>
      <c r="EL60" s="115"/>
      <c r="EM60" s="115"/>
      <c r="EN60" s="115"/>
      <c r="EO60" s="115"/>
      <c r="EP60" s="115"/>
      <c r="EQ60" s="115"/>
      <c r="ER60" s="115"/>
      <c r="ES60" s="115"/>
      <c r="ET60" s="115"/>
      <c r="EU60" s="115"/>
      <c r="EV60" s="115"/>
      <c r="EW60" s="115"/>
      <c r="EX60" s="115"/>
      <c r="EY60" s="115"/>
      <c r="EZ60" s="115"/>
      <c r="FA60" s="115"/>
      <c r="FB60" s="115"/>
      <c r="FC60" s="115"/>
      <c r="FD60" s="115"/>
      <c r="FE60" s="115"/>
      <c r="FF60" s="115"/>
      <c r="FG60" s="115"/>
      <c r="FH60" s="115"/>
      <c r="FI60" s="115"/>
      <c r="FJ60" s="115"/>
      <c r="FK60" s="115"/>
      <c r="FL60" s="115"/>
      <c r="FM60" s="115"/>
      <c r="FN60" s="115"/>
      <c r="FO60" s="115"/>
      <c r="FP60" s="115"/>
      <c r="FQ60" s="115"/>
      <c r="FR60" s="115"/>
      <c r="FS60" s="115"/>
      <c r="FT60" s="115"/>
      <c r="FU60" s="115"/>
      <c r="FV60" s="115"/>
      <c r="FW60" s="115"/>
      <c r="FX60" s="115"/>
      <c r="FY60" s="115"/>
      <c r="FZ60" s="115"/>
      <c r="GA60" s="115"/>
      <c r="GB60" s="115"/>
      <c r="GC60" s="115"/>
      <c r="GD60" s="115"/>
      <c r="GE60" s="115"/>
      <c r="GF60" s="115"/>
      <c r="GG60" s="115"/>
      <c r="GH60" s="115"/>
      <c r="GI60" s="115"/>
      <c r="GJ60" s="115"/>
      <c r="GK60" s="115"/>
      <c r="GL60" s="115"/>
      <c r="GM60" s="115"/>
    </row>
    <row r="61" spans="1:195" s="237" customFormat="1" ht="18" customHeight="1" x14ac:dyDescent="0.3">
      <c r="Z61" s="244"/>
      <c r="AA61" s="245"/>
      <c r="AB61" s="244"/>
      <c r="AC61" s="246"/>
      <c r="AD61" s="246"/>
      <c r="AE61" s="246"/>
      <c r="AF61" s="246"/>
      <c r="AI61" s="115"/>
      <c r="AK61" s="5" t="s">
        <v>410</v>
      </c>
      <c r="AL61" s="58"/>
      <c r="AM61" s="58"/>
      <c r="AN61" s="62"/>
      <c r="AO61" s="58"/>
      <c r="AP61" s="76"/>
      <c r="AQ61" s="77"/>
      <c r="AR61" s="76"/>
      <c r="AS61" s="74"/>
      <c r="AT61" s="76"/>
      <c r="AU61" s="76"/>
      <c r="AV61" s="76"/>
      <c r="AW61" s="76"/>
      <c r="AX61" s="76"/>
      <c r="AY61" s="77"/>
      <c r="AZ61" s="76"/>
      <c r="BA61" s="76"/>
      <c r="BB61" s="76"/>
      <c r="BC61" s="76"/>
      <c r="BD61" s="59"/>
      <c r="BE61" s="59"/>
      <c r="BF61" s="59"/>
      <c r="BG61" s="75"/>
      <c r="BH61" s="58"/>
      <c r="BK61" s="247"/>
      <c r="BL61" s="247"/>
      <c r="BM61" s="115"/>
      <c r="BN61" s="115"/>
      <c r="BO61" s="115"/>
      <c r="BP61" s="115"/>
      <c r="BQ61" s="115"/>
      <c r="BR61" s="115"/>
      <c r="BS61" s="115"/>
      <c r="BT61" s="115"/>
      <c r="BU61" s="115"/>
      <c r="BV61" s="115"/>
      <c r="BW61" s="115"/>
      <c r="BX61" s="115"/>
      <c r="BY61" s="115"/>
      <c r="BZ61" s="115"/>
      <c r="CA61" s="115"/>
      <c r="CB61" s="115"/>
      <c r="CC61" s="115"/>
      <c r="CD61" s="115"/>
      <c r="CE61" s="115"/>
      <c r="CF61" s="115"/>
      <c r="CG61" s="115"/>
      <c r="CH61" s="115"/>
      <c r="CI61" s="115"/>
      <c r="CJ61" s="115"/>
      <c r="CK61" s="115"/>
      <c r="CL61" s="115"/>
      <c r="CM61" s="115"/>
      <c r="CN61" s="115"/>
      <c r="CO61" s="115"/>
      <c r="CP61" s="115"/>
      <c r="CQ61" s="115"/>
      <c r="CR61" s="115"/>
      <c r="CS61" s="115"/>
      <c r="CT61" s="115"/>
      <c r="CU61" s="115"/>
      <c r="CV61" s="115"/>
      <c r="CW61" s="115"/>
      <c r="CX61" s="115"/>
      <c r="CY61" s="115"/>
      <c r="CZ61" s="115"/>
      <c r="DA61" s="115"/>
      <c r="DB61" s="115"/>
      <c r="DC61" s="115"/>
      <c r="DD61" s="115"/>
      <c r="DE61" s="115"/>
      <c r="DF61" s="115"/>
      <c r="DG61" s="115"/>
      <c r="DH61" s="115"/>
      <c r="DI61" s="115"/>
      <c r="DJ61" s="115"/>
      <c r="DK61" s="115"/>
      <c r="DL61" s="115"/>
      <c r="DM61" s="115"/>
      <c r="DN61" s="115"/>
      <c r="DO61" s="115"/>
      <c r="DP61" s="115"/>
      <c r="DQ61" s="115"/>
      <c r="DR61" s="115"/>
      <c r="DS61" s="115"/>
      <c r="DT61" s="115"/>
      <c r="DU61" s="115"/>
      <c r="DV61" s="115"/>
      <c r="DW61" s="115"/>
      <c r="DX61" s="115"/>
      <c r="DY61" s="115"/>
      <c r="DZ61" s="115"/>
      <c r="EA61" s="115"/>
      <c r="EB61" s="115"/>
      <c r="EC61" s="115"/>
      <c r="ED61" s="115"/>
      <c r="EE61" s="115"/>
      <c r="EF61" s="115"/>
      <c r="EG61" s="115"/>
      <c r="EH61" s="115"/>
      <c r="EI61" s="115"/>
      <c r="EJ61" s="115"/>
      <c r="EK61" s="115"/>
      <c r="EL61" s="115"/>
      <c r="EM61" s="115"/>
      <c r="EN61" s="115"/>
      <c r="EO61" s="115"/>
      <c r="EP61" s="115"/>
      <c r="EQ61" s="115"/>
      <c r="ER61" s="115"/>
      <c r="ES61" s="115"/>
      <c r="ET61" s="115"/>
      <c r="EU61" s="115"/>
      <c r="EV61" s="115"/>
      <c r="EW61" s="115"/>
      <c r="EX61" s="115"/>
      <c r="EY61" s="115"/>
      <c r="EZ61" s="115"/>
      <c r="FA61" s="115"/>
      <c r="FB61" s="115"/>
      <c r="FC61" s="115"/>
      <c r="FD61" s="115"/>
      <c r="FE61" s="115"/>
      <c r="FF61" s="115"/>
      <c r="FG61" s="115"/>
      <c r="FH61" s="115"/>
      <c r="FI61" s="115"/>
      <c r="FJ61" s="115"/>
      <c r="FK61" s="115"/>
      <c r="FL61" s="115"/>
      <c r="FM61" s="115"/>
      <c r="FN61" s="115"/>
      <c r="FO61" s="115"/>
      <c r="FP61" s="115"/>
      <c r="FQ61" s="115"/>
      <c r="FR61" s="115"/>
      <c r="FS61" s="115"/>
      <c r="FT61" s="115"/>
      <c r="FU61" s="115"/>
      <c r="FV61" s="115"/>
      <c r="FW61" s="115"/>
      <c r="FX61" s="115"/>
      <c r="FY61" s="115"/>
      <c r="FZ61" s="115"/>
      <c r="GA61" s="115"/>
      <c r="GB61" s="115"/>
      <c r="GC61" s="115"/>
      <c r="GD61" s="115"/>
      <c r="GE61" s="115"/>
      <c r="GF61" s="115"/>
      <c r="GG61" s="115"/>
      <c r="GH61" s="115"/>
      <c r="GI61" s="115"/>
      <c r="GJ61" s="115"/>
      <c r="GK61" s="115"/>
      <c r="GL61" s="115"/>
      <c r="GM61" s="115"/>
    </row>
  </sheetData>
  <mergeCells count="138">
    <mergeCell ref="A56:A57"/>
    <mergeCell ref="AK56:AK57"/>
    <mergeCell ref="A50:A51"/>
    <mergeCell ref="AK50:AK51"/>
    <mergeCell ref="A52:A53"/>
    <mergeCell ref="AK52:AK53"/>
    <mergeCell ref="A54:A55"/>
    <mergeCell ref="AK54:AK55"/>
    <mergeCell ref="A44:A45"/>
    <mergeCell ref="AK44:AK45"/>
    <mergeCell ref="A46:A47"/>
    <mergeCell ref="AK46:AK47"/>
    <mergeCell ref="A48:A49"/>
    <mergeCell ref="AK48:AK49"/>
    <mergeCell ref="A38:A39"/>
    <mergeCell ref="AK38:AK39"/>
    <mergeCell ref="A40:A41"/>
    <mergeCell ref="AK40:AK41"/>
    <mergeCell ref="A42:A43"/>
    <mergeCell ref="AK42:AK43"/>
    <mergeCell ref="A32:A33"/>
    <mergeCell ref="AK32:AK33"/>
    <mergeCell ref="A34:A35"/>
    <mergeCell ref="AK34:AK35"/>
    <mergeCell ref="A36:A37"/>
    <mergeCell ref="AK36:AK37"/>
    <mergeCell ref="A26:A27"/>
    <mergeCell ref="AK26:AK27"/>
    <mergeCell ref="A28:A29"/>
    <mergeCell ref="AK28:AK29"/>
    <mergeCell ref="A30:A31"/>
    <mergeCell ref="AK30:AK31"/>
    <mergeCell ref="A20:A21"/>
    <mergeCell ref="AK20:AK21"/>
    <mergeCell ref="A22:A23"/>
    <mergeCell ref="AK22:AK23"/>
    <mergeCell ref="A24:A25"/>
    <mergeCell ref="AK24:AK25"/>
    <mergeCell ref="A14:A15"/>
    <mergeCell ref="AK14:AK15"/>
    <mergeCell ref="A16:A17"/>
    <mergeCell ref="AK16:AK17"/>
    <mergeCell ref="A18:A19"/>
    <mergeCell ref="AK18:AK19"/>
    <mergeCell ref="BP7:BP11"/>
    <mergeCell ref="BQ7:BQ11"/>
    <mergeCell ref="BR7:BR11"/>
    <mergeCell ref="AH7:AH11"/>
    <mergeCell ref="AI7:AI11"/>
    <mergeCell ref="AJ7:AJ11"/>
    <mergeCell ref="Y7:Y11"/>
    <mergeCell ref="Z7:Z11"/>
    <mergeCell ref="AA7:AA11"/>
    <mergeCell ref="AB7:AB11"/>
    <mergeCell ref="AC7:AC11"/>
    <mergeCell ref="AD7:AD11"/>
    <mergeCell ref="O7:O11"/>
    <mergeCell ref="P7:P11"/>
    <mergeCell ref="Q7:Q11"/>
    <mergeCell ref="R7:R11"/>
    <mergeCell ref="S7:S11"/>
    <mergeCell ref="T7:T11"/>
    <mergeCell ref="BS7:BS11"/>
    <mergeCell ref="A12:A13"/>
    <mergeCell ref="AK12:AK13"/>
    <mergeCell ref="BG7:BG11"/>
    <mergeCell ref="BI7:BI11"/>
    <mergeCell ref="BJ7:BJ11"/>
    <mergeCell ref="BK7:BK11"/>
    <mergeCell ref="BN7:BN11"/>
    <mergeCell ref="BO7:BO11"/>
    <mergeCell ref="AU7:AU11"/>
    <mergeCell ref="AX7:AX11"/>
    <mergeCell ref="AY7:AY11"/>
    <mergeCell ref="AZ7:AZ11"/>
    <mergeCell ref="BA7:BA11"/>
    <mergeCell ref="BB7:BB11"/>
    <mergeCell ref="AO7:AO11"/>
    <mergeCell ref="AP7:AP11"/>
    <mergeCell ref="AQ7:AQ11"/>
    <mergeCell ref="AR7:AR11"/>
    <mergeCell ref="AS7:AS11"/>
    <mergeCell ref="AT7:AT11"/>
    <mergeCell ref="AE7:AE11"/>
    <mergeCell ref="AF7:AF11"/>
    <mergeCell ref="AG7:AG11"/>
    <mergeCell ref="BI6:BK6"/>
    <mergeCell ref="BL6:BL11"/>
    <mergeCell ref="BM6:BM11"/>
    <mergeCell ref="BN6:BP6"/>
    <mergeCell ref="BQ6:BS6"/>
    <mergeCell ref="F7:F11"/>
    <mergeCell ref="G7:G11"/>
    <mergeCell ref="H7:H11"/>
    <mergeCell ref="I7:I11"/>
    <mergeCell ref="J7:J11"/>
    <mergeCell ref="AW6:AW11"/>
    <mergeCell ref="AX6:AZ6"/>
    <mergeCell ref="BA6:BC6"/>
    <mergeCell ref="BD6:BE6"/>
    <mergeCell ref="BF6:BG6"/>
    <mergeCell ref="BH6:BH11"/>
    <mergeCell ref="BC7:BC11"/>
    <mergeCell ref="BD7:BD11"/>
    <mergeCell ref="BE7:BE11"/>
    <mergeCell ref="BF7:BF11"/>
    <mergeCell ref="U6:AF6"/>
    <mergeCell ref="AG6:AJ6"/>
    <mergeCell ref="AK6:AN11"/>
    <mergeCell ref="AO6:AR6"/>
    <mergeCell ref="AS6:AU6"/>
    <mergeCell ref="AV6:AV11"/>
    <mergeCell ref="U7:U11"/>
    <mergeCell ref="V7:V11"/>
    <mergeCell ref="W7:W11"/>
    <mergeCell ref="X7:X11"/>
    <mergeCell ref="A6:D11"/>
    <mergeCell ref="E6:E11"/>
    <mergeCell ref="F6:K6"/>
    <mergeCell ref="L6:N6"/>
    <mergeCell ref="O6:Q6"/>
    <mergeCell ref="R6:T6"/>
    <mergeCell ref="K7:K11"/>
    <mergeCell ref="L7:L11"/>
    <mergeCell ref="M7:M11"/>
    <mergeCell ref="N7:N11"/>
    <mergeCell ref="A2:B2"/>
    <mergeCell ref="AE2:AF2"/>
    <mergeCell ref="AG2:AJ2"/>
    <mergeCell ref="AK2:AL2"/>
    <mergeCell ref="BN2:BO2"/>
    <mergeCell ref="BP2:BS2"/>
    <mergeCell ref="A1:B1"/>
    <mergeCell ref="AE1:AF1"/>
    <mergeCell ref="AG1:AJ1"/>
    <mergeCell ref="AK1:AL1"/>
    <mergeCell ref="BN1:BO1"/>
    <mergeCell ref="BP1:BS1"/>
  </mergeCells>
  <phoneticPr fontId="5" type="noConversion"/>
  <printOptions horizontalCentered="1"/>
  <pageMargins left="0.35433070866141736" right="0.35433070866141736" top="0.98425196850393704" bottom="0.78740157480314965" header="0" footer="0"/>
  <pageSetup paperSize="8" scale="60" firstPageNumber="41"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F6B1-F259-4727-B2BA-709437A1AD92}">
  <dimension ref="A1:GM61"/>
  <sheetViews>
    <sheetView zoomScale="80" zoomScaleNormal="80" workbookViewId="0">
      <selection sqref="A1:B1"/>
    </sheetView>
  </sheetViews>
  <sheetFormatPr defaultColWidth="9.6640625" defaultRowHeight="10.199999999999999" x14ac:dyDescent="0.25"/>
  <cols>
    <col min="1" max="1" width="18" style="1" customWidth="1"/>
    <col min="2" max="2" width="3" style="1" customWidth="1"/>
    <col min="3" max="3" width="26" style="1" customWidth="1"/>
    <col min="4" max="4" width="3" style="1" customWidth="1"/>
    <col min="5" max="5" width="15.6640625" style="1" customWidth="1"/>
    <col min="6" max="36" width="14" style="1" customWidth="1"/>
    <col min="37" max="37" width="19.83203125" style="1" customWidth="1"/>
    <col min="38" max="38" width="3" style="1" customWidth="1"/>
    <col min="39" max="39" width="26" style="1" customWidth="1"/>
    <col min="40" max="40" width="3" style="1" customWidth="1"/>
    <col min="41" max="71" width="14" style="1" customWidth="1"/>
    <col min="72" max="16384" width="9.6640625" style="1"/>
  </cols>
  <sheetData>
    <row r="1" spans="1:73" s="37" customFormat="1" ht="16.5"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E1" s="207" t="s">
        <v>45</v>
      </c>
      <c r="AF1" s="207"/>
      <c r="AG1" s="142" t="s">
        <v>46</v>
      </c>
      <c r="AH1" s="142"/>
      <c r="AI1" s="142"/>
      <c r="AJ1" s="142"/>
      <c r="AK1" s="161" t="s">
        <v>44</v>
      </c>
      <c r="AL1" s="162"/>
      <c r="AM1" s="35"/>
      <c r="AN1" s="36"/>
      <c r="AO1" s="36"/>
      <c r="AP1" s="5"/>
      <c r="AQ1" s="5"/>
      <c r="AR1" s="5"/>
      <c r="AS1" s="5"/>
      <c r="AT1" s="5"/>
      <c r="AU1" s="5"/>
      <c r="AV1" s="5"/>
      <c r="AW1" s="5"/>
      <c r="AX1" s="5"/>
      <c r="AY1" s="5"/>
      <c r="AZ1" s="5"/>
      <c r="BA1" s="5"/>
      <c r="BB1" s="5"/>
      <c r="BC1" s="5"/>
      <c r="BD1" s="5"/>
      <c r="BE1" s="5"/>
      <c r="BF1" s="5"/>
      <c r="BG1" s="5"/>
      <c r="BH1" s="5"/>
      <c r="BI1" s="5"/>
      <c r="BJ1" s="5"/>
      <c r="BK1" s="5"/>
      <c r="BL1" s="38"/>
      <c r="BN1" s="207" t="s">
        <v>45</v>
      </c>
      <c r="BO1" s="207"/>
      <c r="BP1" s="142" t="s">
        <v>46</v>
      </c>
      <c r="BQ1" s="142"/>
      <c r="BR1" s="142"/>
      <c r="BS1" s="142"/>
      <c r="BT1" s="38"/>
      <c r="BU1" s="38"/>
    </row>
    <row r="2" spans="1:73" s="37" customFormat="1" ht="17.25" customHeight="1" x14ac:dyDescent="0.3">
      <c r="A2" s="163" t="s">
        <v>391</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208" t="s">
        <v>392</v>
      </c>
      <c r="AF2" s="208"/>
      <c r="AG2" s="208" t="s">
        <v>10</v>
      </c>
      <c r="AH2" s="208"/>
      <c r="AI2" s="208"/>
      <c r="AJ2" s="208"/>
      <c r="AK2" s="163" t="s">
        <v>391</v>
      </c>
      <c r="AL2" s="164"/>
      <c r="AM2" s="39" t="s">
        <v>47</v>
      </c>
      <c r="AN2" s="40"/>
      <c r="AO2" s="40"/>
      <c r="AP2" s="33"/>
      <c r="AQ2" s="33"/>
      <c r="AR2" s="33"/>
      <c r="AS2" s="33"/>
      <c r="AT2" s="33"/>
      <c r="AU2" s="33"/>
      <c r="AV2" s="33"/>
      <c r="AW2" s="33"/>
      <c r="AX2" s="33"/>
      <c r="AY2" s="33"/>
      <c r="AZ2" s="33"/>
      <c r="BA2" s="33"/>
      <c r="BB2" s="33"/>
      <c r="BC2" s="33"/>
      <c r="BD2" s="33"/>
      <c r="BE2" s="33"/>
      <c r="BF2" s="33"/>
      <c r="BG2" s="33"/>
      <c r="BH2" s="33"/>
      <c r="BI2" s="33"/>
      <c r="BJ2" s="33"/>
      <c r="BK2" s="33"/>
      <c r="BL2" s="42"/>
      <c r="BM2" s="41"/>
      <c r="BN2" s="208" t="s">
        <v>392</v>
      </c>
      <c r="BO2" s="208"/>
      <c r="BP2" s="208" t="s">
        <v>10</v>
      </c>
      <c r="BQ2" s="208"/>
      <c r="BR2" s="208"/>
      <c r="BS2" s="208"/>
      <c r="BT2" s="43"/>
      <c r="BU2" s="43"/>
    </row>
    <row r="3" spans="1:73" s="37" customFormat="1" ht="6.6" customHeight="1" x14ac:dyDescent="0.25">
      <c r="A3" s="209"/>
      <c r="B3" s="36"/>
      <c r="C3" s="36"/>
      <c r="D3" s="36"/>
      <c r="E3" s="36"/>
      <c r="F3" s="36"/>
      <c r="G3" s="36"/>
      <c r="H3" s="36"/>
      <c r="I3" s="36"/>
      <c r="J3" s="36"/>
      <c r="K3" s="36"/>
      <c r="L3" s="36"/>
      <c r="M3" s="36"/>
      <c r="N3" s="36"/>
      <c r="O3" s="36"/>
      <c r="P3" s="36"/>
      <c r="Q3" s="36"/>
      <c r="R3" s="36"/>
      <c r="S3" s="36"/>
      <c r="T3" s="36"/>
      <c r="U3" s="1"/>
      <c r="V3" s="1"/>
      <c r="W3" s="1"/>
      <c r="X3" s="1"/>
      <c r="Y3" s="1"/>
      <c r="Z3" s="1"/>
      <c r="AA3" s="1"/>
      <c r="AB3" s="1"/>
      <c r="AC3" s="1"/>
      <c r="AD3" s="1"/>
      <c r="AE3" s="1"/>
      <c r="AF3" s="1"/>
      <c r="AG3" s="1"/>
      <c r="AH3" s="1"/>
      <c r="AI3" s="1"/>
      <c r="AJ3" s="1"/>
      <c r="AK3" s="209"/>
      <c r="AL3" s="36"/>
      <c r="AM3" s="36"/>
      <c r="AN3" s="36"/>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210"/>
      <c r="BU3" s="211"/>
    </row>
    <row r="4" spans="1:73" s="212" customFormat="1" ht="25.5" customHeight="1" x14ac:dyDescent="0.25">
      <c r="B4" s="213"/>
      <c r="C4" s="213"/>
      <c r="D4" s="213"/>
      <c r="E4" s="213"/>
      <c r="F4" s="213"/>
      <c r="G4" s="213"/>
      <c r="H4" s="213"/>
      <c r="I4" s="213"/>
      <c r="K4" s="213"/>
      <c r="M4" s="213"/>
      <c r="O4" s="213"/>
      <c r="P4" s="214" t="s">
        <v>384</v>
      </c>
      <c r="Q4" s="213"/>
      <c r="R4" s="213"/>
      <c r="S4" s="213"/>
      <c r="T4" s="213"/>
      <c r="U4" s="215"/>
      <c r="V4" s="215"/>
      <c r="W4" s="215"/>
      <c r="X4" s="215"/>
      <c r="Y4" s="215"/>
      <c r="Z4" s="215"/>
      <c r="AA4" s="216"/>
      <c r="AB4" s="216"/>
      <c r="AC4" s="216"/>
      <c r="AD4" s="216"/>
      <c r="AE4" s="216"/>
      <c r="AF4" s="216"/>
      <c r="AG4" s="216"/>
      <c r="AH4" s="216"/>
      <c r="AI4" s="216"/>
      <c r="AJ4" s="216"/>
      <c r="AL4" s="213"/>
      <c r="AM4" s="213"/>
      <c r="AN4" s="213"/>
      <c r="AO4" s="215"/>
      <c r="AP4" s="215"/>
      <c r="AQ4" s="215"/>
      <c r="AR4" s="215"/>
      <c r="AS4" s="215"/>
      <c r="AT4" s="216"/>
      <c r="AU4" s="217"/>
      <c r="AV4" s="217"/>
      <c r="AY4" s="214" t="s">
        <v>393</v>
      </c>
      <c r="AZ4" s="217"/>
      <c r="BA4" s="217"/>
      <c r="BB4" s="217"/>
      <c r="BC4" s="215"/>
      <c r="BD4" s="215"/>
      <c r="BE4" s="215"/>
      <c r="BF4" s="215"/>
      <c r="BG4" s="215"/>
      <c r="BH4" s="215"/>
      <c r="BI4" s="216"/>
      <c r="BJ4" s="217"/>
      <c r="BK4" s="217"/>
      <c r="BL4" s="217"/>
      <c r="BM4" s="217"/>
      <c r="BN4" s="217"/>
      <c r="BO4" s="217"/>
      <c r="BP4" s="217"/>
      <c r="BQ4" s="217"/>
      <c r="BR4" s="217"/>
      <c r="BS4" s="217"/>
      <c r="BT4" s="218"/>
      <c r="BU4" s="218"/>
    </row>
    <row r="5" spans="1:73" s="221" customFormat="1" ht="18.600000000000001" customHeight="1" x14ac:dyDescent="0.25">
      <c r="A5" s="219"/>
      <c r="B5" s="220"/>
      <c r="C5" s="220"/>
      <c r="D5" s="108"/>
      <c r="E5" s="108"/>
      <c r="F5" s="108"/>
      <c r="G5" s="108"/>
      <c r="H5" s="108"/>
      <c r="I5" s="108"/>
      <c r="J5" s="108"/>
      <c r="K5" s="108"/>
      <c r="L5" s="108"/>
      <c r="M5" s="108"/>
      <c r="N5" s="108"/>
      <c r="O5" s="220"/>
      <c r="P5" s="108"/>
      <c r="Q5" s="220"/>
      <c r="R5" s="108"/>
      <c r="S5" s="67" t="s">
        <v>417</v>
      </c>
      <c r="T5" s="108"/>
      <c r="U5" s="109"/>
      <c r="V5" s="109"/>
      <c r="W5" s="109"/>
      <c r="X5" s="110"/>
      <c r="Y5" s="111"/>
      <c r="Z5" s="109"/>
      <c r="AA5" s="109"/>
      <c r="AB5" s="109"/>
      <c r="AC5" s="109"/>
      <c r="AD5" s="109"/>
      <c r="AE5" s="109"/>
      <c r="AF5" s="109"/>
      <c r="AH5" s="109"/>
      <c r="AI5" s="33"/>
      <c r="AJ5" s="45" t="s">
        <v>48</v>
      </c>
      <c r="AK5" s="219"/>
      <c r="AL5" s="220"/>
      <c r="AM5" s="220"/>
      <c r="AN5" s="108"/>
      <c r="AO5" s="45"/>
      <c r="AP5" s="109"/>
      <c r="AQ5" s="109"/>
      <c r="AR5" s="109"/>
      <c r="AS5" s="109"/>
      <c r="AT5" s="109"/>
      <c r="AU5" s="109"/>
      <c r="AV5" s="109"/>
      <c r="AW5" s="109"/>
      <c r="AX5" s="109"/>
      <c r="AY5" s="109"/>
      <c r="AZ5" s="33"/>
      <c r="BA5" s="44" t="s">
        <v>417</v>
      </c>
      <c r="BB5" s="45"/>
      <c r="BC5" s="45"/>
      <c r="BD5" s="112"/>
      <c r="BE5" s="112"/>
      <c r="BF5" s="111"/>
      <c r="BG5" s="109"/>
      <c r="BH5" s="109"/>
      <c r="BI5" s="109"/>
      <c r="BJ5" s="109"/>
      <c r="BK5" s="109"/>
      <c r="BL5" s="109"/>
      <c r="BM5" s="111"/>
      <c r="BN5" s="111"/>
      <c r="BO5" s="111"/>
      <c r="BP5" s="111"/>
      <c r="BQ5" s="111"/>
      <c r="BR5" s="37"/>
      <c r="BS5" s="45" t="s">
        <v>48</v>
      </c>
      <c r="BT5" s="37"/>
    </row>
    <row r="6" spans="1:73" s="15" customFormat="1" ht="21.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38" t="s">
        <v>147</v>
      </c>
      <c r="V6" s="138"/>
      <c r="W6" s="138"/>
      <c r="X6" s="138"/>
      <c r="Y6" s="138"/>
      <c r="Z6" s="138"/>
      <c r="AA6" s="138"/>
      <c r="AB6" s="138"/>
      <c r="AC6" s="138"/>
      <c r="AD6" s="138"/>
      <c r="AE6" s="138"/>
      <c r="AF6" s="138"/>
      <c r="AG6" s="145" t="s">
        <v>148</v>
      </c>
      <c r="AH6" s="146"/>
      <c r="AI6" s="146"/>
      <c r="AJ6" s="146"/>
      <c r="AK6" s="222" t="s">
        <v>144</v>
      </c>
      <c r="AL6" s="222"/>
      <c r="AM6" s="222"/>
      <c r="AN6" s="223"/>
      <c r="AO6" s="145" t="s">
        <v>148</v>
      </c>
      <c r="AP6" s="146"/>
      <c r="AQ6" s="146"/>
      <c r="AR6" s="147"/>
      <c r="AS6" s="141" t="s">
        <v>149</v>
      </c>
      <c r="AT6" s="141"/>
      <c r="AU6" s="141"/>
      <c r="AV6" s="140" t="s">
        <v>395</v>
      </c>
      <c r="AW6" s="140" t="s">
        <v>150</v>
      </c>
      <c r="AX6" s="141" t="s">
        <v>58</v>
      </c>
      <c r="AY6" s="141"/>
      <c r="AZ6" s="141"/>
      <c r="BA6" s="142" t="s">
        <v>59</v>
      </c>
      <c r="BB6" s="142"/>
      <c r="BC6" s="143"/>
      <c r="BD6" s="144" t="s">
        <v>60</v>
      </c>
      <c r="BE6" s="144"/>
      <c r="BF6" s="144" t="s">
        <v>151</v>
      </c>
      <c r="BG6" s="144"/>
      <c r="BH6" s="140" t="s">
        <v>198</v>
      </c>
      <c r="BI6" s="144" t="s">
        <v>63</v>
      </c>
      <c r="BJ6" s="144"/>
      <c r="BK6" s="144"/>
      <c r="BL6" s="140" t="s">
        <v>152</v>
      </c>
      <c r="BM6" s="140" t="s">
        <v>153</v>
      </c>
      <c r="BN6" s="141" t="s">
        <v>97</v>
      </c>
      <c r="BO6" s="149"/>
      <c r="BP6" s="149"/>
      <c r="BQ6" s="149" t="s">
        <v>65</v>
      </c>
      <c r="BR6" s="143"/>
      <c r="BS6" s="151"/>
    </row>
    <row r="7" spans="1:73" s="15" customFormat="1" ht="24.9" customHeight="1" x14ac:dyDescent="0.25">
      <c r="A7" s="125"/>
      <c r="B7" s="125"/>
      <c r="C7" s="125"/>
      <c r="D7" s="125"/>
      <c r="E7" s="136"/>
      <c r="F7" s="139" t="s">
        <v>154</v>
      </c>
      <c r="G7" s="139" t="s">
        <v>155</v>
      </c>
      <c r="H7" s="139" t="s">
        <v>230</v>
      </c>
      <c r="I7" s="139" t="s">
        <v>199</v>
      </c>
      <c r="J7" s="139" t="s">
        <v>66</v>
      </c>
      <c r="K7" s="139" t="s">
        <v>200</v>
      </c>
      <c r="L7" s="139" t="s">
        <v>156</v>
      </c>
      <c r="M7" s="139" t="s">
        <v>396</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9" t="s">
        <v>99</v>
      </c>
      <c r="AC7" s="139" t="s">
        <v>114</v>
      </c>
      <c r="AD7" s="139" t="s">
        <v>162</v>
      </c>
      <c r="AE7" s="139" t="s">
        <v>137</v>
      </c>
      <c r="AF7" s="139" t="s">
        <v>100</v>
      </c>
      <c r="AG7" s="139" t="s">
        <v>122</v>
      </c>
      <c r="AH7" s="139" t="s">
        <v>163</v>
      </c>
      <c r="AI7" s="139" t="s">
        <v>164</v>
      </c>
      <c r="AJ7" s="139" t="s">
        <v>165</v>
      </c>
      <c r="AK7" s="224"/>
      <c r="AL7" s="125"/>
      <c r="AM7" s="125"/>
      <c r="AN7" s="225"/>
      <c r="AO7" s="139" t="s">
        <v>166</v>
      </c>
      <c r="AP7" s="139" t="s">
        <v>167</v>
      </c>
      <c r="AQ7" s="139" t="s">
        <v>168</v>
      </c>
      <c r="AR7" s="154" t="s">
        <v>232</v>
      </c>
      <c r="AS7" s="155" t="s">
        <v>169</v>
      </c>
      <c r="AT7" s="157" t="s">
        <v>397</v>
      </c>
      <c r="AU7" s="226" t="s">
        <v>398</v>
      </c>
      <c r="AV7" s="140"/>
      <c r="AW7" s="140"/>
      <c r="AX7" s="140" t="s">
        <v>170</v>
      </c>
      <c r="AY7" s="140" t="s">
        <v>171</v>
      </c>
      <c r="AZ7" s="140" t="s">
        <v>399</v>
      </c>
      <c r="BA7" s="140" t="s">
        <v>105</v>
      </c>
      <c r="BB7" s="140" t="s">
        <v>172</v>
      </c>
      <c r="BC7" s="140" t="s">
        <v>234</v>
      </c>
      <c r="BD7" s="140" t="s">
        <v>400</v>
      </c>
      <c r="BE7" s="140" t="s">
        <v>173</v>
      </c>
      <c r="BF7" s="140" t="s">
        <v>110</v>
      </c>
      <c r="BG7" s="140" t="s">
        <v>236</v>
      </c>
      <c r="BH7" s="140"/>
      <c r="BI7" s="140" t="s">
        <v>237</v>
      </c>
      <c r="BJ7" s="140" t="s">
        <v>174</v>
      </c>
      <c r="BK7" s="140" t="s">
        <v>238</v>
      </c>
      <c r="BL7" s="140"/>
      <c r="BM7" s="140"/>
      <c r="BN7" s="140" t="s">
        <v>239</v>
      </c>
      <c r="BO7" s="140" t="s">
        <v>240</v>
      </c>
      <c r="BP7" s="140" t="s">
        <v>401</v>
      </c>
      <c r="BQ7" s="140" t="s">
        <v>112</v>
      </c>
      <c r="BR7" s="140" t="s">
        <v>175</v>
      </c>
      <c r="BS7" s="150" t="s">
        <v>241</v>
      </c>
    </row>
    <row r="8" spans="1:73" s="15" customFormat="1" ht="24.9"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224"/>
      <c r="AL8" s="125"/>
      <c r="AM8" s="125"/>
      <c r="AN8" s="225"/>
      <c r="AO8" s="139"/>
      <c r="AP8" s="139"/>
      <c r="AQ8" s="139"/>
      <c r="AR8" s="154"/>
      <c r="AS8" s="156"/>
      <c r="AT8" s="227"/>
      <c r="AU8" s="228"/>
      <c r="AV8" s="140"/>
      <c r="AW8" s="140"/>
      <c r="AX8" s="140"/>
      <c r="AY8" s="140"/>
      <c r="AZ8" s="140"/>
      <c r="BA8" s="152"/>
      <c r="BB8" s="140"/>
      <c r="BC8" s="140"/>
      <c r="BD8" s="143"/>
      <c r="BE8" s="143"/>
      <c r="BF8" s="152"/>
      <c r="BG8" s="140"/>
      <c r="BH8" s="140"/>
      <c r="BI8" s="153"/>
      <c r="BJ8" s="153"/>
      <c r="BK8" s="152"/>
      <c r="BL8" s="140"/>
      <c r="BM8" s="140"/>
      <c r="BN8" s="140"/>
      <c r="BO8" s="140"/>
      <c r="BP8" s="152"/>
      <c r="BQ8" s="152"/>
      <c r="BR8" s="140"/>
      <c r="BS8" s="150"/>
    </row>
    <row r="9" spans="1:73" s="15" customFormat="1" ht="24.9"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224"/>
      <c r="AL9" s="125"/>
      <c r="AM9" s="125"/>
      <c r="AN9" s="225"/>
      <c r="AO9" s="139"/>
      <c r="AP9" s="139"/>
      <c r="AQ9" s="139"/>
      <c r="AR9" s="154"/>
      <c r="AS9" s="156"/>
      <c r="AT9" s="227"/>
      <c r="AU9" s="228"/>
      <c r="AV9" s="140"/>
      <c r="AW9" s="140"/>
      <c r="AX9" s="140"/>
      <c r="AY9" s="140"/>
      <c r="AZ9" s="140"/>
      <c r="BA9" s="152"/>
      <c r="BB9" s="140"/>
      <c r="BC9" s="140"/>
      <c r="BD9" s="143"/>
      <c r="BE9" s="143"/>
      <c r="BF9" s="152"/>
      <c r="BG9" s="140"/>
      <c r="BH9" s="140"/>
      <c r="BI9" s="153"/>
      <c r="BJ9" s="153"/>
      <c r="BK9" s="152"/>
      <c r="BL9" s="140"/>
      <c r="BM9" s="140"/>
      <c r="BN9" s="140"/>
      <c r="BO9" s="140"/>
      <c r="BP9" s="152"/>
      <c r="BQ9" s="152"/>
      <c r="BR9" s="140"/>
      <c r="BS9" s="150"/>
    </row>
    <row r="10" spans="1:73" s="15" customFormat="1" ht="24.9"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224"/>
      <c r="AL10" s="125"/>
      <c r="AM10" s="125"/>
      <c r="AN10" s="225"/>
      <c r="AO10" s="139"/>
      <c r="AP10" s="139"/>
      <c r="AQ10" s="139"/>
      <c r="AR10" s="154"/>
      <c r="AS10" s="156"/>
      <c r="AT10" s="227"/>
      <c r="AU10" s="228"/>
      <c r="AV10" s="140"/>
      <c r="AW10" s="140"/>
      <c r="AX10" s="140"/>
      <c r="AY10" s="140"/>
      <c r="AZ10" s="140"/>
      <c r="BA10" s="152"/>
      <c r="BB10" s="140"/>
      <c r="BC10" s="140"/>
      <c r="BD10" s="143"/>
      <c r="BE10" s="143"/>
      <c r="BF10" s="152"/>
      <c r="BG10" s="140"/>
      <c r="BH10" s="140"/>
      <c r="BI10" s="153"/>
      <c r="BJ10" s="153"/>
      <c r="BK10" s="152"/>
      <c r="BL10" s="140"/>
      <c r="BM10" s="140"/>
      <c r="BN10" s="140"/>
      <c r="BO10" s="140"/>
      <c r="BP10" s="152"/>
      <c r="BQ10" s="152"/>
      <c r="BR10" s="140"/>
      <c r="BS10" s="150"/>
    </row>
    <row r="11" spans="1:73" s="15" customFormat="1" ht="24.9"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229"/>
      <c r="AL11" s="134"/>
      <c r="AM11" s="134"/>
      <c r="AN11" s="230"/>
      <c r="AO11" s="139"/>
      <c r="AP11" s="139"/>
      <c r="AQ11" s="139"/>
      <c r="AR11" s="154"/>
      <c r="AS11" s="156"/>
      <c r="AT11" s="227"/>
      <c r="AU11" s="228"/>
      <c r="AV11" s="140"/>
      <c r="AW11" s="140"/>
      <c r="AX11" s="140"/>
      <c r="AY11" s="140"/>
      <c r="AZ11" s="140"/>
      <c r="BA11" s="152"/>
      <c r="BB11" s="140"/>
      <c r="BC11" s="140"/>
      <c r="BD11" s="143"/>
      <c r="BE11" s="143"/>
      <c r="BF11" s="152"/>
      <c r="BG11" s="140"/>
      <c r="BH11" s="140"/>
      <c r="BI11" s="153"/>
      <c r="BJ11" s="153"/>
      <c r="BK11" s="152"/>
      <c r="BL11" s="140"/>
      <c r="BM11" s="140"/>
      <c r="BN11" s="140"/>
      <c r="BO11" s="140"/>
      <c r="BP11" s="152"/>
      <c r="BQ11" s="152"/>
      <c r="BR11" s="140"/>
      <c r="BS11" s="150"/>
    </row>
    <row r="12" spans="1:73" s="15" customFormat="1" ht="18.600000000000001" customHeight="1" x14ac:dyDescent="0.25">
      <c r="A12" s="231" t="s">
        <v>402</v>
      </c>
      <c r="B12" s="107"/>
      <c r="C12" s="232" t="s">
        <v>403</v>
      </c>
      <c r="D12" s="233"/>
      <c r="E12" s="16">
        <f t="shared" ref="E12:E57" si="0">SUM(F12:BS12)</f>
        <v>527499</v>
      </c>
      <c r="F12" s="16">
        <f>F14+F16+F18+F20+F22+F24+F26+F28+F30+F32+F34+F36+F38+F40+F42+F44+F46+F48+F50+F52+F54+F56</f>
        <v>1453</v>
      </c>
      <c r="G12" s="16">
        <f t="shared" ref="G12:AJ13" si="1">G14+G16+G18+G20+G22+G24+G26+G28+G30+G32+G34+G36+G38+G40+G42+G44+G46+G48+G50+G52+G54+G56</f>
        <v>1420</v>
      </c>
      <c r="H12" s="16">
        <f t="shared" si="1"/>
        <v>1668</v>
      </c>
      <c r="I12" s="16">
        <f t="shared" si="1"/>
        <v>87</v>
      </c>
      <c r="J12" s="16">
        <f t="shared" si="1"/>
        <v>302</v>
      </c>
      <c r="K12" s="16">
        <f t="shared" si="1"/>
        <v>1605</v>
      </c>
      <c r="L12" s="16">
        <f t="shared" si="1"/>
        <v>71651</v>
      </c>
      <c r="M12" s="16">
        <f t="shared" si="1"/>
        <v>38359</v>
      </c>
      <c r="N12" s="16">
        <f t="shared" si="1"/>
        <v>1533</v>
      </c>
      <c r="O12" s="16">
        <f t="shared" si="1"/>
        <v>11272</v>
      </c>
      <c r="P12" s="16">
        <f t="shared" si="1"/>
        <v>2118</v>
      </c>
      <c r="Q12" s="16">
        <f t="shared" si="1"/>
        <v>39</v>
      </c>
      <c r="R12" s="16">
        <f t="shared" si="1"/>
        <v>5637</v>
      </c>
      <c r="S12" s="16">
        <f t="shared" si="1"/>
        <v>7281</v>
      </c>
      <c r="T12" s="16">
        <f t="shared" si="1"/>
        <v>1230</v>
      </c>
      <c r="U12" s="16">
        <f t="shared" si="1"/>
        <v>4908</v>
      </c>
      <c r="V12" s="16">
        <f t="shared" si="1"/>
        <v>10595</v>
      </c>
      <c r="W12" s="16">
        <f t="shared" si="1"/>
        <v>1144</v>
      </c>
      <c r="X12" s="16">
        <f t="shared" si="1"/>
        <v>800</v>
      </c>
      <c r="Y12" s="16">
        <f t="shared" si="1"/>
        <v>2298</v>
      </c>
      <c r="Z12" s="16">
        <f t="shared" si="1"/>
        <v>16062</v>
      </c>
      <c r="AA12" s="16">
        <f t="shared" si="1"/>
        <v>4135</v>
      </c>
      <c r="AB12" s="16">
        <f t="shared" si="1"/>
        <v>2413</v>
      </c>
      <c r="AC12" s="16">
        <f t="shared" si="1"/>
        <v>7656</v>
      </c>
      <c r="AD12" s="16">
        <f t="shared" si="1"/>
        <v>56457</v>
      </c>
      <c r="AE12" s="16">
        <f t="shared" si="1"/>
        <v>35733</v>
      </c>
      <c r="AF12" s="16">
        <f t="shared" si="1"/>
        <v>0</v>
      </c>
      <c r="AG12" s="16">
        <f t="shared" si="1"/>
        <v>25532</v>
      </c>
      <c r="AH12" s="16">
        <f t="shared" si="1"/>
        <v>1278</v>
      </c>
      <c r="AI12" s="16">
        <f t="shared" si="1"/>
        <v>134</v>
      </c>
      <c r="AJ12" s="16">
        <f t="shared" si="1"/>
        <v>4839</v>
      </c>
      <c r="AK12" s="231" t="s">
        <v>402</v>
      </c>
      <c r="AL12" s="107"/>
      <c r="AM12" s="232" t="s">
        <v>403</v>
      </c>
      <c r="AN12" s="233"/>
      <c r="AO12" s="16">
        <f t="shared" ref="AO12:BS13" si="2">AO14+AO16+AO18+AO20+AO22+AO24+AO26+AO28+AO30+AO32+AO34+AO36+AO38+AO40+AO42+AO44+AO46+AO48+AO50+AO52+AO54+AO56</f>
        <v>1155</v>
      </c>
      <c r="AP12" s="16">
        <f t="shared" si="2"/>
        <v>0</v>
      </c>
      <c r="AQ12" s="16">
        <f t="shared" si="2"/>
        <v>4822</v>
      </c>
      <c r="AR12" s="16">
        <f t="shared" si="2"/>
        <v>4343</v>
      </c>
      <c r="AS12" s="16">
        <f t="shared" si="2"/>
        <v>487</v>
      </c>
      <c r="AT12" s="16">
        <f t="shared" si="2"/>
        <v>120</v>
      </c>
      <c r="AU12" s="16">
        <f t="shared" si="2"/>
        <v>4161</v>
      </c>
      <c r="AV12" s="16">
        <f t="shared" si="2"/>
        <v>26542</v>
      </c>
      <c r="AW12" s="16">
        <f t="shared" si="2"/>
        <v>5245</v>
      </c>
      <c r="AX12" s="16">
        <f t="shared" si="2"/>
        <v>2266</v>
      </c>
      <c r="AY12" s="16">
        <f t="shared" si="2"/>
        <v>36983</v>
      </c>
      <c r="AZ12" s="16">
        <f t="shared" si="2"/>
        <v>8121</v>
      </c>
      <c r="BA12" s="16">
        <f t="shared" si="2"/>
        <v>364</v>
      </c>
      <c r="BB12" s="16">
        <f t="shared" si="2"/>
        <v>4940</v>
      </c>
      <c r="BC12" s="16">
        <f t="shared" si="2"/>
        <v>872</v>
      </c>
      <c r="BD12" s="16">
        <f t="shared" si="2"/>
        <v>1669</v>
      </c>
      <c r="BE12" s="16">
        <f t="shared" si="2"/>
        <v>1298</v>
      </c>
      <c r="BF12" s="16">
        <f t="shared" si="2"/>
        <v>1010</v>
      </c>
      <c r="BG12" s="16">
        <f t="shared" si="2"/>
        <v>594</v>
      </c>
      <c r="BH12" s="16">
        <f t="shared" si="2"/>
        <v>969</v>
      </c>
      <c r="BI12" s="16">
        <f t="shared" si="2"/>
        <v>5534</v>
      </c>
      <c r="BJ12" s="16">
        <f t="shared" si="2"/>
        <v>9323</v>
      </c>
      <c r="BK12" s="16">
        <f t="shared" si="2"/>
        <v>10594</v>
      </c>
      <c r="BL12" s="16">
        <f t="shared" si="2"/>
        <v>4562</v>
      </c>
      <c r="BM12" s="16">
        <f t="shared" si="2"/>
        <v>2200</v>
      </c>
      <c r="BN12" s="16">
        <f t="shared" si="2"/>
        <v>41430</v>
      </c>
      <c r="BO12" s="16">
        <f t="shared" si="2"/>
        <v>7864</v>
      </c>
      <c r="BP12" s="16">
        <f t="shared" si="2"/>
        <v>15273</v>
      </c>
      <c r="BQ12" s="16">
        <f t="shared" si="2"/>
        <v>92</v>
      </c>
      <c r="BR12" s="16">
        <f t="shared" si="2"/>
        <v>4</v>
      </c>
      <c r="BS12" s="16">
        <f t="shared" si="2"/>
        <v>5023</v>
      </c>
    </row>
    <row r="13" spans="1:73" s="15" customFormat="1" ht="18.600000000000001" customHeight="1" x14ac:dyDescent="0.25">
      <c r="A13" s="231"/>
      <c r="B13" s="3"/>
      <c r="C13" s="234" t="s">
        <v>404</v>
      </c>
      <c r="D13" s="235"/>
      <c r="E13" s="16">
        <f t="shared" si="0"/>
        <v>1919</v>
      </c>
      <c r="F13" s="26">
        <f>F15+F17+F19+F21+F23+F25+F27+F29+F31+F33+F35+F37+F39+F41+F43+F45+F47+F49+F51+F53+F55+F57</f>
        <v>1</v>
      </c>
      <c r="G13" s="26">
        <f t="shared" si="1"/>
        <v>1</v>
      </c>
      <c r="H13" s="26">
        <f t="shared" si="1"/>
        <v>0</v>
      </c>
      <c r="I13" s="26">
        <f t="shared" si="1"/>
        <v>0</v>
      </c>
      <c r="J13" s="26">
        <f t="shared" si="1"/>
        <v>0</v>
      </c>
      <c r="K13" s="26">
        <f t="shared" si="1"/>
        <v>2</v>
      </c>
      <c r="L13" s="26">
        <f t="shared" si="1"/>
        <v>44</v>
      </c>
      <c r="M13" s="26">
        <f t="shared" si="1"/>
        <v>45</v>
      </c>
      <c r="N13" s="26">
        <f t="shared" si="1"/>
        <v>0</v>
      </c>
      <c r="O13" s="26">
        <f t="shared" si="1"/>
        <v>11</v>
      </c>
      <c r="P13" s="26">
        <f t="shared" si="1"/>
        <v>29</v>
      </c>
      <c r="Q13" s="26">
        <f t="shared" si="1"/>
        <v>0</v>
      </c>
      <c r="R13" s="26">
        <f t="shared" si="1"/>
        <v>37</v>
      </c>
      <c r="S13" s="26">
        <f t="shared" si="1"/>
        <v>27</v>
      </c>
      <c r="T13" s="26">
        <f t="shared" si="1"/>
        <v>0</v>
      </c>
      <c r="U13" s="26">
        <f t="shared" si="1"/>
        <v>12</v>
      </c>
      <c r="V13" s="26">
        <f t="shared" si="1"/>
        <v>61</v>
      </c>
      <c r="W13" s="26">
        <f t="shared" si="1"/>
        <v>3</v>
      </c>
      <c r="X13" s="26">
        <f t="shared" si="1"/>
        <v>5</v>
      </c>
      <c r="Y13" s="26">
        <f t="shared" si="1"/>
        <v>8</v>
      </c>
      <c r="Z13" s="26">
        <f t="shared" si="1"/>
        <v>19</v>
      </c>
      <c r="AA13" s="26">
        <f t="shared" si="1"/>
        <v>12</v>
      </c>
      <c r="AB13" s="26">
        <f t="shared" si="1"/>
        <v>47</v>
      </c>
      <c r="AC13" s="26">
        <f t="shared" si="1"/>
        <v>20</v>
      </c>
      <c r="AD13" s="26">
        <f t="shared" si="1"/>
        <v>113</v>
      </c>
      <c r="AE13" s="26">
        <f t="shared" si="1"/>
        <v>27</v>
      </c>
      <c r="AF13" s="26">
        <f t="shared" si="1"/>
        <v>0</v>
      </c>
      <c r="AG13" s="26">
        <f t="shared" si="1"/>
        <v>494</v>
      </c>
      <c r="AH13" s="26">
        <f t="shared" si="1"/>
        <v>1</v>
      </c>
      <c r="AI13" s="26">
        <f t="shared" si="1"/>
        <v>0</v>
      </c>
      <c r="AJ13" s="26">
        <f t="shared" si="1"/>
        <v>28</v>
      </c>
      <c r="AK13" s="231"/>
      <c r="AL13" s="3"/>
      <c r="AM13" s="234" t="s">
        <v>404</v>
      </c>
      <c r="AN13" s="235"/>
      <c r="AO13" s="26">
        <f t="shared" si="2"/>
        <v>2</v>
      </c>
      <c r="AP13" s="26">
        <f t="shared" si="2"/>
        <v>0</v>
      </c>
      <c r="AQ13" s="26">
        <f t="shared" si="2"/>
        <v>70</v>
      </c>
      <c r="AR13" s="26">
        <f t="shared" si="2"/>
        <v>20</v>
      </c>
      <c r="AS13" s="26">
        <f t="shared" si="2"/>
        <v>1</v>
      </c>
      <c r="AT13" s="26">
        <f t="shared" si="2"/>
        <v>0</v>
      </c>
      <c r="AU13" s="26">
        <f t="shared" si="2"/>
        <v>2</v>
      </c>
      <c r="AV13" s="26">
        <f t="shared" si="2"/>
        <v>33</v>
      </c>
      <c r="AW13" s="26">
        <f t="shared" si="2"/>
        <v>165</v>
      </c>
      <c r="AX13" s="26">
        <f t="shared" si="2"/>
        <v>15</v>
      </c>
      <c r="AY13" s="26">
        <f t="shared" si="2"/>
        <v>243</v>
      </c>
      <c r="AZ13" s="26">
        <f t="shared" si="2"/>
        <v>34</v>
      </c>
      <c r="BA13" s="26">
        <f t="shared" si="2"/>
        <v>1</v>
      </c>
      <c r="BB13" s="26">
        <f t="shared" si="2"/>
        <v>13</v>
      </c>
      <c r="BC13" s="26">
        <f t="shared" si="2"/>
        <v>3</v>
      </c>
      <c r="BD13" s="26">
        <f t="shared" si="2"/>
        <v>0</v>
      </c>
      <c r="BE13" s="26">
        <f t="shared" si="2"/>
        <v>3</v>
      </c>
      <c r="BF13" s="26">
        <f t="shared" si="2"/>
        <v>27</v>
      </c>
      <c r="BG13" s="26">
        <f t="shared" si="2"/>
        <v>3</v>
      </c>
      <c r="BH13" s="26">
        <f t="shared" si="2"/>
        <v>10</v>
      </c>
      <c r="BI13" s="26">
        <f t="shared" si="2"/>
        <v>3</v>
      </c>
      <c r="BJ13" s="26">
        <f t="shared" si="2"/>
        <v>25</v>
      </c>
      <c r="BK13" s="26">
        <f t="shared" si="2"/>
        <v>23</v>
      </c>
      <c r="BL13" s="26">
        <f t="shared" si="2"/>
        <v>33</v>
      </c>
      <c r="BM13" s="26">
        <f t="shared" si="2"/>
        <v>4</v>
      </c>
      <c r="BN13" s="26">
        <f t="shared" si="2"/>
        <v>65</v>
      </c>
      <c r="BO13" s="26">
        <f t="shared" si="2"/>
        <v>14</v>
      </c>
      <c r="BP13" s="26">
        <f t="shared" si="2"/>
        <v>37</v>
      </c>
      <c r="BQ13" s="26">
        <f t="shared" si="2"/>
        <v>0</v>
      </c>
      <c r="BR13" s="26">
        <f t="shared" si="2"/>
        <v>0</v>
      </c>
      <c r="BS13" s="26">
        <f t="shared" si="2"/>
        <v>23</v>
      </c>
    </row>
    <row r="14" spans="1:73" s="15" customFormat="1" ht="18.600000000000001" customHeight="1" x14ac:dyDescent="0.25">
      <c r="A14" s="125" t="s">
        <v>405</v>
      </c>
      <c r="B14" s="4"/>
      <c r="C14" s="47" t="s">
        <v>75</v>
      </c>
      <c r="D14" s="235"/>
      <c r="E14" s="16">
        <f t="shared" si="0"/>
        <v>82944</v>
      </c>
      <c r="F14" s="16">
        <v>270</v>
      </c>
      <c r="G14" s="16">
        <f>82+3</f>
        <v>85</v>
      </c>
      <c r="H14" s="16">
        <v>56</v>
      </c>
      <c r="I14" s="16">
        <f>2+4</f>
        <v>6</v>
      </c>
      <c r="J14" s="16">
        <f>12+2</f>
        <v>14</v>
      </c>
      <c r="K14" s="16">
        <f>138+141</f>
        <v>279</v>
      </c>
      <c r="L14" s="16">
        <v>4952</v>
      </c>
      <c r="M14" s="16">
        <v>3481</v>
      </c>
      <c r="N14" s="16">
        <f>30+47</f>
        <v>77</v>
      </c>
      <c r="O14" s="16">
        <f>32+584</f>
        <v>616</v>
      </c>
      <c r="P14" s="16">
        <f>102+170</f>
        <v>272</v>
      </c>
      <c r="Q14" s="16">
        <v>2</v>
      </c>
      <c r="R14" s="16">
        <v>1139</v>
      </c>
      <c r="S14" s="16">
        <f>1235+311</f>
        <v>1546</v>
      </c>
      <c r="T14" s="16">
        <f>52+12</f>
        <v>64</v>
      </c>
      <c r="U14" s="16">
        <v>444</v>
      </c>
      <c r="V14" s="16">
        <v>841</v>
      </c>
      <c r="W14" s="16">
        <f>115+96</f>
        <v>211</v>
      </c>
      <c r="X14" s="16">
        <v>39</v>
      </c>
      <c r="Y14" s="16">
        <f>91+70</f>
        <v>161</v>
      </c>
      <c r="Z14" s="16">
        <v>311</v>
      </c>
      <c r="AA14" s="16">
        <v>652</v>
      </c>
      <c r="AB14" s="16">
        <f>22+38</f>
        <v>60</v>
      </c>
      <c r="AC14" s="16">
        <f>862+424</f>
        <v>1286</v>
      </c>
      <c r="AD14" s="16">
        <v>5787</v>
      </c>
      <c r="AE14" s="16">
        <v>8055</v>
      </c>
      <c r="AF14" s="16">
        <v>0</v>
      </c>
      <c r="AG14" s="16">
        <v>3322</v>
      </c>
      <c r="AH14" s="16">
        <f>55+29</f>
        <v>84</v>
      </c>
      <c r="AI14" s="16">
        <f>29+1</f>
        <v>30</v>
      </c>
      <c r="AJ14" s="16">
        <f>495+131</f>
        <v>626</v>
      </c>
      <c r="AK14" s="125" t="s">
        <v>405</v>
      </c>
      <c r="AL14" s="4"/>
      <c r="AM14" s="47" t="s">
        <v>75</v>
      </c>
      <c r="AN14" s="235"/>
      <c r="AO14" s="16">
        <f>268+66</f>
        <v>334</v>
      </c>
      <c r="AP14" s="16">
        <v>0</v>
      </c>
      <c r="AQ14" s="16">
        <v>653</v>
      </c>
      <c r="AR14" s="16">
        <f>1530+90</f>
        <v>1620</v>
      </c>
      <c r="AS14" s="16">
        <v>2</v>
      </c>
      <c r="AT14" s="16">
        <v>0</v>
      </c>
      <c r="AU14" s="16">
        <f>3024+1</f>
        <v>3025</v>
      </c>
      <c r="AV14" s="16">
        <f>3212+21574</f>
        <v>24786</v>
      </c>
      <c r="AW14" s="16">
        <f>135+177</f>
        <v>312</v>
      </c>
      <c r="AX14" s="16">
        <f>258+102</f>
        <v>360</v>
      </c>
      <c r="AY14" s="16">
        <v>3431</v>
      </c>
      <c r="AZ14" s="16">
        <f>68+62</f>
        <v>130</v>
      </c>
      <c r="BA14" s="16">
        <f>59+31</f>
        <v>90</v>
      </c>
      <c r="BB14" s="16">
        <v>1358</v>
      </c>
      <c r="BC14" s="16">
        <f>83+31</f>
        <v>114</v>
      </c>
      <c r="BD14" s="16">
        <f>6+85</f>
        <v>91</v>
      </c>
      <c r="BE14" s="16">
        <f>52+54</f>
        <v>106</v>
      </c>
      <c r="BF14" s="16">
        <f>2+46</f>
        <v>48</v>
      </c>
      <c r="BG14" s="16">
        <f>11+34</f>
        <v>45</v>
      </c>
      <c r="BH14" s="16">
        <v>9</v>
      </c>
      <c r="BI14" s="16">
        <v>2079</v>
      </c>
      <c r="BJ14" s="16">
        <f>1469+413</f>
        <v>1882</v>
      </c>
      <c r="BK14" s="16">
        <v>2265</v>
      </c>
      <c r="BL14" s="16">
        <v>12</v>
      </c>
      <c r="BM14" s="16">
        <f>3+1</f>
        <v>4</v>
      </c>
      <c r="BN14" s="16">
        <v>1673</v>
      </c>
      <c r="BO14" s="16">
        <v>547</v>
      </c>
      <c r="BP14" s="16">
        <v>2377</v>
      </c>
      <c r="BQ14" s="16">
        <v>0</v>
      </c>
      <c r="BR14" s="16">
        <v>0</v>
      </c>
      <c r="BS14" s="16">
        <f>752+71</f>
        <v>823</v>
      </c>
    </row>
    <row r="15" spans="1:73" s="15" customFormat="1" ht="18.600000000000001" customHeight="1" x14ac:dyDescent="0.25">
      <c r="A15" s="125"/>
      <c r="B15" s="4"/>
      <c r="C15" s="47" t="s">
        <v>76</v>
      </c>
      <c r="D15" s="235"/>
      <c r="E15" s="16">
        <f t="shared" si="0"/>
        <v>218</v>
      </c>
      <c r="F15" s="26">
        <v>0</v>
      </c>
      <c r="G15" s="26">
        <v>1</v>
      </c>
      <c r="H15" s="26">
        <v>0</v>
      </c>
      <c r="I15" s="26">
        <v>0</v>
      </c>
      <c r="J15" s="26">
        <v>0</v>
      </c>
      <c r="K15" s="26">
        <v>1</v>
      </c>
      <c r="L15" s="26">
        <f>1+3</f>
        <v>4</v>
      </c>
      <c r="M15" s="26">
        <f>8+9</f>
        <v>17</v>
      </c>
      <c r="N15" s="26">
        <v>0</v>
      </c>
      <c r="O15" s="26">
        <v>1</v>
      </c>
      <c r="P15" s="26">
        <f>2+4</f>
        <v>6</v>
      </c>
      <c r="Q15" s="26">
        <v>0</v>
      </c>
      <c r="R15" s="26">
        <v>2</v>
      </c>
      <c r="S15" s="26">
        <f>3+2</f>
        <v>5</v>
      </c>
      <c r="T15" s="26">
        <v>0</v>
      </c>
      <c r="U15" s="16">
        <v>0</v>
      </c>
      <c r="V15" s="16">
        <f>8+3</f>
        <v>11</v>
      </c>
      <c r="W15" s="16">
        <v>2</v>
      </c>
      <c r="X15" s="16">
        <v>1</v>
      </c>
      <c r="Y15" s="16">
        <f>4+2</f>
        <v>6</v>
      </c>
      <c r="Z15" s="16">
        <v>2</v>
      </c>
      <c r="AA15" s="16">
        <v>6</v>
      </c>
      <c r="AB15" s="16">
        <v>1</v>
      </c>
      <c r="AC15" s="16">
        <v>0</v>
      </c>
      <c r="AD15" s="16">
        <f>9+6</f>
        <v>15</v>
      </c>
      <c r="AE15" s="16">
        <v>2</v>
      </c>
      <c r="AF15" s="16">
        <v>0</v>
      </c>
      <c r="AG15" s="16">
        <f>14+13</f>
        <v>27</v>
      </c>
      <c r="AH15" s="16">
        <v>0</v>
      </c>
      <c r="AI15" s="16">
        <v>0</v>
      </c>
      <c r="AJ15" s="16">
        <v>4</v>
      </c>
      <c r="AK15" s="125"/>
      <c r="AL15" s="4"/>
      <c r="AM15" s="47" t="s">
        <v>76</v>
      </c>
      <c r="AN15" s="235"/>
      <c r="AO15" s="16">
        <v>1</v>
      </c>
      <c r="AP15" s="16">
        <v>0</v>
      </c>
      <c r="AQ15" s="16">
        <f>5+1</f>
        <v>6</v>
      </c>
      <c r="AR15" s="16">
        <f>2+2</f>
        <v>4</v>
      </c>
      <c r="AS15" s="16">
        <v>0</v>
      </c>
      <c r="AT15" s="16">
        <v>0</v>
      </c>
      <c r="AU15" s="16">
        <v>0</v>
      </c>
      <c r="AV15" s="16">
        <f>4+1</f>
        <v>5</v>
      </c>
      <c r="AW15" s="16">
        <f>5+6</f>
        <v>11</v>
      </c>
      <c r="AX15" s="16">
        <v>3</v>
      </c>
      <c r="AY15" s="16">
        <f>13+20</f>
        <v>33</v>
      </c>
      <c r="AZ15" s="16">
        <v>0</v>
      </c>
      <c r="BA15" s="16">
        <v>0</v>
      </c>
      <c r="BB15" s="16">
        <v>3</v>
      </c>
      <c r="BC15" s="16">
        <v>1</v>
      </c>
      <c r="BD15" s="16">
        <v>0</v>
      </c>
      <c r="BE15" s="16">
        <v>0</v>
      </c>
      <c r="BF15" s="16">
        <v>0</v>
      </c>
      <c r="BG15" s="16">
        <v>1</v>
      </c>
      <c r="BH15" s="16">
        <v>0</v>
      </c>
      <c r="BI15" s="16">
        <v>0</v>
      </c>
      <c r="BJ15" s="16">
        <v>2</v>
      </c>
      <c r="BK15" s="16">
        <v>1</v>
      </c>
      <c r="BL15" s="16">
        <v>0</v>
      </c>
      <c r="BM15" s="16">
        <v>0</v>
      </c>
      <c r="BN15" s="16">
        <f>2+11</f>
        <v>13</v>
      </c>
      <c r="BO15" s="16">
        <v>1</v>
      </c>
      <c r="BP15" s="16">
        <f>14+1</f>
        <v>15</v>
      </c>
      <c r="BQ15" s="16">
        <v>0</v>
      </c>
      <c r="BR15" s="16">
        <v>0</v>
      </c>
      <c r="BS15" s="16">
        <f>3+1</f>
        <v>4</v>
      </c>
    </row>
    <row r="16" spans="1:73" s="15" customFormat="1" ht="18.600000000000001" customHeight="1" x14ac:dyDescent="0.25">
      <c r="A16" s="125" t="s">
        <v>406</v>
      </c>
      <c r="B16" s="4"/>
      <c r="C16" s="47" t="s">
        <v>75</v>
      </c>
      <c r="D16" s="235"/>
      <c r="E16" s="16">
        <f t="shared" si="0"/>
        <v>63658</v>
      </c>
      <c r="F16" s="16">
        <f>132+261</f>
        <v>393</v>
      </c>
      <c r="G16" s="16">
        <f>270+675</f>
        <v>945</v>
      </c>
      <c r="H16" s="16">
        <f>572+873</f>
        <v>1445</v>
      </c>
      <c r="I16" s="16">
        <v>0</v>
      </c>
      <c r="J16" s="16">
        <f>14+31</f>
        <v>45</v>
      </c>
      <c r="K16" s="16">
        <f>25+93</f>
        <v>118</v>
      </c>
      <c r="L16" s="16">
        <v>4203</v>
      </c>
      <c r="M16" s="16">
        <f>635+930</f>
        <v>1565</v>
      </c>
      <c r="N16" s="16">
        <v>7</v>
      </c>
      <c r="O16" s="16">
        <f>21+526</f>
        <v>547</v>
      </c>
      <c r="P16" s="16">
        <f>41+25</f>
        <v>66</v>
      </c>
      <c r="Q16" s="16">
        <v>0</v>
      </c>
      <c r="R16" s="16">
        <f>76+146</f>
        <v>222</v>
      </c>
      <c r="S16" s="16">
        <f>98+142</f>
        <v>240</v>
      </c>
      <c r="T16" s="16">
        <f>47+181</f>
        <v>228</v>
      </c>
      <c r="U16" s="16">
        <f>89+107</f>
        <v>196</v>
      </c>
      <c r="V16" s="16">
        <f>145+639</f>
        <v>784</v>
      </c>
      <c r="W16" s="16">
        <f>19+22</f>
        <v>41</v>
      </c>
      <c r="X16" s="16">
        <f>34+8</f>
        <v>42</v>
      </c>
      <c r="Y16" s="16">
        <f>41+29</f>
        <v>70</v>
      </c>
      <c r="Z16" s="16">
        <f>2252+3948</f>
        <v>6200</v>
      </c>
      <c r="AA16" s="16">
        <v>106</v>
      </c>
      <c r="AB16" s="16">
        <v>363</v>
      </c>
      <c r="AC16" s="16">
        <f>432+321</f>
        <v>753</v>
      </c>
      <c r="AD16" s="16">
        <f>3403+6678</f>
        <v>10081</v>
      </c>
      <c r="AE16" s="16">
        <f>2259+3195</f>
        <v>5454</v>
      </c>
      <c r="AF16" s="16">
        <v>0</v>
      </c>
      <c r="AG16" s="16">
        <v>1561</v>
      </c>
      <c r="AH16" s="16">
        <f>24+25</f>
        <v>49</v>
      </c>
      <c r="AI16" s="16">
        <v>3</v>
      </c>
      <c r="AJ16" s="16">
        <v>253</v>
      </c>
      <c r="AK16" s="125" t="s">
        <v>406</v>
      </c>
      <c r="AL16" s="4"/>
      <c r="AM16" s="47" t="s">
        <v>75</v>
      </c>
      <c r="AN16" s="235"/>
      <c r="AO16" s="16">
        <f>14+17</f>
        <v>31</v>
      </c>
      <c r="AP16" s="16">
        <v>0</v>
      </c>
      <c r="AQ16" s="16">
        <f>126+86</f>
        <v>212</v>
      </c>
      <c r="AR16" s="16">
        <v>720</v>
      </c>
      <c r="AS16" s="16">
        <f>5+14</f>
        <v>19</v>
      </c>
      <c r="AT16" s="16">
        <v>2</v>
      </c>
      <c r="AU16" s="16">
        <f>1+7</f>
        <v>8</v>
      </c>
      <c r="AV16" s="16">
        <f>28+37</f>
        <v>65</v>
      </c>
      <c r="AW16" s="16">
        <f>247+136</f>
        <v>383</v>
      </c>
      <c r="AX16" s="16">
        <f>294+345</f>
        <v>639</v>
      </c>
      <c r="AY16" s="16">
        <v>11367</v>
      </c>
      <c r="AZ16" s="16">
        <f>225+696</f>
        <v>921</v>
      </c>
      <c r="BA16" s="16">
        <v>3</v>
      </c>
      <c r="BB16" s="16">
        <f>101+430</f>
        <v>531</v>
      </c>
      <c r="BC16" s="16">
        <f>25+37</f>
        <v>62</v>
      </c>
      <c r="BD16" s="16">
        <v>0</v>
      </c>
      <c r="BE16" s="16">
        <v>3</v>
      </c>
      <c r="BF16" s="16">
        <f>35+37</f>
        <v>72</v>
      </c>
      <c r="BG16" s="16">
        <f>7+38</f>
        <v>45</v>
      </c>
      <c r="BH16" s="16">
        <v>27</v>
      </c>
      <c r="BI16" s="16">
        <v>55</v>
      </c>
      <c r="BJ16" s="16">
        <v>507</v>
      </c>
      <c r="BK16" s="16">
        <v>693</v>
      </c>
      <c r="BL16" s="16">
        <v>272</v>
      </c>
      <c r="BM16" s="16">
        <v>276</v>
      </c>
      <c r="BN16" s="16">
        <f>2250+4505</f>
        <v>6755</v>
      </c>
      <c r="BO16" s="16">
        <f>65+95</f>
        <v>160</v>
      </c>
      <c r="BP16" s="16">
        <f>1204+2352</f>
        <v>3556</v>
      </c>
      <c r="BQ16" s="16">
        <f>9+3</f>
        <v>12</v>
      </c>
      <c r="BR16" s="16">
        <v>0</v>
      </c>
      <c r="BS16" s="16">
        <f>96+186</f>
        <v>282</v>
      </c>
    </row>
    <row r="17" spans="1:71" s="15" customFormat="1" ht="18.600000000000001" customHeight="1" x14ac:dyDescent="0.25">
      <c r="A17" s="125"/>
      <c r="B17" s="4"/>
      <c r="C17" s="47" t="s">
        <v>76</v>
      </c>
      <c r="D17" s="235"/>
      <c r="E17" s="16">
        <f t="shared" si="0"/>
        <v>515</v>
      </c>
      <c r="F17" s="26">
        <v>1</v>
      </c>
      <c r="G17" s="26">
        <v>0</v>
      </c>
      <c r="H17" s="26">
        <v>0</v>
      </c>
      <c r="I17" s="26">
        <v>0</v>
      </c>
      <c r="J17" s="26">
        <v>0</v>
      </c>
      <c r="K17" s="26">
        <v>1</v>
      </c>
      <c r="L17" s="26">
        <f>2+12</f>
        <v>14</v>
      </c>
      <c r="M17" s="26">
        <f>1+3</f>
        <v>4</v>
      </c>
      <c r="N17" s="26">
        <v>0</v>
      </c>
      <c r="O17" s="26">
        <v>0</v>
      </c>
      <c r="P17" s="26">
        <f>1+1</f>
        <v>2</v>
      </c>
      <c r="Q17" s="26">
        <v>0</v>
      </c>
      <c r="R17" s="26">
        <f>2+3</f>
        <v>5</v>
      </c>
      <c r="S17" s="26">
        <f>5+1</f>
        <v>6</v>
      </c>
      <c r="T17" s="26">
        <v>0</v>
      </c>
      <c r="U17" s="16">
        <f>1+1</f>
        <v>2</v>
      </c>
      <c r="V17" s="16">
        <f>3+16</f>
        <v>19</v>
      </c>
      <c r="W17" s="16">
        <v>1</v>
      </c>
      <c r="X17" s="16">
        <f>1+1</f>
        <v>2</v>
      </c>
      <c r="Y17" s="16">
        <v>1</v>
      </c>
      <c r="Z17" s="16">
        <v>9</v>
      </c>
      <c r="AA17" s="16">
        <v>0</v>
      </c>
      <c r="AB17" s="16">
        <f>3+3</f>
        <v>6</v>
      </c>
      <c r="AC17" s="16">
        <f>5+2</f>
        <v>7</v>
      </c>
      <c r="AD17" s="16">
        <f>24+9</f>
        <v>33</v>
      </c>
      <c r="AE17" s="16">
        <f>7+5</f>
        <v>12</v>
      </c>
      <c r="AF17" s="16">
        <v>0</v>
      </c>
      <c r="AG17" s="16">
        <f>63+113</f>
        <v>176</v>
      </c>
      <c r="AH17" s="16">
        <v>0</v>
      </c>
      <c r="AI17" s="16">
        <v>0</v>
      </c>
      <c r="AJ17" s="16">
        <f>4+2</f>
        <v>6</v>
      </c>
      <c r="AK17" s="125"/>
      <c r="AL17" s="4"/>
      <c r="AM17" s="47" t="s">
        <v>76</v>
      </c>
      <c r="AN17" s="235"/>
      <c r="AO17" s="16">
        <v>0</v>
      </c>
      <c r="AP17" s="16">
        <v>0</v>
      </c>
      <c r="AQ17" s="16">
        <f>9+2</f>
        <v>11</v>
      </c>
      <c r="AR17" s="16">
        <v>6</v>
      </c>
      <c r="AS17" s="16">
        <v>1</v>
      </c>
      <c r="AT17" s="16">
        <v>0</v>
      </c>
      <c r="AU17" s="16">
        <f>1+1</f>
        <v>2</v>
      </c>
      <c r="AV17" s="16">
        <f>11+4</f>
        <v>15</v>
      </c>
      <c r="AW17" s="16">
        <v>36</v>
      </c>
      <c r="AX17" s="16">
        <v>2</v>
      </c>
      <c r="AY17" s="16">
        <f>51+10</f>
        <v>61</v>
      </c>
      <c r="AZ17" s="16">
        <v>3</v>
      </c>
      <c r="BA17" s="16">
        <v>0</v>
      </c>
      <c r="BB17" s="16">
        <v>2</v>
      </c>
      <c r="BC17" s="16">
        <v>2</v>
      </c>
      <c r="BD17" s="16">
        <v>0</v>
      </c>
      <c r="BE17" s="16">
        <v>0</v>
      </c>
      <c r="BF17" s="16">
        <v>4</v>
      </c>
      <c r="BG17" s="16">
        <v>0</v>
      </c>
      <c r="BH17" s="16">
        <v>0</v>
      </c>
      <c r="BI17" s="16">
        <v>0</v>
      </c>
      <c r="BJ17" s="16">
        <f>8+1</f>
        <v>9</v>
      </c>
      <c r="BK17" s="16">
        <f>9+1</f>
        <v>10</v>
      </c>
      <c r="BL17" s="16">
        <f>7+11</f>
        <v>18</v>
      </c>
      <c r="BM17" s="16">
        <f>3+1</f>
        <v>4</v>
      </c>
      <c r="BN17" s="16">
        <f>5+3</f>
        <v>8</v>
      </c>
      <c r="BO17" s="16">
        <v>0</v>
      </c>
      <c r="BP17" s="16">
        <f>7+2</f>
        <v>9</v>
      </c>
      <c r="BQ17" s="16">
        <v>0</v>
      </c>
      <c r="BR17" s="16">
        <v>0</v>
      </c>
      <c r="BS17" s="16">
        <v>5</v>
      </c>
    </row>
    <row r="18" spans="1:71" s="15" customFormat="1" ht="18.600000000000001" customHeight="1" x14ac:dyDescent="0.25">
      <c r="A18" s="125" t="s">
        <v>176</v>
      </c>
      <c r="B18" s="5"/>
      <c r="C18" s="47" t="s">
        <v>75</v>
      </c>
      <c r="D18" s="235"/>
      <c r="E18" s="16">
        <f t="shared" si="0"/>
        <v>69822</v>
      </c>
      <c r="F18" s="16">
        <f>9+57</f>
        <v>66</v>
      </c>
      <c r="G18" s="16">
        <f>8+77</f>
        <v>85</v>
      </c>
      <c r="H18" s="16">
        <f>6+21</f>
        <v>27</v>
      </c>
      <c r="I18" s="16">
        <v>8</v>
      </c>
      <c r="J18" s="16">
        <f>1+17</f>
        <v>18</v>
      </c>
      <c r="K18" s="16">
        <f>11+233</f>
        <v>244</v>
      </c>
      <c r="L18" s="16">
        <f>7286+2715</f>
        <v>10001</v>
      </c>
      <c r="M18" s="16">
        <f>1509+3889</f>
        <v>5398</v>
      </c>
      <c r="N18" s="16">
        <f>40+211</f>
        <v>251</v>
      </c>
      <c r="O18" s="16">
        <f>211+665</f>
        <v>876</v>
      </c>
      <c r="P18" s="16">
        <f>10+145</f>
        <v>155</v>
      </c>
      <c r="Q18" s="16">
        <v>10</v>
      </c>
      <c r="R18" s="16">
        <f>97+399</f>
        <v>496</v>
      </c>
      <c r="S18" s="16">
        <v>904</v>
      </c>
      <c r="T18" s="16">
        <v>444</v>
      </c>
      <c r="U18" s="16">
        <v>1423</v>
      </c>
      <c r="V18" s="16">
        <f>184+1355</f>
        <v>1539</v>
      </c>
      <c r="W18" s="16">
        <v>95</v>
      </c>
      <c r="X18" s="16">
        <f>16+92</f>
        <v>108</v>
      </c>
      <c r="Y18" s="16">
        <v>262</v>
      </c>
      <c r="Z18" s="16">
        <f>172+2122</f>
        <v>2294</v>
      </c>
      <c r="AA18" s="16">
        <f>46+337</f>
        <v>383</v>
      </c>
      <c r="AB18" s="16">
        <f>33+455</f>
        <v>488</v>
      </c>
      <c r="AC18" s="16">
        <v>1174</v>
      </c>
      <c r="AD18" s="16">
        <v>10287</v>
      </c>
      <c r="AE18" s="16">
        <f>2029+2772</f>
        <v>4801</v>
      </c>
      <c r="AF18" s="16">
        <v>0</v>
      </c>
      <c r="AG18" s="16">
        <v>4784</v>
      </c>
      <c r="AH18" s="16">
        <f>17+324</f>
        <v>341</v>
      </c>
      <c r="AI18" s="16">
        <f>2+22</f>
        <v>24</v>
      </c>
      <c r="AJ18" s="16">
        <f>54+785</f>
        <v>839</v>
      </c>
      <c r="AK18" s="125" t="s">
        <v>176</v>
      </c>
      <c r="AL18" s="5"/>
      <c r="AM18" s="47" t="s">
        <v>75</v>
      </c>
      <c r="AN18" s="235"/>
      <c r="AO18" s="16">
        <f>31+35</f>
        <v>66</v>
      </c>
      <c r="AP18" s="16">
        <v>0</v>
      </c>
      <c r="AQ18" s="16">
        <v>467</v>
      </c>
      <c r="AR18" s="16">
        <v>148</v>
      </c>
      <c r="AS18" s="16">
        <f>1+3</f>
        <v>4</v>
      </c>
      <c r="AT18" s="16">
        <v>1</v>
      </c>
      <c r="AU18" s="16">
        <f>2+1</f>
        <v>3</v>
      </c>
      <c r="AV18" s="16">
        <v>162</v>
      </c>
      <c r="AW18" s="16">
        <f>113+962</f>
        <v>1075</v>
      </c>
      <c r="AX18" s="16">
        <f>81+269</f>
        <v>350</v>
      </c>
      <c r="AY18" s="16">
        <v>6520</v>
      </c>
      <c r="AZ18" s="16">
        <v>846</v>
      </c>
      <c r="BA18" s="16">
        <f>42+30</f>
        <v>72</v>
      </c>
      <c r="BB18" s="16">
        <f>56+423</f>
        <v>479</v>
      </c>
      <c r="BC18" s="16">
        <f>4+75</f>
        <v>79</v>
      </c>
      <c r="BD18" s="16">
        <f>8+31</f>
        <v>39</v>
      </c>
      <c r="BE18" s="16">
        <f>1+11</f>
        <v>12</v>
      </c>
      <c r="BF18" s="16">
        <f>1+25</f>
        <v>26</v>
      </c>
      <c r="BG18" s="16">
        <f>17+58</f>
        <v>75</v>
      </c>
      <c r="BH18" s="16">
        <v>30</v>
      </c>
      <c r="BI18" s="16">
        <f>118+480</f>
        <v>598</v>
      </c>
      <c r="BJ18" s="16">
        <v>2140</v>
      </c>
      <c r="BK18" s="16">
        <f>281+1939</f>
        <v>2220</v>
      </c>
      <c r="BL18" s="16">
        <v>352</v>
      </c>
      <c r="BM18" s="16">
        <v>2</v>
      </c>
      <c r="BN18" s="16">
        <f>1237+1036</f>
        <v>2273</v>
      </c>
      <c r="BO18" s="16">
        <v>774</v>
      </c>
      <c r="BP18" s="16">
        <v>2990</v>
      </c>
      <c r="BQ18" s="16">
        <v>72</v>
      </c>
      <c r="BR18" s="16">
        <v>0</v>
      </c>
      <c r="BS18" s="16">
        <v>122</v>
      </c>
    </row>
    <row r="19" spans="1:71" s="15" customFormat="1" ht="18.600000000000001" customHeight="1" x14ac:dyDescent="0.25">
      <c r="A19" s="125"/>
      <c r="B19" s="5"/>
      <c r="C19" s="47" t="s">
        <v>76</v>
      </c>
      <c r="D19" s="235"/>
      <c r="E19" s="16">
        <f t="shared" si="0"/>
        <v>171</v>
      </c>
      <c r="F19" s="26">
        <v>0</v>
      </c>
      <c r="G19" s="26">
        <v>0</v>
      </c>
      <c r="H19" s="26">
        <v>0</v>
      </c>
      <c r="I19" s="26">
        <v>0</v>
      </c>
      <c r="J19" s="26">
        <v>0</v>
      </c>
      <c r="K19" s="26">
        <v>0</v>
      </c>
      <c r="L19" s="26">
        <f>2+3</f>
        <v>5</v>
      </c>
      <c r="M19" s="26">
        <f>3+5</f>
        <v>8</v>
      </c>
      <c r="N19" s="26">
        <v>0</v>
      </c>
      <c r="O19" s="26">
        <v>1</v>
      </c>
      <c r="P19" s="26">
        <f>1+1</f>
        <v>2</v>
      </c>
      <c r="Q19" s="26">
        <v>0</v>
      </c>
      <c r="R19" s="26">
        <v>1</v>
      </c>
      <c r="S19" s="26">
        <v>2</v>
      </c>
      <c r="T19" s="26">
        <v>0</v>
      </c>
      <c r="U19" s="16">
        <v>2</v>
      </c>
      <c r="V19" s="16">
        <f>4+6</f>
        <v>10</v>
      </c>
      <c r="W19" s="16">
        <v>0</v>
      </c>
      <c r="X19" s="16">
        <v>1</v>
      </c>
      <c r="Y19" s="16">
        <v>1</v>
      </c>
      <c r="Z19" s="16">
        <v>0</v>
      </c>
      <c r="AA19" s="16">
        <v>1</v>
      </c>
      <c r="AB19" s="16">
        <f>1+5</f>
        <v>6</v>
      </c>
      <c r="AC19" s="16">
        <v>1</v>
      </c>
      <c r="AD19" s="16">
        <f>1+2</f>
        <v>3</v>
      </c>
      <c r="AE19" s="16">
        <v>1</v>
      </c>
      <c r="AF19" s="16">
        <v>0</v>
      </c>
      <c r="AG19" s="16">
        <f>19+17</f>
        <v>36</v>
      </c>
      <c r="AH19" s="16">
        <v>0</v>
      </c>
      <c r="AI19" s="16">
        <v>0</v>
      </c>
      <c r="AJ19" s="16">
        <f>3+2</f>
        <v>5</v>
      </c>
      <c r="AK19" s="125"/>
      <c r="AL19" s="5"/>
      <c r="AM19" s="47" t="s">
        <v>76</v>
      </c>
      <c r="AN19" s="235"/>
      <c r="AO19" s="16">
        <v>0</v>
      </c>
      <c r="AP19" s="16">
        <v>0</v>
      </c>
      <c r="AQ19" s="16">
        <f>3+1</f>
        <v>4</v>
      </c>
      <c r="AR19" s="16">
        <v>1</v>
      </c>
      <c r="AS19" s="16">
        <v>0</v>
      </c>
      <c r="AT19" s="16">
        <v>0</v>
      </c>
      <c r="AU19" s="16">
        <v>0</v>
      </c>
      <c r="AV19" s="16">
        <f>2+3</f>
        <v>5</v>
      </c>
      <c r="AW19" s="16">
        <f>7+13</f>
        <v>20</v>
      </c>
      <c r="AX19" s="16">
        <f>5+5</f>
        <v>10</v>
      </c>
      <c r="AY19" s="16">
        <f>7+12</f>
        <v>19</v>
      </c>
      <c r="AZ19" s="16">
        <v>1</v>
      </c>
      <c r="BA19" s="16">
        <v>0</v>
      </c>
      <c r="BB19" s="16">
        <v>3</v>
      </c>
      <c r="BC19" s="16">
        <v>0</v>
      </c>
      <c r="BD19" s="16">
        <v>0</v>
      </c>
      <c r="BE19" s="16">
        <v>0</v>
      </c>
      <c r="BF19" s="16">
        <v>0</v>
      </c>
      <c r="BG19" s="16">
        <v>0</v>
      </c>
      <c r="BH19" s="16">
        <v>1</v>
      </c>
      <c r="BI19" s="16">
        <v>0</v>
      </c>
      <c r="BJ19" s="16">
        <v>0</v>
      </c>
      <c r="BK19" s="16">
        <f>3+1</f>
        <v>4</v>
      </c>
      <c r="BL19" s="16">
        <v>1</v>
      </c>
      <c r="BM19" s="16">
        <v>0</v>
      </c>
      <c r="BN19" s="16">
        <v>9</v>
      </c>
      <c r="BO19" s="16">
        <v>1</v>
      </c>
      <c r="BP19" s="16">
        <v>2</v>
      </c>
      <c r="BQ19" s="16">
        <v>0</v>
      </c>
      <c r="BR19" s="16">
        <v>0</v>
      </c>
      <c r="BS19" s="16">
        <v>4</v>
      </c>
    </row>
    <row r="20" spans="1:71" s="15" customFormat="1" ht="18.600000000000001" customHeight="1" x14ac:dyDescent="0.25">
      <c r="A20" s="125" t="s">
        <v>77</v>
      </c>
      <c r="B20" s="4"/>
      <c r="C20" s="47" t="s">
        <v>75</v>
      </c>
      <c r="D20" s="235"/>
      <c r="E20" s="16">
        <f t="shared" si="0"/>
        <v>83557</v>
      </c>
      <c r="F20" s="16">
        <f>56+28</f>
        <v>84</v>
      </c>
      <c r="G20" s="16">
        <f>10+17</f>
        <v>27</v>
      </c>
      <c r="H20" s="16">
        <v>32</v>
      </c>
      <c r="I20" s="16">
        <f>30+1</f>
        <v>31</v>
      </c>
      <c r="J20" s="16">
        <f>10+29</f>
        <v>39</v>
      </c>
      <c r="K20" s="16">
        <f>124+100</f>
        <v>224</v>
      </c>
      <c r="L20" s="16">
        <v>16547</v>
      </c>
      <c r="M20" s="16">
        <v>8514</v>
      </c>
      <c r="N20" s="16">
        <v>408</v>
      </c>
      <c r="O20" s="16">
        <v>944</v>
      </c>
      <c r="P20" s="16">
        <v>142</v>
      </c>
      <c r="Q20" s="16">
        <v>0</v>
      </c>
      <c r="R20" s="16">
        <v>814</v>
      </c>
      <c r="S20" s="16">
        <v>1248</v>
      </c>
      <c r="T20" s="16">
        <f>117+47</f>
        <v>164</v>
      </c>
      <c r="U20" s="16">
        <v>837</v>
      </c>
      <c r="V20" s="16">
        <f>630+575</f>
        <v>1205</v>
      </c>
      <c r="W20" s="16">
        <f>169+316</f>
        <v>485</v>
      </c>
      <c r="X20" s="16">
        <f>80+235</f>
        <v>315</v>
      </c>
      <c r="Y20" s="16">
        <f>144+310</f>
        <v>454</v>
      </c>
      <c r="Z20" s="16">
        <f>1049+1143</f>
        <v>2192</v>
      </c>
      <c r="AA20" s="16">
        <f>544+846</f>
        <v>1390</v>
      </c>
      <c r="AB20" s="16">
        <f>83+80</f>
        <v>163</v>
      </c>
      <c r="AC20" s="16">
        <f>418+1211</f>
        <v>1629</v>
      </c>
      <c r="AD20" s="16">
        <f>2092+4146</f>
        <v>6238</v>
      </c>
      <c r="AE20" s="16">
        <f>1467+3245</f>
        <v>4712</v>
      </c>
      <c r="AF20" s="16">
        <v>0</v>
      </c>
      <c r="AG20" s="16">
        <v>2578</v>
      </c>
      <c r="AH20" s="16">
        <f>196+49</f>
        <v>245</v>
      </c>
      <c r="AI20" s="16">
        <f>5+3</f>
        <v>8</v>
      </c>
      <c r="AJ20" s="16">
        <f>194+439</f>
        <v>633</v>
      </c>
      <c r="AK20" s="125" t="s">
        <v>77</v>
      </c>
      <c r="AL20" s="4"/>
      <c r="AM20" s="47" t="s">
        <v>75</v>
      </c>
      <c r="AN20" s="235"/>
      <c r="AO20" s="16">
        <f>187+110</f>
        <v>297</v>
      </c>
      <c r="AP20" s="16">
        <v>0</v>
      </c>
      <c r="AQ20" s="16">
        <f>363+302</f>
        <v>665</v>
      </c>
      <c r="AR20" s="16">
        <f>190+115</f>
        <v>305</v>
      </c>
      <c r="AS20" s="16">
        <f>3+4</f>
        <v>7</v>
      </c>
      <c r="AT20" s="16">
        <f>1+2</f>
        <v>3</v>
      </c>
      <c r="AU20" s="16">
        <f>6+12</f>
        <v>18</v>
      </c>
      <c r="AV20" s="16">
        <f>26+113</f>
        <v>139</v>
      </c>
      <c r="AW20" s="16">
        <f>161+302</f>
        <v>463</v>
      </c>
      <c r="AX20" s="16">
        <v>220</v>
      </c>
      <c r="AY20" s="16">
        <v>2863</v>
      </c>
      <c r="AZ20" s="16">
        <v>770</v>
      </c>
      <c r="BA20" s="16">
        <f>47+15</f>
        <v>62</v>
      </c>
      <c r="BB20" s="16">
        <v>344</v>
      </c>
      <c r="BC20" s="16">
        <v>224</v>
      </c>
      <c r="BD20" s="16">
        <v>10</v>
      </c>
      <c r="BE20" s="16">
        <f>10+18</f>
        <v>28</v>
      </c>
      <c r="BF20" s="16">
        <v>2</v>
      </c>
      <c r="BG20" s="16">
        <f>20+2</f>
        <v>22</v>
      </c>
      <c r="BH20" s="16">
        <f>38+2</f>
        <v>40</v>
      </c>
      <c r="BI20" s="16">
        <f>307+258</f>
        <v>565</v>
      </c>
      <c r="BJ20" s="16">
        <f>784+1316</f>
        <v>2100</v>
      </c>
      <c r="BK20" s="16">
        <f>912+1154</f>
        <v>2066</v>
      </c>
      <c r="BL20" s="16">
        <f>66+240</f>
        <v>306</v>
      </c>
      <c r="BM20" s="16">
        <v>0</v>
      </c>
      <c r="BN20" s="16">
        <v>13746</v>
      </c>
      <c r="BO20" s="16">
        <v>1978</v>
      </c>
      <c r="BP20" s="16">
        <f>547+1401</f>
        <v>1948</v>
      </c>
      <c r="BQ20" s="16">
        <v>0</v>
      </c>
      <c r="BR20" s="16">
        <v>0</v>
      </c>
      <c r="BS20" s="16">
        <f>1292+772</f>
        <v>2064</v>
      </c>
    </row>
    <row r="21" spans="1:71" s="15" customFormat="1" ht="18.600000000000001" customHeight="1" x14ac:dyDescent="0.25">
      <c r="A21" s="125"/>
      <c r="B21" s="4"/>
      <c r="C21" s="47" t="s">
        <v>76</v>
      </c>
      <c r="D21" s="235"/>
      <c r="E21" s="16">
        <f t="shared" si="0"/>
        <v>86</v>
      </c>
      <c r="F21" s="16">
        <v>0</v>
      </c>
      <c r="G21" s="16">
        <v>0</v>
      </c>
      <c r="H21" s="16">
        <v>0</v>
      </c>
      <c r="I21" s="16">
        <v>0</v>
      </c>
      <c r="J21" s="16">
        <v>0</v>
      </c>
      <c r="K21" s="16">
        <v>0</v>
      </c>
      <c r="L21" s="16">
        <f>1+1</f>
        <v>2</v>
      </c>
      <c r="M21" s="16">
        <v>0</v>
      </c>
      <c r="N21" s="16">
        <v>0</v>
      </c>
      <c r="O21" s="16">
        <v>0</v>
      </c>
      <c r="P21" s="16">
        <v>3</v>
      </c>
      <c r="Q21" s="16">
        <v>0</v>
      </c>
      <c r="R21" s="16">
        <v>2</v>
      </c>
      <c r="S21" s="16">
        <v>0</v>
      </c>
      <c r="T21" s="16">
        <v>0</v>
      </c>
      <c r="U21" s="16">
        <v>0</v>
      </c>
      <c r="V21" s="16">
        <f>2+3</f>
        <v>5</v>
      </c>
      <c r="W21" s="16">
        <v>0</v>
      </c>
      <c r="X21" s="16">
        <v>0</v>
      </c>
      <c r="Y21" s="16">
        <v>0</v>
      </c>
      <c r="Z21" s="16">
        <v>0</v>
      </c>
      <c r="AA21" s="16">
        <v>1</v>
      </c>
      <c r="AB21" s="16">
        <v>0</v>
      </c>
      <c r="AC21" s="16">
        <f>1+1</f>
        <v>2</v>
      </c>
      <c r="AD21" s="16">
        <f>3+2</f>
        <v>5</v>
      </c>
      <c r="AE21" s="16">
        <v>0</v>
      </c>
      <c r="AF21" s="16">
        <v>0</v>
      </c>
      <c r="AG21" s="16">
        <f>8+10</f>
        <v>18</v>
      </c>
      <c r="AH21" s="16">
        <v>0</v>
      </c>
      <c r="AI21" s="16">
        <v>0</v>
      </c>
      <c r="AJ21" s="16">
        <v>1</v>
      </c>
      <c r="AK21" s="125"/>
      <c r="AL21" s="4"/>
      <c r="AM21" s="47" t="s">
        <v>76</v>
      </c>
      <c r="AN21" s="235"/>
      <c r="AO21" s="16">
        <v>0</v>
      </c>
      <c r="AP21" s="16">
        <v>0</v>
      </c>
      <c r="AQ21" s="16">
        <f>1+2</f>
        <v>3</v>
      </c>
      <c r="AR21" s="16">
        <v>0</v>
      </c>
      <c r="AS21" s="16">
        <v>0</v>
      </c>
      <c r="AT21" s="16">
        <v>0</v>
      </c>
      <c r="AU21" s="16">
        <v>0</v>
      </c>
      <c r="AV21" s="16">
        <v>1</v>
      </c>
      <c r="AW21" s="16">
        <f>3+5</f>
        <v>8</v>
      </c>
      <c r="AX21" s="16">
        <v>0</v>
      </c>
      <c r="AY21" s="16">
        <f>2+6</f>
        <v>8</v>
      </c>
      <c r="AZ21" s="16">
        <f>1+2</f>
        <v>3</v>
      </c>
      <c r="BA21" s="16">
        <v>0</v>
      </c>
      <c r="BB21" s="16">
        <v>0</v>
      </c>
      <c r="BC21" s="16">
        <v>0</v>
      </c>
      <c r="BD21" s="16">
        <v>0</v>
      </c>
      <c r="BE21" s="16">
        <v>0</v>
      </c>
      <c r="BF21" s="16">
        <v>0</v>
      </c>
      <c r="BG21" s="16">
        <v>0</v>
      </c>
      <c r="BH21" s="16">
        <v>3</v>
      </c>
      <c r="BI21" s="16">
        <v>1</v>
      </c>
      <c r="BJ21" s="16">
        <v>2</v>
      </c>
      <c r="BK21" s="16">
        <v>1</v>
      </c>
      <c r="BL21" s="16">
        <v>0</v>
      </c>
      <c r="BM21" s="16">
        <v>0</v>
      </c>
      <c r="BN21" s="16">
        <f>3+11</f>
        <v>14</v>
      </c>
      <c r="BO21" s="16">
        <v>0</v>
      </c>
      <c r="BP21" s="16">
        <v>1</v>
      </c>
      <c r="BQ21" s="16">
        <v>0</v>
      </c>
      <c r="BR21" s="16">
        <v>0</v>
      </c>
      <c r="BS21" s="16">
        <f>1+1</f>
        <v>2</v>
      </c>
    </row>
    <row r="22" spans="1:71" s="15" customFormat="1" ht="18.600000000000001" customHeight="1" x14ac:dyDescent="0.25">
      <c r="A22" s="125" t="s">
        <v>79</v>
      </c>
      <c r="B22" s="4"/>
      <c r="C22" s="47" t="s">
        <v>75</v>
      </c>
      <c r="D22" s="235"/>
      <c r="E22" s="16">
        <f t="shared" si="0"/>
        <v>27581</v>
      </c>
      <c r="F22" s="16">
        <v>182</v>
      </c>
      <c r="G22" s="16">
        <v>111</v>
      </c>
      <c r="H22" s="16">
        <v>3</v>
      </c>
      <c r="I22" s="16">
        <v>2</v>
      </c>
      <c r="J22" s="16">
        <v>2</v>
      </c>
      <c r="K22" s="16">
        <v>113</v>
      </c>
      <c r="L22" s="16">
        <v>1523</v>
      </c>
      <c r="M22" s="16">
        <v>469</v>
      </c>
      <c r="N22" s="16">
        <v>0</v>
      </c>
      <c r="O22" s="16">
        <f>32+416</f>
        <v>448</v>
      </c>
      <c r="P22" s="16">
        <v>76</v>
      </c>
      <c r="Q22" s="16">
        <v>0</v>
      </c>
      <c r="R22" s="16">
        <v>460</v>
      </c>
      <c r="S22" s="16">
        <v>261</v>
      </c>
      <c r="T22" s="16">
        <f>24+11</f>
        <v>35</v>
      </c>
      <c r="U22" s="16">
        <v>428</v>
      </c>
      <c r="V22" s="16">
        <v>1357</v>
      </c>
      <c r="W22" s="16">
        <v>55</v>
      </c>
      <c r="X22" s="16">
        <v>18</v>
      </c>
      <c r="Y22" s="16">
        <f>20+163</f>
        <v>183</v>
      </c>
      <c r="Z22" s="16">
        <v>544</v>
      </c>
      <c r="AA22" s="16">
        <v>271</v>
      </c>
      <c r="AB22" s="16">
        <f>109+12</f>
        <v>121</v>
      </c>
      <c r="AC22" s="16">
        <v>471</v>
      </c>
      <c r="AD22" s="16">
        <v>7047</v>
      </c>
      <c r="AE22" s="16">
        <v>2107</v>
      </c>
      <c r="AF22" s="16">
        <v>0</v>
      </c>
      <c r="AG22" s="16">
        <v>1840</v>
      </c>
      <c r="AH22" s="16">
        <f>21+14</f>
        <v>35</v>
      </c>
      <c r="AI22" s="16">
        <v>1</v>
      </c>
      <c r="AJ22" s="16">
        <v>631</v>
      </c>
      <c r="AK22" s="125" t="s">
        <v>79</v>
      </c>
      <c r="AL22" s="4"/>
      <c r="AM22" s="47" t="s">
        <v>75</v>
      </c>
      <c r="AN22" s="235"/>
      <c r="AO22" s="16">
        <v>68</v>
      </c>
      <c r="AP22" s="16">
        <v>0</v>
      </c>
      <c r="AQ22" s="16">
        <v>310</v>
      </c>
      <c r="AR22" s="16">
        <v>299</v>
      </c>
      <c r="AS22" s="16">
        <v>24</v>
      </c>
      <c r="AT22" s="16">
        <v>0</v>
      </c>
      <c r="AU22" s="16">
        <v>1</v>
      </c>
      <c r="AV22" s="16">
        <f>36+24</f>
        <v>60</v>
      </c>
      <c r="AW22" s="16">
        <v>142</v>
      </c>
      <c r="AX22" s="16">
        <f>8+6</f>
        <v>14</v>
      </c>
      <c r="AY22" s="16">
        <v>2488</v>
      </c>
      <c r="AZ22" s="16">
        <f>106+68</f>
        <v>174</v>
      </c>
      <c r="BA22" s="16">
        <f>11+5</f>
        <v>16</v>
      </c>
      <c r="BB22" s="16">
        <f>313+110</f>
        <v>423</v>
      </c>
      <c r="BC22" s="16">
        <f>13+37</f>
        <v>50</v>
      </c>
      <c r="BD22" s="16">
        <f>16+12</f>
        <v>28</v>
      </c>
      <c r="BE22" s="16">
        <v>294</v>
      </c>
      <c r="BF22" s="16">
        <f>2+29</f>
        <v>31</v>
      </c>
      <c r="BG22" s="16">
        <f>27+2</f>
        <v>29</v>
      </c>
      <c r="BH22" s="16">
        <f>25+97</f>
        <v>122</v>
      </c>
      <c r="BI22" s="16">
        <v>598</v>
      </c>
      <c r="BJ22" s="16">
        <f>190+216</f>
        <v>406</v>
      </c>
      <c r="BK22" s="16">
        <f>167+243</f>
        <v>410</v>
      </c>
      <c r="BL22" s="16">
        <f>96+125</f>
        <v>221</v>
      </c>
      <c r="BM22" s="16">
        <f>4+4</f>
        <v>8</v>
      </c>
      <c r="BN22" s="16">
        <v>1854</v>
      </c>
      <c r="BO22" s="16">
        <v>435</v>
      </c>
      <c r="BP22" s="16">
        <f>122+62</f>
        <v>184</v>
      </c>
      <c r="BQ22" s="16">
        <v>0</v>
      </c>
      <c r="BR22" s="16">
        <v>0</v>
      </c>
      <c r="BS22" s="16">
        <v>98</v>
      </c>
    </row>
    <row r="23" spans="1:71" s="15" customFormat="1" ht="18.600000000000001" customHeight="1" x14ac:dyDescent="0.25">
      <c r="A23" s="125"/>
      <c r="B23" s="4"/>
      <c r="C23" s="47" t="s">
        <v>76</v>
      </c>
      <c r="D23" s="235"/>
      <c r="E23" s="16">
        <f t="shared" si="0"/>
        <v>138</v>
      </c>
      <c r="F23" s="16">
        <v>0</v>
      </c>
      <c r="G23" s="16">
        <v>0</v>
      </c>
      <c r="H23" s="16">
        <v>0</v>
      </c>
      <c r="I23" s="16">
        <v>0</v>
      </c>
      <c r="J23" s="16">
        <v>0</v>
      </c>
      <c r="K23" s="16">
        <v>0</v>
      </c>
      <c r="L23" s="16">
        <f>1+3</f>
        <v>4</v>
      </c>
      <c r="M23" s="16">
        <f>3+3</f>
        <v>6</v>
      </c>
      <c r="N23" s="16">
        <v>0</v>
      </c>
      <c r="O23" s="16">
        <v>2</v>
      </c>
      <c r="P23" s="16">
        <v>5</v>
      </c>
      <c r="Q23" s="16">
        <v>0</v>
      </c>
      <c r="R23" s="16">
        <f>1+1</f>
        <v>2</v>
      </c>
      <c r="S23" s="16">
        <v>1</v>
      </c>
      <c r="T23" s="16">
        <v>0</v>
      </c>
      <c r="U23" s="16">
        <v>1</v>
      </c>
      <c r="V23" s="16">
        <f>2+2</f>
        <v>4</v>
      </c>
      <c r="W23" s="16">
        <v>0</v>
      </c>
      <c r="X23" s="16">
        <v>0</v>
      </c>
      <c r="Y23" s="16">
        <v>0</v>
      </c>
      <c r="Z23" s="16">
        <v>2</v>
      </c>
      <c r="AA23" s="16">
        <f>1+1</f>
        <v>2</v>
      </c>
      <c r="AB23" s="16">
        <v>3</v>
      </c>
      <c r="AC23" s="16">
        <v>0</v>
      </c>
      <c r="AD23" s="16">
        <f>1+11</f>
        <v>12</v>
      </c>
      <c r="AE23" s="16">
        <v>0</v>
      </c>
      <c r="AF23" s="16">
        <v>0</v>
      </c>
      <c r="AG23" s="16">
        <f>16+18</f>
        <v>34</v>
      </c>
      <c r="AH23" s="16">
        <v>1</v>
      </c>
      <c r="AI23" s="16">
        <v>0</v>
      </c>
      <c r="AJ23" s="16">
        <v>2</v>
      </c>
      <c r="AK23" s="125"/>
      <c r="AL23" s="4"/>
      <c r="AM23" s="47" t="s">
        <v>76</v>
      </c>
      <c r="AN23" s="235"/>
      <c r="AO23" s="16">
        <v>0</v>
      </c>
      <c r="AP23" s="16">
        <v>0</v>
      </c>
      <c r="AQ23" s="16">
        <f>2+2</f>
        <v>4</v>
      </c>
      <c r="AR23" s="16">
        <v>2</v>
      </c>
      <c r="AS23" s="16">
        <v>0</v>
      </c>
      <c r="AT23" s="16">
        <v>0</v>
      </c>
      <c r="AU23" s="16">
        <v>0</v>
      </c>
      <c r="AV23" s="16">
        <v>2</v>
      </c>
      <c r="AW23" s="16">
        <f>6+8</f>
        <v>14</v>
      </c>
      <c r="AX23" s="16">
        <v>0</v>
      </c>
      <c r="AY23" s="16">
        <f>13+6</f>
        <v>19</v>
      </c>
      <c r="AZ23" s="16">
        <f>2+3</f>
        <v>5</v>
      </c>
      <c r="BA23" s="16">
        <v>1</v>
      </c>
      <c r="BB23" s="16">
        <v>0</v>
      </c>
      <c r="BC23" s="16">
        <v>0</v>
      </c>
      <c r="BD23" s="16">
        <v>0</v>
      </c>
      <c r="BE23" s="16">
        <v>0</v>
      </c>
      <c r="BF23" s="16">
        <v>0</v>
      </c>
      <c r="BG23" s="16">
        <v>0</v>
      </c>
      <c r="BH23" s="16">
        <v>0</v>
      </c>
      <c r="BI23" s="16">
        <v>0</v>
      </c>
      <c r="BJ23" s="16">
        <v>0</v>
      </c>
      <c r="BK23" s="16">
        <v>0</v>
      </c>
      <c r="BL23" s="16">
        <v>0</v>
      </c>
      <c r="BM23" s="16">
        <v>0</v>
      </c>
      <c r="BN23" s="16">
        <v>4</v>
      </c>
      <c r="BO23" s="16">
        <v>4</v>
      </c>
      <c r="BP23" s="16">
        <v>1</v>
      </c>
      <c r="BQ23" s="16">
        <v>0</v>
      </c>
      <c r="BR23" s="16">
        <v>0</v>
      </c>
      <c r="BS23" s="16">
        <v>1</v>
      </c>
    </row>
    <row r="24" spans="1:71" s="15" customFormat="1" ht="18.600000000000001" customHeight="1" x14ac:dyDescent="0.25">
      <c r="A24" s="125" t="s">
        <v>407</v>
      </c>
      <c r="B24" s="4"/>
      <c r="C24" s="47" t="s">
        <v>75</v>
      </c>
      <c r="D24" s="235"/>
      <c r="E24" s="16">
        <f t="shared" si="0"/>
        <v>46101</v>
      </c>
      <c r="F24" s="16">
        <f>37+84</f>
        <v>121</v>
      </c>
      <c r="G24" s="16">
        <f>4+7</f>
        <v>11</v>
      </c>
      <c r="H24" s="16">
        <f>10+3</f>
        <v>13</v>
      </c>
      <c r="I24" s="16">
        <v>0</v>
      </c>
      <c r="J24" s="16">
        <f>3+6</f>
        <v>9</v>
      </c>
      <c r="K24" s="16">
        <v>59</v>
      </c>
      <c r="L24" s="16">
        <v>15235</v>
      </c>
      <c r="M24" s="16">
        <v>5406</v>
      </c>
      <c r="N24" s="16">
        <f>80+68</f>
        <v>148</v>
      </c>
      <c r="O24" s="16">
        <v>1159</v>
      </c>
      <c r="P24" s="16">
        <v>210</v>
      </c>
      <c r="Q24" s="16">
        <v>20</v>
      </c>
      <c r="R24" s="16">
        <v>478</v>
      </c>
      <c r="S24" s="16">
        <v>956</v>
      </c>
      <c r="T24" s="16">
        <f>18+43</f>
        <v>61</v>
      </c>
      <c r="U24" s="16">
        <f>46+128</f>
        <v>174</v>
      </c>
      <c r="V24" s="16">
        <f>181+397</f>
        <v>578</v>
      </c>
      <c r="W24" s="16">
        <f>73+69</f>
        <v>142</v>
      </c>
      <c r="X24" s="16">
        <f>1+124</f>
        <v>125</v>
      </c>
      <c r="Y24" s="16">
        <f>56+270</f>
        <v>326</v>
      </c>
      <c r="Z24" s="16">
        <f>147+826</f>
        <v>973</v>
      </c>
      <c r="AA24" s="16">
        <f>79+172</f>
        <v>251</v>
      </c>
      <c r="AB24" s="16">
        <f>30+40</f>
        <v>70</v>
      </c>
      <c r="AC24" s="16">
        <f>84+423</f>
        <v>507</v>
      </c>
      <c r="AD24" s="16">
        <v>3085</v>
      </c>
      <c r="AE24" s="16">
        <f>878+2238</f>
        <v>3116</v>
      </c>
      <c r="AF24" s="16">
        <v>0</v>
      </c>
      <c r="AG24" s="16">
        <v>2417</v>
      </c>
      <c r="AH24" s="16">
        <f>36+27</f>
        <v>63</v>
      </c>
      <c r="AI24" s="16">
        <f>1+24</f>
        <v>25</v>
      </c>
      <c r="AJ24" s="16">
        <f>38+93</f>
        <v>131</v>
      </c>
      <c r="AK24" s="125" t="s">
        <v>407</v>
      </c>
      <c r="AL24" s="4"/>
      <c r="AM24" s="47" t="s">
        <v>75</v>
      </c>
      <c r="AN24" s="235"/>
      <c r="AO24" s="16">
        <v>35</v>
      </c>
      <c r="AP24" s="16">
        <v>0</v>
      </c>
      <c r="AQ24" s="16">
        <v>149</v>
      </c>
      <c r="AR24" s="16">
        <f>40+144</f>
        <v>184</v>
      </c>
      <c r="AS24" s="16">
        <v>11</v>
      </c>
      <c r="AT24" s="16">
        <v>23</v>
      </c>
      <c r="AU24" s="16">
        <v>1</v>
      </c>
      <c r="AV24" s="16">
        <f>11+36</f>
        <v>47</v>
      </c>
      <c r="AW24" s="16">
        <v>997</v>
      </c>
      <c r="AX24" s="16">
        <f>69+181</f>
        <v>250</v>
      </c>
      <c r="AY24" s="16">
        <v>2380</v>
      </c>
      <c r="AZ24" s="16">
        <f>698+617</f>
        <v>1315</v>
      </c>
      <c r="BA24" s="16">
        <f>15+7</f>
        <v>22</v>
      </c>
      <c r="BB24" s="16">
        <f>62+203</f>
        <v>265</v>
      </c>
      <c r="BC24" s="16">
        <f>21+38</f>
        <v>59</v>
      </c>
      <c r="BD24" s="16">
        <f>1+17</f>
        <v>18</v>
      </c>
      <c r="BE24" s="16">
        <f>8+17</f>
        <v>25</v>
      </c>
      <c r="BF24" s="16">
        <f>2+15</f>
        <v>17</v>
      </c>
      <c r="BG24" s="16">
        <f>18+11</f>
        <v>29</v>
      </c>
      <c r="BH24" s="16">
        <v>25</v>
      </c>
      <c r="BI24" s="16">
        <f>101+182</f>
        <v>283</v>
      </c>
      <c r="BJ24" s="16">
        <f>199+237</f>
        <v>436</v>
      </c>
      <c r="BK24" s="16">
        <v>587</v>
      </c>
      <c r="BL24" s="16">
        <f>16+200</f>
        <v>216</v>
      </c>
      <c r="BM24" s="16">
        <v>15</v>
      </c>
      <c r="BN24" s="16">
        <v>1482</v>
      </c>
      <c r="BO24" s="16">
        <v>347</v>
      </c>
      <c r="BP24" s="16">
        <f>211+478</f>
        <v>689</v>
      </c>
      <c r="BQ24" s="16">
        <v>2</v>
      </c>
      <c r="BR24" s="16">
        <v>0</v>
      </c>
      <c r="BS24" s="16">
        <f>151+172</f>
        <v>323</v>
      </c>
    </row>
    <row r="25" spans="1:71" s="15" customFormat="1" ht="18.600000000000001" customHeight="1" x14ac:dyDescent="0.25">
      <c r="A25" s="125"/>
      <c r="B25" s="4"/>
      <c r="C25" s="47" t="s">
        <v>76</v>
      </c>
      <c r="D25" s="235"/>
      <c r="E25" s="16">
        <f t="shared" si="0"/>
        <v>195</v>
      </c>
      <c r="F25" s="16">
        <v>0</v>
      </c>
      <c r="G25" s="16">
        <v>0</v>
      </c>
      <c r="H25" s="16">
        <v>0</v>
      </c>
      <c r="I25" s="16">
        <v>0</v>
      </c>
      <c r="J25" s="16">
        <v>0</v>
      </c>
      <c r="K25" s="16"/>
      <c r="L25" s="16">
        <f>3+2</f>
        <v>5</v>
      </c>
      <c r="M25" s="16">
        <v>2</v>
      </c>
      <c r="N25" s="16">
        <v>0</v>
      </c>
      <c r="O25" s="16">
        <v>2</v>
      </c>
      <c r="P25" s="16">
        <f>2+1</f>
        <v>3</v>
      </c>
      <c r="Q25" s="16">
        <v>0</v>
      </c>
      <c r="R25" s="16">
        <v>5</v>
      </c>
      <c r="S25" s="16">
        <f>1+3</f>
        <v>4</v>
      </c>
      <c r="T25" s="16">
        <v>0</v>
      </c>
      <c r="U25" s="16">
        <v>2</v>
      </c>
      <c r="V25" s="16">
        <v>1</v>
      </c>
      <c r="W25" s="16">
        <v>0</v>
      </c>
      <c r="X25" s="16">
        <v>0</v>
      </c>
      <c r="Y25" s="16">
        <v>0</v>
      </c>
      <c r="Z25" s="16">
        <f>1+4</f>
        <v>5</v>
      </c>
      <c r="AA25" s="16">
        <v>0</v>
      </c>
      <c r="AB25" s="16">
        <f>4+2</f>
        <v>6</v>
      </c>
      <c r="AC25" s="16">
        <v>3</v>
      </c>
      <c r="AD25" s="16">
        <f>19+2</f>
        <v>21</v>
      </c>
      <c r="AE25" s="16">
        <v>1</v>
      </c>
      <c r="AF25" s="16">
        <v>0</v>
      </c>
      <c r="AG25" s="16">
        <v>34</v>
      </c>
      <c r="AH25" s="16">
        <v>0</v>
      </c>
      <c r="AI25" s="16">
        <v>0</v>
      </c>
      <c r="AJ25" s="16">
        <f>3+2</f>
        <v>5</v>
      </c>
      <c r="AK25" s="125"/>
      <c r="AL25" s="4"/>
      <c r="AM25" s="47" t="s">
        <v>76</v>
      </c>
      <c r="AN25" s="235"/>
      <c r="AO25" s="16">
        <v>0</v>
      </c>
      <c r="AP25" s="16">
        <v>0</v>
      </c>
      <c r="AQ25" s="16">
        <v>4</v>
      </c>
      <c r="AR25" s="16">
        <v>1</v>
      </c>
      <c r="AS25" s="16">
        <v>0</v>
      </c>
      <c r="AT25" s="16">
        <v>0</v>
      </c>
      <c r="AU25" s="16">
        <v>0</v>
      </c>
      <c r="AV25" s="16">
        <v>0</v>
      </c>
      <c r="AW25" s="16">
        <v>32</v>
      </c>
      <c r="AX25" s="16">
        <v>0</v>
      </c>
      <c r="AY25" s="16">
        <f>3+20</f>
        <v>23</v>
      </c>
      <c r="AZ25" s="16">
        <v>2</v>
      </c>
      <c r="BA25" s="16">
        <v>0</v>
      </c>
      <c r="BB25" s="16">
        <v>1</v>
      </c>
      <c r="BC25" s="16">
        <v>0</v>
      </c>
      <c r="BD25" s="16">
        <v>0</v>
      </c>
      <c r="BE25" s="16">
        <v>0</v>
      </c>
      <c r="BF25" s="16">
        <v>1</v>
      </c>
      <c r="BG25" s="16">
        <v>0</v>
      </c>
      <c r="BH25" s="16">
        <v>2</v>
      </c>
      <c r="BI25" s="16">
        <v>0</v>
      </c>
      <c r="BJ25" s="16">
        <v>1</v>
      </c>
      <c r="BK25" s="16">
        <v>2</v>
      </c>
      <c r="BL25" s="16">
        <v>3</v>
      </c>
      <c r="BM25" s="16">
        <v>0</v>
      </c>
      <c r="BN25" s="16">
        <f>1+6</f>
        <v>7</v>
      </c>
      <c r="BO25" s="16">
        <f>1+6</f>
        <v>7</v>
      </c>
      <c r="BP25" s="16">
        <v>3</v>
      </c>
      <c r="BQ25" s="16">
        <v>0</v>
      </c>
      <c r="BR25" s="16">
        <v>0</v>
      </c>
      <c r="BS25" s="16">
        <f>1+6</f>
        <v>7</v>
      </c>
    </row>
    <row r="26" spans="1:71" s="15" customFormat="1" ht="18.600000000000001" customHeight="1" x14ac:dyDescent="0.25">
      <c r="A26" s="125" t="s">
        <v>408</v>
      </c>
      <c r="B26" s="4"/>
      <c r="C26" s="47" t="s">
        <v>75</v>
      </c>
      <c r="D26" s="235"/>
      <c r="E26" s="16">
        <f t="shared" si="0"/>
        <v>17788</v>
      </c>
      <c r="F26" s="16">
        <f>5+6</f>
        <v>11</v>
      </c>
      <c r="G26" s="16">
        <v>1</v>
      </c>
      <c r="H26" s="16">
        <f>7+1</f>
        <v>8</v>
      </c>
      <c r="I26" s="16">
        <v>5</v>
      </c>
      <c r="J26" s="16">
        <f>4+2</f>
        <v>6</v>
      </c>
      <c r="K26" s="16">
        <f>18+16</f>
        <v>34</v>
      </c>
      <c r="L26" s="16">
        <f>595+858</f>
        <v>1453</v>
      </c>
      <c r="M26" s="16">
        <v>812</v>
      </c>
      <c r="N26" s="16">
        <f>83+19</f>
        <v>102</v>
      </c>
      <c r="O26" s="16">
        <f>28+536</f>
        <v>564</v>
      </c>
      <c r="P26" s="16">
        <f>16+57</f>
        <v>73</v>
      </c>
      <c r="Q26" s="16">
        <v>0</v>
      </c>
      <c r="R26" s="16">
        <f>122+122</f>
        <v>244</v>
      </c>
      <c r="S26" s="16">
        <f>88+168</f>
        <v>256</v>
      </c>
      <c r="T26" s="16">
        <f>30+12</f>
        <v>42</v>
      </c>
      <c r="U26" s="16">
        <f>44+79</f>
        <v>123</v>
      </c>
      <c r="V26" s="16">
        <f>108+108</f>
        <v>216</v>
      </c>
      <c r="W26" s="16">
        <f>7+8</f>
        <v>15</v>
      </c>
      <c r="X26" s="16">
        <f>15+38</f>
        <v>53</v>
      </c>
      <c r="Y26" s="16">
        <f>13+68</f>
        <v>81</v>
      </c>
      <c r="Z26" s="16">
        <f>219+230</f>
        <v>449</v>
      </c>
      <c r="AA26" s="16">
        <f>97+111</f>
        <v>208</v>
      </c>
      <c r="AB26" s="16">
        <f>42+47</f>
        <v>89</v>
      </c>
      <c r="AC26" s="16">
        <f>99+120</f>
        <v>219</v>
      </c>
      <c r="AD26" s="16">
        <f>966+1265</f>
        <v>2231</v>
      </c>
      <c r="AE26" s="16">
        <f>732+1008</f>
        <v>1740</v>
      </c>
      <c r="AF26" s="16">
        <v>0</v>
      </c>
      <c r="AG26" s="16">
        <f>512+933</f>
        <v>1445</v>
      </c>
      <c r="AH26" s="16">
        <f>30+13</f>
        <v>43</v>
      </c>
      <c r="AI26" s="16">
        <v>2</v>
      </c>
      <c r="AJ26" s="16">
        <f>92+61</f>
        <v>153</v>
      </c>
      <c r="AK26" s="125" t="s">
        <v>408</v>
      </c>
      <c r="AL26" s="4"/>
      <c r="AM26" s="47" t="s">
        <v>75</v>
      </c>
      <c r="AN26" s="235"/>
      <c r="AO26" s="16">
        <v>184</v>
      </c>
      <c r="AP26" s="16">
        <v>0</v>
      </c>
      <c r="AQ26" s="16">
        <f>104+177</f>
        <v>281</v>
      </c>
      <c r="AR26" s="16">
        <f>46+61</f>
        <v>107</v>
      </c>
      <c r="AS26" s="16">
        <f>5+2</f>
        <v>7</v>
      </c>
      <c r="AT26" s="16">
        <v>3</v>
      </c>
      <c r="AU26" s="16">
        <f>20+15</f>
        <v>35</v>
      </c>
      <c r="AV26" s="16">
        <f>139+33</f>
        <v>172</v>
      </c>
      <c r="AW26" s="16">
        <f>213+275</f>
        <v>488</v>
      </c>
      <c r="AX26" s="16">
        <f>41+44</f>
        <v>85</v>
      </c>
      <c r="AY26" s="16">
        <f>570+227</f>
        <v>797</v>
      </c>
      <c r="AZ26" s="16">
        <f>114+117</f>
        <v>231</v>
      </c>
      <c r="BA26" s="16">
        <f>4+10</f>
        <v>14</v>
      </c>
      <c r="BB26" s="16">
        <f>29+37</f>
        <v>66</v>
      </c>
      <c r="BC26" s="16">
        <f>15+7</f>
        <v>22</v>
      </c>
      <c r="BD26" s="16">
        <f>59+114+13+19</f>
        <v>205</v>
      </c>
      <c r="BE26" s="16">
        <f>76+18</f>
        <v>94</v>
      </c>
      <c r="BF26" s="16">
        <f>24+4</f>
        <v>28</v>
      </c>
      <c r="BG26" s="16">
        <f>46+11</f>
        <v>57</v>
      </c>
      <c r="BH26" s="16">
        <v>26</v>
      </c>
      <c r="BI26" s="16">
        <f>67+36</f>
        <v>103</v>
      </c>
      <c r="BJ26" s="16">
        <f>345+232</f>
        <v>577</v>
      </c>
      <c r="BK26" s="16">
        <f>233+239</f>
        <v>472</v>
      </c>
      <c r="BL26" s="16">
        <f>27+62</f>
        <v>89</v>
      </c>
      <c r="BM26" s="16">
        <f>171+190+0+99</f>
        <v>460</v>
      </c>
      <c r="BN26" s="16">
        <f>858+990</f>
        <v>1848</v>
      </c>
      <c r="BO26" s="16">
        <f>46+177</f>
        <v>223</v>
      </c>
      <c r="BP26" s="16">
        <f>210+191</f>
        <v>401</v>
      </c>
      <c r="BQ26" s="16">
        <v>2</v>
      </c>
      <c r="BR26" s="16">
        <v>0</v>
      </c>
      <c r="BS26" s="16">
        <f>21+12</f>
        <v>33</v>
      </c>
    </row>
    <row r="27" spans="1:71" s="15" customFormat="1" ht="18.600000000000001" customHeight="1" x14ac:dyDescent="0.25">
      <c r="A27" s="125"/>
      <c r="B27" s="4"/>
      <c r="C27" s="47" t="s">
        <v>76</v>
      </c>
      <c r="D27" s="235"/>
      <c r="E27" s="16">
        <f t="shared" si="0"/>
        <v>38</v>
      </c>
      <c r="F27" s="26">
        <v>0</v>
      </c>
      <c r="G27" s="26">
        <v>0</v>
      </c>
      <c r="H27" s="26">
        <v>0</v>
      </c>
      <c r="I27" s="26">
        <v>0</v>
      </c>
      <c r="J27" s="26">
        <v>0</v>
      </c>
      <c r="K27" s="26">
        <v>0</v>
      </c>
      <c r="L27" s="26">
        <v>0</v>
      </c>
      <c r="M27" s="26">
        <v>0</v>
      </c>
      <c r="N27" s="26">
        <v>0</v>
      </c>
      <c r="O27" s="26">
        <v>0</v>
      </c>
      <c r="P27" s="26">
        <v>0</v>
      </c>
      <c r="Q27" s="26">
        <v>0</v>
      </c>
      <c r="R27" s="26">
        <v>3</v>
      </c>
      <c r="S27" s="26">
        <v>0</v>
      </c>
      <c r="T27" s="26">
        <v>0</v>
      </c>
      <c r="U27" s="16">
        <v>1</v>
      </c>
      <c r="V27" s="16">
        <v>0</v>
      </c>
      <c r="W27" s="16">
        <v>0</v>
      </c>
      <c r="X27" s="16">
        <v>0</v>
      </c>
      <c r="Y27" s="16">
        <v>0</v>
      </c>
      <c r="Z27" s="16">
        <v>0</v>
      </c>
      <c r="AA27" s="16">
        <v>0</v>
      </c>
      <c r="AB27" s="16">
        <v>0</v>
      </c>
      <c r="AC27" s="16">
        <v>0</v>
      </c>
      <c r="AD27" s="16">
        <v>0</v>
      </c>
      <c r="AE27" s="16">
        <v>0</v>
      </c>
      <c r="AF27" s="16">
        <v>0</v>
      </c>
      <c r="AG27" s="16">
        <f>8+9</f>
        <v>17</v>
      </c>
      <c r="AH27" s="16">
        <v>0</v>
      </c>
      <c r="AI27" s="16">
        <v>0</v>
      </c>
      <c r="AJ27" s="16">
        <v>2</v>
      </c>
      <c r="AK27" s="125"/>
      <c r="AL27" s="4"/>
      <c r="AM27" s="47" t="s">
        <v>76</v>
      </c>
      <c r="AN27" s="235"/>
      <c r="AO27" s="16">
        <v>1</v>
      </c>
      <c r="AP27" s="16">
        <v>0</v>
      </c>
      <c r="AQ27" s="16">
        <v>1</v>
      </c>
      <c r="AR27" s="16">
        <v>0</v>
      </c>
      <c r="AS27" s="16">
        <v>0</v>
      </c>
      <c r="AT27" s="16">
        <v>0</v>
      </c>
      <c r="AU27" s="16">
        <v>0</v>
      </c>
      <c r="AV27" s="16">
        <v>0</v>
      </c>
      <c r="AW27" s="16">
        <f>2+1</f>
        <v>3</v>
      </c>
      <c r="AX27" s="16">
        <v>0</v>
      </c>
      <c r="AY27" s="16">
        <v>1</v>
      </c>
      <c r="AZ27" s="16">
        <f>1+1</f>
        <v>2</v>
      </c>
      <c r="BA27" s="16">
        <v>0</v>
      </c>
      <c r="BB27" s="16">
        <v>0</v>
      </c>
      <c r="BC27" s="16">
        <v>0</v>
      </c>
      <c r="BD27" s="16">
        <v>0</v>
      </c>
      <c r="BE27" s="16">
        <v>0</v>
      </c>
      <c r="BF27" s="16">
        <v>0</v>
      </c>
      <c r="BG27" s="16">
        <v>0</v>
      </c>
      <c r="BH27" s="16">
        <v>0</v>
      </c>
      <c r="BI27" s="16">
        <v>0</v>
      </c>
      <c r="BJ27" s="16">
        <f>2+2</f>
        <v>4</v>
      </c>
      <c r="BK27" s="16">
        <v>0</v>
      </c>
      <c r="BL27" s="16">
        <v>0</v>
      </c>
      <c r="BM27" s="16">
        <v>0</v>
      </c>
      <c r="BN27" s="16">
        <v>1</v>
      </c>
      <c r="BO27" s="16">
        <v>0</v>
      </c>
      <c r="BP27" s="16">
        <f>1+1</f>
        <v>2</v>
      </c>
      <c r="BQ27" s="16">
        <v>0</v>
      </c>
      <c r="BR27" s="16">
        <v>0</v>
      </c>
      <c r="BS27" s="16">
        <v>0</v>
      </c>
    </row>
    <row r="28" spans="1:71" s="15" customFormat="1" ht="18.600000000000001" customHeight="1" x14ac:dyDescent="0.25">
      <c r="A28" s="125" t="s">
        <v>82</v>
      </c>
      <c r="B28" s="4"/>
      <c r="C28" s="47" t="s">
        <v>75</v>
      </c>
      <c r="D28" s="235"/>
      <c r="E28" s="16">
        <f t="shared" si="0"/>
        <v>4378</v>
      </c>
      <c r="F28" s="16">
        <v>4</v>
      </c>
      <c r="G28" s="16">
        <v>1</v>
      </c>
      <c r="H28" s="16">
        <v>0</v>
      </c>
      <c r="I28" s="16">
        <v>0</v>
      </c>
      <c r="J28" s="16">
        <v>2</v>
      </c>
      <c r="K28" s="16">
        <v>12</v>
      </c>
      <c r="L28" s="16">
        <v>920</v>
      </c>
      <c r="M28" s="16">
        <f>263+349</f>
        <v>612</v>
      </c>
      <c r="N28" s="16">
        <f>9+33</f>
        <v>42</v>
      </c>
      <c r="O28" s="16">
        <v>21</v>
      </c>
      <c r="P28" s="16">
        <v>7</v>
      </c>
      <c r="Q28" s="16">
        <v>0</v>
      </c>
      <c r="R28" s="16">
        <v>47</v>
      </c>
      <c r="S28" s="16">
        <f>22+20</f>
        <v>42</v>
      </c>
      <c r="T28" s="16">
        <f>6+4</f>
        <v>10</v>
      </c>
      <c r="U28" s="16">
        <v>32</v>
      </c>
      <c r="V28" s="16">
        <f>23+28</f>
        <v>51</v>
      </c>
      <c r="W28" s="16">
        <f>2+5</f>
        <v>7</v>
      </c>
      <c r="X28" s="16">
        <v>1</v>
      </c>
      <c r="Y28" s="16">
        <f>1+21</f>
        <v>22</v>
      </c>
      <c r="Z28" s="16">
        <f>17+34</f>
        <v>51</v>
      </c>
      <c r="AA28" s="16">
        <f>2+33</f>
        <v>35</v>
      </c>
      <c r="AB28" s="16">
        <f>10+10</f>
        <v>20</v>
      </c>
      <c r="AC28" s="16">
        <f>11+35</f>
        <v>46</v>
      </c>
      <c r="AD28" s="16">
        <f>160+245</f>
        <v>405</v>
      </c>
      <c r="AE28" s="16">
        <f>52+58</f>
        <v>110</v>
      </c>
      <c r="AF28" s="16">
        <v>0</v>
      </c>
      <c r="AG28" s="16">
        <v>305</v>
      </c>
      <c r="AH28" s="16">
        <v>0</v>
      </c>
      <c r="AI28" s="16">
        <v>2</v>
      </c>
      <c r="AJ28" s="16">
        <f>3+27</f>
        <v>30</v>
      </c>
      <c r="AK28" s="125" t="s">
        <v>82</v>
      </c>
      <c r="AL28" s="4"/>
      <c r="AM28" s="47" t="s">
        <v>75</v>
      </c>
      <c r="AN28" s="235"/>
      <c r="AO28" s="16">
        <v>2</v>
      </c>
      <c r="AP28" s="16">
        <v>0</v>
      </c>
      <c r="AQ28" s="16">
        <v>71</v>
      </c>
      <c r="AR28" s="16">
        <f>3+14</f>
        <v>17</v>
      </c>
      <c r="AS28" s="16">
        <v>0</v>
      </c>
      <c r="AT28" s="16">
        <v>0</v>
      </c>
      <c r="AU28" s="16">
        <v>0</v>
      </c>
      <c r="AV28" s="16">
        <f>13+14</f>
        <v>27</v>
      </c>
      <c r="AW28" s="16">
        <f>17+16</f>
        <v>33</v>
      </c>
      <c r="AX28" s="16">
        <v>0</v>
      </c>
      <c r="AY28" s="16">
        <f>28+47</f>
        <v>75</v>
      </c>
      <c r="AZ28" s="16">
        <f>9+25</f>
        <v>34</v>
      </c>
      <c r="BA28" s="16">
        <f>3+4</f>
        <v>7</v>
      </c>
      <c r="BB28" s="16">
        <f>5+3</f>
        <v>8</v>
      </c>
      <c r="BC28" s="16">
        <f>2+3</f>
        <v>5</v>
      </c>
      <c r="BD28" s="16">
        <v>1</v>
      </c>
      <c r="BE28" s="16">
        <v>2</v>
      </c>
      <c r="BF28" s="16">
        <v>11</v>
      </c>
      <c r="BG28" s="16">
        <v>8</v>
      </c>
      <c r="BH28" s="16">
        <f>15+4</f>
        <v>19</v>
      </c>
      <c r="BI28" s="16">
        <f>5+5</f>
        <v>10</v>
      </c>
      <c r="BJ28" s="16">
        <f>19+33</f>
        <v>52</v>
      </c>
      <c r="BK28" s="16">
        <f>4+40</f>
        <v>44</v>
      </c>
      <c r="BL28" s="16">
        <v>14</v>
      </c>
      <c r="BM28" s="16">
        <v>0</v>
      </c>
      <c r="BN28" s="16">
        <f>91+606</f>
        <v>697</v>
      </c>
      <c r="BO28" s="16">
        <v>210</v>
      </c>
      <c r="BP28" s="16">
        <f>94+93</f>
        <v>187</v>
      </c>
      <c r="BQ28" s="16">
        <v>0</v>
      </c>
      <c r="BR28" s="16">
        <v>0</v>
      </c>
      <c r="BS28" s="16">
        <f>2+5</f>
        <v>7</v>
      </c>
    </row>
    <row r="29" spans="1:71" s="15" customFormat="1" ht="18.600000000000001" customHeight="1" x14ac:dyDescent="0.25">
      <c r="A29" s="125"/>
      <c r="B29" s="4"/>
      <c r="C29" s="47" t="s">
        <v>76</v>
      </c>
      <c r="D29" s="235"/>
      <c r="E29" s="16">
        <f t="shared" si="0"/>
        <v>38</v>
      </c>
      <c r="F29" s="26">
        <v>0</v>
      </c>
      <c r="G29" s="26">
        <v>0</v>
      </c>
      <c r="H29" s="26">
        <v>0</v>
      </c>
      <c r="I29" s="26">
        <v>0</v>
      </c>
      <c r="J29" s="26">
        <v>0</v>
      </c>
      <c r="K29" s="26">
        <v>0</v>
      </c>
      <c r="L29" s="26">
        <v>0</v>
      </c>
      <c r="M29" s="26">
        <v>2</v>
      </c>
      <c r="N29" s="26">
        <v>0</v>
      </c>
      <c r="O29" s="26">
        <v>2</v>
      </c>
      <c r="P29" s="26">
        <v>0</v>
      </c>
      <c r="Q29" s="26">
        <v>0</v>
      </c>
      <c r="R29" s="26">
        <v>1</v>
      </c>
      <c r="S29" s="26">
        <v>0</v>
      </c>
      <c r="T29" s="26">
        <v>0</v>
      </c>
      <c r="U29" s="16">
        <v>0</v>
      </c>
      <c r="V29" s="16">
        <v>1</v>
      </c>
      <c r="W29" s="16">
        <v>0</v>
      </c>
      <c r="X29" s="16">
        <v>0</v>
      </c>
      <c r="Y29" s="16">
        <v>0</v>
      </c>
      <c r="Z29" s="16">
        <v>0</v>
      </c>
      <c r="AA29" s="16">
        <v>1</v>
      </c>
      <c r="AB29" s="16">
        <v>0</v>
      </c>
      <c r="AC29" s="16">
        <v>1</v>
      </c>
      <c r="AD29" s="16">
        <f>1+1</f>
        <v>2</v>
      </c>
      <c r="AE29" s="16">
        <v>0</v>
      </c>
      <c r="AF29" s="16">
        <v>0</v>
      </c>
      <c r="AG29" s="16">
        <f>11+7</f>
        <v>18</v>
      </c>
      <c r="AH29" s="16">
        <v>0</v>
      </c>
      <c r="AI29" s="16">
        <v>0</v>
      </c>
      <c r="AJ29" s="16">
        <v>0</v>
      </c>
      <c r="AK29" s="125"/>
      <c r="AL29" s="4"/>
      <c r="AM29" s="47" t="s">
        <v>76</v>
      </c>
      <c r="AN29" s="235"/>
      <c r="AO29" s="16">
        <v>0</v>
      </c>
      <c r="AP29" s="16">
        <v>0</v>
      </c>
      <c r="AQ29" s="16">
        <v>0</v>
      </c>
      <c r="AR29" s="16">
        <v>3</v>
      </c>
      <c r="AS29" s="16">
        <v>0</v>
      </c>
      <c r="AT29" s="16">
        <v>0</v>
      </c>
      <c r="AU29" s="16">
        <v>0</v>
      </c>
      <c r="AV29" s="16">
        <v>0</v>
      </c>
      <c r="AW29" s="16">
        <v>2</v>
      </c>
      <c r="AX29" s="16">
        <v>0</v>
      </c>
      <c r="AY29" s="16">
        <v>1</v>
      </c>
      <c r="AZ29" s="16">
        <v>2</v>
      </c>
      <c r="BA29" s="16">
        <v>0</v>
      </c>
      <c r="BB29" s="16">
        <v>0</v>
      </c>
      <c r="BC29" s="16">
        <v>0</v>
      </c>
      <c r="BD29" s="16">
        <v>0</v>
      </c>
      <c r="BE29" s="16">
        <v>0</v>
      </c>
      <c r="BF29" s="16">
        <v>0</v>
      </c>
      <c r="BG29" s="16">
        <v>0</v>
      </c>
      <c r="BH29" s="16">
        <v>0</v>
      </c>
      <c r="BI29" s="16">
        <v>0</v>
      </c>
      <c r="BJ29" s="16">
        <v>0</v>
      </c>
      <c r="BK29" s="16">
        <v>0</v>
      </c>
      <c r="BL29" s="16">
        <v>0</v>
      </c>
      <c r="BM29" s="16">
        <v>0</v>
      </c>
      <c r="BN29" s="16">
        <v>2</v>
      </c>
      <c r="BO29" s="16">
        <v>0</v>
      </c>
      <c r="BP29" s="16">
        <v>0</v>
      </c>
      <c r="BQ29" s="16">
        <v>0</v>
      </c>
      <c r="BR29" s="16">
        <v>0</v>
      </c>
      <c r="BS29" s="16">
        <v>0</v>
      </c>
    </row>
    <row r="30" spans="1:71" s="15" customFormat="1" ht="18.600000000000001" customHeight="1" x14ac:dyDescent="0.25">
      <c r="A30" s="125" t="s">
        <v>83</v>
      </c>
      <c r="B30" s="4"/>
      <c r="C30" s="47" t="s">
        <v>75</v>
      </c>
      <c r="D30" s="235"/>
      <c r="E30" s="16">
        <f t="shared" si="0"/>
        <v>4653</v>
      </c>
      <c r="F30" s="16">
        <f>2+11</f>
        <v>13</v>
      </c>
      <c r="G30" s="16">
        <v>1</v>
      </c>
      <c r="H30" s="16">
        <v>0</v>
      </c>
      <c r="I30" s="16">
        <v>0</v>
      </c>
      <c r="J30" s="16">
        <v>4</v>
      </c>
      <c r="K30" s="16">
        <f>4+2</f>
        <v>6</v>
      </c>
      <c r="L30" s="16">
        <v>1120</v>
      </c>
      <c r="M30" s="16">
        <f>184+129</f>
        <v>313</v>
      </c>
      <c r="N30" s="16">
        <f>12+5</f>
        <v>17</v>
      </c>
      <c r="O30" s="16">
        <f>14+333</f>
        <v>347</v>
      </c>
      <c r="P30" s="16">
        <v>18</v>
      </c>
      <c r="Q30" s="16">
        <v>0</v>
      </c>
      <c r="R30" s="16">
        <v>65</v>
      </c>
      <c r="S30" s="16">
        <f>26+17</f>
        <v>43</v>
      </c>
      <c r="T30" s="16">
        <v>0</v>
      </c>
      <c r="U30" s="16">
        <f>19+2</f>
        <v>21</v>
      </c>
      <c r="V30" s="16">
        <f>22+38</f>
        <v>60</v>
      </c>
      <c r="W30" s="16">
        <v>1</v>
      </c>
      <c r="X30" s="16">
        <v>0</v>
      </c>
      <c r="Y30" s="16">
        <f>4+12</f>
        <v>16</v>
      </c>
      <c r="Z30" s="16">
        <f>24+9</f>
        <v>33</v>
      </c>
      <c r="AA30" s="16">
        <f>3+11</f>
        <v>14</v>
      </c>
      <c r="AB30" s="16">
        <f>24+11</f>
        <v>35</v>
      </c>
      <c r="AC30" s="16">
        <f>15+20</f>
        <v>35</v>
      </c>
      <c r="AD30" s="16">
        <f>250+209</f>
        <v>459</v>
      </c>
      <c r="AE30" s="16">
        <f>78+99</f>
        <v>177</v>
      </c>
      <c r="AF30" s="16">
        <v>0</v>
      </c>
      <c r="AG30" s="16">
        <v>428</v>
      </c>
      <c r="AH30" s="16">
        <v>1</v>
      </c>
      <c r="AI30" s="16">
        <v>0</v>
      </c>
      <c r="AJ30" s="16">
        <f>13+11</f>
        <v>24</v>
      </c>
      <c r="AK30" s="125" t="s">
        <v>83</v>
      </c>
      <c r="AL30" s="4"/>
      <c r="AM30" s="47" t="s">
        <v>75</v>
      </c>
      <c r="AN30" s="235"/>
      <c r="AO30" s="16">
        <v>2</v>
      </c>
      <c r="AP30" s="16">
        <v>0</v>
      </c>
      <c r="AQ30" s="16">
        <f>82+6</f>
        <v>88</v>
      </c>
      <c r="AR30" s="16">
        <f>5+12</f>
        <v>17</v>
      </c>
      <c r="AS30" s="16">
        <v>0</v>
      </c>
      <c r="AT30" s="16">
        <v>0</v>
      </c>
      <c r="AU30" s="16">
        <v>0</v>
      </c>
      <c r="AV30" s="16">
        <v>9</v>
      </c>
      <c r="AW30" s="16">
        <f>30+50</f>
        <v>80</v>
      </c>
      <c r="AX30" s="16">
        <v>2</v>
      </c>
      <c r="AY30" s="16">
        <v>123</v>
      </c>
      <c r="AZ30" s="16">
        <f>70+107</f>
        <v>177</v>
      </c>
      <c r="BA30" s="16">
        <v>1</v>
      </c>
      <c r="BB30" s="16">
        <f>4+4</f>
        <v>8</v>
      </c>
      <c r="BC30" s="16">
        <v>2</v>
      </c>
      <c r="BD30" s="16">
        <v>2</v>
      </c>
      <c r="BE30" s="16">
        <v>0</v>
      </c>
      <c r="BF30" s="16">
        <v>10</v>
      </c>
      <c r="BG30" s="16">
        <v>9</v>
      </c>
      <c r="BH30" s="16">
        <v>18</v>
      </c>
      <c r="BI30" s="16">
        <f>7+1</f>
        <v>8</v>
      </c>
      <c r="BJ30" s="16">
        <f>23+13</f>
        <v>36</v>
      </c>
      <c r="BK30" s="16">
        <v>23</v>
      </c>
      <c r="BL30" s="16">
        <f>2+10</f>
        <v>12</v>
      </c>
      <c r="BM30" s="16">
        <v>0</v>
      </c>
      <c r="BN30" s="16">
        <v>543</v>
      </c>
      <c r="BO30" s="16">
        <f>77+84</f>
        <v>161</v>
      </c>
      <c r="BP30" s="16">
        <f>26+22</f>
        <v>48</v>
      </c>
      <c r="BQ30" s="16">
        <v>0</v>
      </c>
      <c r="BR30" s="16">
        <v>0</v>
      </c>
      <c r="BS30" s="16">
        <f>2+21</f>
        <v>23</v>
      </c>
    </row>
    <row r="31" spans="1:71" s="15" customFormat="1" ht="18.600000000000001" customHeight="1" x14ac:dyDescent="0.25">
      <c r="A31" s="125"/>
      <c r="B31" s="4"/>
      <c r="C31" s="47" t="s">
        <v>76</v>
      </c>
      <c r="D31" s="235"/>
      <c r="E31" s="16">
        <v>25</v>
      </c>
      <c r="F31" s="26">
        <v>0</v>
      </c>
      <c r="G31" s="26">
        <v>0</v>
      </c>
      <c r="H31" s="26">
        <v>0</v>
      </c>
      <c r="I31" s="26">
        <v>0</v>
      </c>
      <c r="J31" s="26">
        <v>0</v>
      </c>
      <c r="K31" s="26">
        <v>0</v>
      </c>
      <c r="L31" s="26">
        <v>0</v>
      </c>
      <c r="M31" s="26">
        <v>0</v>
      </c>
      <c r="N31" s="26">
        <v>0</v>
      </c>
      <c r="O31" s="26">
        <v>0</v>
      </c>
      <c r="P31" s="26">
        <v>0</v>
      </c>
      <c r="Q31" s="26">
        <v>0</v>
      </c>
      <c r="R31" s="26">
        <v>0</v>
      </c>
      <c r="S31" s="26">
        <v>0</v>
      </c>
      <c r="T31" s="26">
        <v>0</v>
      </c>
      <c r="U31" s="16">
        <v>0</v>
      </c>
      <c r="V31" s="16">
        <v>1</v>
      </c>
      <c r="W31" s="16">
        <v>0</v>
      </c>
      <c r="X31" s="16">
        <v>0</v>
      </c>
      <c r="Y31" s="16">
        <v>0</v>
      </c>
      <c r="Z31" s="16">
        <v>0</v>
      </c>
      <c r="AA31" s="16">
        <v>0</v>
      </c>
      <c r="AB31" s="16">
        <v>1</v>
      </c>
      <c r="AC31" s="16">
        <v>1</v>
      </c>
      <c r="AD31" s="16">
        <v>0</v>
      </c>
      <c r="AE31" s="16">
        <v>1</v>
      </c>
      <c r="AF31" s="16">
        <v>0</v>
      </c>
      <c r="AG31" s="16">
        <v>7</v>
      </c>
      <c r="AH31" s="16">
        <v>0</v>
      </c>
      <c r="AI31" s="16">
        <v>0</v>
      </c>
      <c r="AJ31" s="16">
        <v>0</v>
      </c>
      <c r="AK31" s="125"/>
      <c r="AL31" s="4"/>
      <c r="AM31" s="47" t="s">
        <v>76</v>
      </c>
      <c r="AN31" s="235"/>
      <c r="AO31" s="16">
        <v>0</v>
      </c>
      <c r="AP31" s="16">
        <v>0</v>
      </c>
      <c r="AQ31" s="16">
        <v>3</v>
      </c>
      <c r="AR31" s="16">
        <v>0</v>
      </c>
      <c r="AS31" s="16">
        <v>0</v>
      </c>
      <c r="AT31" s="16">
        <v>0</v>
      </c>
      <c r="AU31" s="16">
        <v>0</v>
      </c>
      <c r="AV31" s="16">
        <v>1</v>
      </c>
      <c r="AW31" s="16">
        <v>2</v>
      </c>
      <c r="AX31" s="16">
        <v>0</v>
      </c>
      <c r="AY31" s="16">
        <v>4</v>
      </c>
      <c r="AZ31" s="16">
        <f>1+2</f>
        <v>3</v>
      </c>
      <c r="BA31" s="16">
        <v>0</v>
      </c>
      <c r="BB31" s="16">
        <v>0</v>
      </c>
      <c r="BC31" s="16">
        <v>0</v>
      </c>
      <c r="BD31" s="16">
        <v>0</v>
      </c>
      <c r="BE31" s="16">
        <v>0</v>
      </c>
      <c r="BF31" s="16">
        <v>0</v>
      </c>
      <c r="BG31" s="16">
        <v>0</v>
      </c>
      <c r="BH31" s="16">
        <v>0</v>
      </c>
      <c r="BI31" s="16">
        <v>0</v>
      </c>
      <c r="BJ31" s="16">
        <v>1</v>
      </c>
      <c r="BK31" s="16">
        <v>0</v>
      </c>
      <c r="BL31" s="16">
        <v>0</v>
      </c>
      <c r="BM31" s="16">
        <v>0</v>
      </c>
      <c r="BN31" s="16">
        <v>0</v>
      </c>
      <c r="BO31" s="16">
        <v>0</v>
      </c>
      <c r="BP31" s="16">
        <v>0</v>
      </c>
      <c r="BQ31" s="16">
        <v>0</v>
      </c>
      <c r="BR31" s="16">
        <v>0</v>
      </c>
      <c r="BS31" s="16">
        <v>0</v>
      </c>
    </row>
    <row r="32" spans="1:71" s="15" customFormat="1" ht="18.600000000000001" customHeight="1" x14ac:dyDescent="0.25">
      <c r="A32" s="125" t="s">
        <v>84</v>
      </c>
      <c r="B32" s="4"/>
      <c r="C32" s="47" t="s">
        <v>75</v>
      </c>
      <c r="D32" s="235"/>
      <c r="E32" s="16">
        <f t="shared" si="0"/>
        <v>57558</v>
      </c>
      <c r="F32" s="16">
        <f>67+116</f>
        <v>183</v>
      </c>
      <c r="G32" s="16">
        <f>20+50</f>
        <v>70</v>
      </c>
      <c r="H32" s="16">
        <f>12+11</f>
        <v>23</v>
      </c>
      <c r="I32" s="16">
        <v>34</v>
      </c>
      <c r="J32" s="16">
        <f>72+38</f>
        <v>110</v>
      </c>
      <c r="K32" s="16">
        <v>388</v>
      </c>
      <c r="L32" s="16">
        <v>4184</v>
      </c>
      <c r="M32" s="16">
        <v>3985</v>
      </c>
      <c r="N32" s="16">
        <f>50+6</f>
        <v>56</v>
      </c>
      <c r="O32" s="16">
        <f>146+1390</f>
        <v>1536</v>
      </c>
      <c r="P32" s="16">
        <f>240+553</f>
        <v>793</v>
      </c>
      <c r="Q32" s="16">
        <v>0</v>
      </c>
      <c r="R32" s="16">
        <v>847</v>
      </c>
      <c r="S32" s="16">
        <v>830</v>
      </c>
      <c r="T32" s="16">
        <f>41+31</f>
        <v>72</v>
      </c>
      <c r="U32" s="16">
        <f>350+410</f>
        <v>760</v>
      </c>
      <c r="V32" s="16">
        <v>2414</v>
      </c>
      <c r="W32" s="16">
        <f>20+18</f>
        <v>38</v>
      </c>
      <c r="X32" s="16">
        <f>14+18</f>
        <v>32</v>
      </c>
      <c r="Y32" s="16">
        <f>104+261</f>
        <v>365</v>
      </c>
      <c r="Z32" s="16">
        <v>1133</v>
      </c>
      <c r="AA32" s="16">
        <f>139+122</f>
        <v>261</v>
      </c>
      <c r="AB32" s="16">
        <f>160+184</f>
        <v>344</v>
      </c>
      <c r="AC32" s="16">
        <v>767</v>
      </c>
      <c r="AD32" s="16">
        <v>3193</v>
      </c>
      <c r="AE32" s="16">
        <v>2183</v>
      </c>
      <c r="AF32" s="16">
        <v>0</v>
      </c>
      <c r="AG32" s="16">
        <v>2243</v>
      </c>
      <c r="AH32" s="16">
        <v>214</v>
      </c>
      <c r="AI32" s="16">
        <f>7+12</f>
        <v>19</v>
      </c>
      <c r="AJ32" s="16">
        <v>781</v>
      </c>
      <c r="AK32" s="125" t="s">
        <v>84</v>
      </c>
      <c r="AL32" s="4"/>
      <c r="AM32" s="47" t="s">
        <v>75</v>
      </c>
      <c r="AN32" s="235"/>
      <c r="AO32" s="16">
        <f>22+49</f>
        <v>71</v>
      </c>
      <c r="AP32" s="16">
        <v>0</v>
      </c>
      <c r="AQ32" s="16">
        <f>253+469</f>
        <v>722</v>
      </c>
      <c r="AR32" s="16">
        <f>135+228</f>
        <v>363</v>
      </c>
      <c r="AS32" s="16">
        <f>130+160+0+107</f>
        <v>397</v>
      </c>
      <c r="AT32" s="16">
        <f>62+7+0+11</f>
        <v>80</v>
      </c>
      <c r="AU32" s="16">
        <v>1056</v>
      </c>
      <c r="AV32" s="16">
        <f>432+334</f>
        <v>766</v>
      </c>
      <c r="AW32" s="16">
        <f>222+307</f>
        <v>529</v>
      </c>
      <c r="AX32" s="16">
        <f>112+67</f>
        <v>179</v>
      </c>
      <c r="AY32" s="16">
        <f>1653+1881</f>
        <v>3534</v>
      </c>
      <c r="AZ32" s="16">
        <v>1606</v>
      </c>
      <c r="BA32" s="16">
        <f>12+24</f>
        <v>36</v>
      </c>
      <c r="BB32" s="16">
        <f>412+818</f>
        <v>1230</v>
      </c>
      <c r="BC32" s="16">
        <v>190</v>
      </c>
      <c r="BD32" s="16">
        <f>368+93+0+515</f>
        <v>976</v>
      </c>
      <c r="BE32" s="16">
        <v>631</v>
      </c>
      <c r="BF32" s="16">
        <f>420+201</f>
        <v>621</v>
      </c>
      <c r="BG32" s="16">
        <f>92+96</f>
        <v>188</v>
      </c>
      <c r="BH32" s="16">
        <v>463</v>
      </c>
      <c r="BI32" s="16">
        <v>951</v>
      </c>
      <c r="BJ32" s="16">
        <f>285+237</f>
        <v>522</v>
      </c>
      <c r="BK32" s="16">
        <f>634+576</f>
        <v>1210</v>
      </c>
      <c r="BL32" s="16">
        <v>2890</v>
      </c>
      <c r="BM32" s="16">
        <f>522+272+0+569</f>
        <v>1363</v>
      </c>
      <c r="BN32" s="16">
        <v>6167</v>
      </c>
      <c r="BO32" s="16">
        <f>449+622</f>
        <v>1071</v>
      </c>
      <c r="BP32" s="16">
        <v>1221</v>
      </c>
      <c r="BQ32" s="16">
        <v>4</v>
      </c>
      <c r="BR32" s="16">
        <v>4</v>
      </c>
      <c r="BS32" s="16">
        <f>7+418+0+234</f>
        <v>659</v>
      </c>
    </row>
    <row r="33" spans="1:71" s="15" customFormat="1" ht="18.600000000000001" customHeight="1" x14ac:dyDescent="0.25">
      <c r="A33" s="125"/>
      <c r="B33" s="4"/>
      <c r="C33" s="47" t="s">
        <v>76</v>
      </c>
      <c r="D33" s="235"/>
      <c r="E33" s="16">
        <f t="shared" si="0"/>
        <v>131</v>
      </c>
      <c r="F33" s="26">
        <v>0</v>
      </c>
      <c r="G33" s="26">
        <v>0</v>
      </c>
      <c r="H33" s="26">
        <v>0</v>
      </c>
      <c r="I33" s="26">
        <v>0</v>
      </c>
      <c r="J33" s="26">
        <v>0</v>
      </c>
      <c r="K33" s="26">
        <v>0</v>
      </c>
      <c r="L33" s="26">
        <f>1+1</f>
        <v>2</v>
      </c>
      <c r="M33" s="26">
        <v>2</v>
      </c>
      <c r="N33" s="26">
        <v>0</v>
      </c>
      <c r="O33" s="26">
        <v>0</v>
      </c>
      <c r="P33" s="26">
        <f>1+3</f>
        <v>4</v>
      </c>
      <c r="Q33" s="26">
        <v>0</v>
      </c>
      <c r="R33" s="26">
        <v>2</v>
      </c>
      <c r="S33" s="26">
        <v>6</v>
      </c>
      <c r="T33" s="26">
        <v>0</v>
      </c>
      <c r="U33" s="26">
        <v>1</v>
      </c>
      <c r="V33" s="26">
        <v>3</v>
      </c>
      <c r="W33" s="26">
        <v>0</v>
      </c>
      <c r="X33" s="26">
        <v>0</v>
      </c>
      <c r="Y33" s="26">
        <v>0</v>
      </c>
      <c r="Z33" s="26">
        <v>1</v>
      </c>
      <c r="AA33" s="26">
        <v>0</v>
      </c>
      <c r="AB33" s="26">
        <v>4</v>
      </c>
      <c r="AC33" s="26">
        <f>1+2</f>
        <v>3</v>
      </c>
      <c r="AD33" s="26">
        <f>7+2</f>
        <v>9</v>
      </c>
      <c r="AE33" s="26">
        <v>4</v>
      </c>
      <c r="AF33" s="26">
        <v>0</v>
      </c>
      <c r="AG33" s="26">
        <f>8+13</f>
        <v>21</v>
      </c>
      <c r="AH33" s="26">
        <v>0</v>
      </c>
      <c r="AI33" s="26">
        <v>0</v>
      </c>
      <c r="AJ33" s="26">
        <f>1+1</f>
        <v>2</v>
      </c>
      <c r="AK33" s="125"/>
      <c r="AL33" s="4"/>
      <c r="AM33" s="47" t="s">
        <v>76</v>
      </c>
      <c r="AN33" s="235"/>
      <c r="AO33" s="16">
        <v>0</v>
      </c>
      <c r="AP33" s="16">
        <v>0</v>
      </c>
      <c r="AQ33" s="16">
        <f>6+3</f>
        <v>9</v>
      </c>
      <c r="AR33" s="16">
        <v>1</v>
      </c>
      <c r="AS33" s="16">
        <v>0</v>
      </c>
      <c r="AT33" s="16">
        <v>0</v>
      </c>
      <c r="AU33" s="16">
        <v>0</v>
      </c>
      <c r="AV33" s="16">
        <v>0</v>
      </c>
      <c r="AW33" s="16">
        <v>1</v>
      </c>
      <c r="AX33" s="16">
        <v>0</v>
      </c>
      <c r="AY33" s="16">
        <f>4+5</f>
        <v>9</v>
      </c>
      <c r="AZ33" s="16">
        <v>1</v>
      </c>
      <c r="BA33" s="16">
        <v>0</v>
      </c>
      <c r="BB33" s="16">
        <v>3</v>
      </c>
      <c r="BC33" s="16">
        <v>0</v>
      </c>
      <c r="BD33" s="16">
        <v>0</v>
      </c>
      <c r="BE33" s="16">
        <f>1+2</f>
        <v>3</v>
      </c>
      <c r="BF33" s="16">
        <v>17</v>
      </c>
      <c r="BG33" s="16">
        <v>2</v>
      </c>
      <c r="BH33" s="16">
        <v>0</v>
      </c>
      <c r="BI33" s="16">
        <v>0</v>
      </c>
      <c r="BJ33" s="16">
        <v>4</v>
      </c>
      <c r="BK33" s="16">
        <v>3</v>
      </c>
      <c r="BL33" s="16">
        <f>7+1</f>
        <v>8</v>
      </c>
      <c r="BM33" s="16">
        <v>0</v>
      </c>
      <c r="BN33" s="16">
        <f>1+4</f>
        <v>5</v>
      </c>
      <c r="BO33" s="16">
        <v>0</v>
      </c>
      <c r="BP33" s="16">
        <v>1</v>
      </c>
      <c r="BQ33" s="16">
        <v>0</v>
      </c>
      <c r="BR33" s="16">
        <v>0</v>
      </c>
      <c r="BS33" s="16">
        <v>0</v>
      </c>
    </row>
    <row r="34" spans="1:71" s="15" customFormat="1" ht="18.600000000000001" customHeight="1" x14ac:dyDescent="0.25">
      <c r="A34" s="125" t="s">
        <v>85</v>
      </c>
      <c r="B34" s="5"/>
      <c r="C34" s="47" t="s">
        <v>75</v>
      </c>
      <c r="D34" s="235"/>
      <c r="E34" s="16">
        <f t="shared" si="0"/>
        <v>5652</v>
      </c>
      <c r="F34" s="16">
        <f>2+6</f>
        <v>8</v>
      </c>
      <c r="G34" s="16">
        <v>2</v>
      </c>
      <c r="H34" s="16">
        <v>2</v>
      </c>
      <c r="I34" s="16">
        <v>0</v>
      </c>
      <c r="J34" s="16">
        <v>6</v>
      </c>
      <c r="K34" s="16">
        <f>10+20</f>
        <v>30</v>
      </c>
      <c r="L34" s="26">
        <v>984</v>
      </c>
      <c r="M34" s="26">
        <v>760</v>
      </c>
      <c r="N34" s="26">
        <v>5</v>
      </c>
      <c r="O34" s="26">
        <v>260</v>
      </c>
      <c r="P34" s="26">
        <f>3+18</f>
        <v>21</v>
      </c>
      <c r="Q34" s="26">
        <v>0</v>
      </c>
      <c r="R34" s="26">
        <v>66</v>
      </c>
      <c r="S34" s="26">
        <f>23+44</f>
        <v>67</v>
      </c>
      <c r="T34" s="26">
        <v>6</v>
      </c>
      <c r="U34" s="26">
        <v>35</v>
      </c>
      <c r="V34" s="26">
        <f>55+123</f>
        <v>178</v>
      </c>
      <c r="W34" s="26">
        <v>2</v>
      </c>
      <c r="X34" s="26">
        <f>1+7</f>
        <v>8</v>
      </c>
      <c r="Y34" s="26">
        <f>7+25</f>
        <v>32</v>
      </c>
      <c r="Z34" s="26">
        <f>22+60</f>
        <v>82</v>
      </c>
      <c r="AA34" s="26">
        <f>6+48</f>
        <v>54</v>
      </c>
      <c r="AB34" s="26">
        <f>12+29</f>
        <v>41</v>
      </c>
      <c r="AC34" s="26">
        <v>48</v>
      </c>
      <c r="AD34" s="26">
        <f>194+247</f>
        <v>441</v>
      </c>
      <c r="AE34" s="26">
        <v>297</v>
      </c>
      <c r="AF34" s="26">
        <v>0</v>
      </c>
      <c r="AG34" s="26">
        <v>510</v>
      </c>
      <c r="AH34" s="26">
        <f>9+7</f>
        <v>16</v>
      </c>
      <c r="AI34" s="26">
        <f>1+1</f>
        <v>2</v>
      </c>
      <c r="AJ34" s="26">
        <f>17+32</f>
        <v>49</v>
      </c>
      <c r="AK34" s="125" t="s">
        <v>85</v>
      </c>
      <c r="AL34" s="5"/>
      <c r="AM34" s="47" t="s">
        <v>75</v>
      </c>
      <c r="AN34" s="235"/>
      <c r="AO34" s="16">
        <f>4+8</f>
        <v>12</v>
      </c>
      <c r="AP34" s="16">
        <v>0</v>
      </c>
      <c r="AQ34" s="16">
        <f>66+53</f>
        <v>119</v>
      </c>
      <c r="AR34" s="16">
        <f>5+35</f>
        <v>40</v>
      </c>
      <c r="AS34" s="16">
        <v>0</v>
      </c>
      <c r="AT34" s="16">
        <v>0</v>
      </c>
      <c r="AU34" s="16">
        <v>0</v>
      </c>
      <c r="AV34" s="16">
        <f>15+8</f>
        <v>23</v>
      </c>
      <c r="AW34" s="16">
        <f>40+32</f>
        <v>72</v>
      </c>
      <c r="AX34" s="16">
        <f>4+7</f>
        <v>11</v>
      </c>
      <c r="AY34" s="16">
        <v>164</v>
      </c>
      <c r="AZ34" s="16">
        <f>160+18</f>
        <v>178</v>
      </c>
      <c r="BA34" s="16">
        <v>3</v>
      </c>
      <c r="BB34" s="16">
        <f>9+16</f>
        <v>25</v>
      </c>
      <c r="BC34" s="16">
        <f>1+2</f>
        <v>3</v>
      </c>
      <c r="BD34" s="16">
        <f>1+1+0+7</f>
        <v>9</v>
      </c>
      <c r="BE34" s="16">
        <f>5+9</f>
        <v>14</v>
      </c>
      <c r="BF34" s="16">
        <v>17</v>
      </c>
      <c r="BG34" s="16">
        <f>8+3</f>
        <v>11</v>
      </c>
      <c r="BH34" s="16">
        <f>14+6</f>
        <v>20</v>
      </c>
      <c r="BI34" s="16">
        <f>6+11</f>
        <v>17</v>
      </c>
      <c r="BJ34" s="16">
        <f>25+48</f>
        <v>73</v>
      </c>
      <c r="BK34" s="16">
        <f>45+53</f>
        <v>98</v>
      </c>
      <c r="BL34" s="16">
        <f>7+25</f>
        <v>32</v>
      </c>
      <c r="BM34" s="16">
        <v>3</v>
      </c>
      <c r="BN34" s="16">
        <v>295</v>
      </c>
      <c r="BO34" s="16">
        <f>228+49</f>
        <v>277</v>
      </c>
      <c r="BP34" s="16">
        <f>23+77</f>
        <v>100</v>
      </c>
      <c r="BQ34" s="16">
        <v>0</v>
      </c>
      <c r="BR34" s="16">
        <v>0</v>
      </c>
      <c r="BS34" s="16">
        <f>6+18</f>
        <v>24</v>
      </c>
    </row>
    <row r="35" spans="1:71" s="15" customFormat="1" ht="18.600000000000001" customHeight="1" x14ac:dyDescent="0.25">
      <c r="A35" s="125"/>
      <c r="B35" s="5"/>
      <c r="C35" s="47" t="s">
        <v>76</v>
      </c>
      <c r="D35" s="235"/>
      <c r="E35" s="16">
        <f t="shared" si="0"/>
        <v>39</v>
      </c>
      <c r="F35" s="26">
        <v>0</v>
      </c>
      <c r="G35" s="26">
        <v>0</v>
      </c>
      <c r="H35" s="26">
        <v>0</v>
      </c>
      <c r="I35" s="26">
        <v>0</v>
      </c>
      <c r="J35" s="26">
        <v>0</v>
      </c>
      <c r="K35" s="26">
        <v>0</v>
      </c>
      <c r="L35" s="26">
        <v>1</v>
      </c>
      <c r="M35" s="26">
        <v>2</v>
      </c>
      <c r="N35" s="26">
        <v>0</v>
      </c>
      <c r="O35" s="26">
        <v>0</v>
      </c>
      <c r="P35" s="26">
        <v>0</v>
      </c>
      <c r="Q35" s="26">
        <v>0</v>
      </c>
      <c r="R35" s="26">
        <v>2</v>
      </c>
      <c r="S35" s="26">
        <v>0</v>
      </c>
      <c r="T35" s="26">
        <v>0</v>
      </c>
      <c r="U35" s="26">
        <v>1</v>
      </c>
      <c r="V35" s="26">
        <f>1+2</f>
        <v>3</v>
      </c>
      <c r="W35" s="26">
        <v>0</v>
      </c>
      <c r="X35" s="26">
        <v>0</v>
      </c>
      <c r="Y35" s="26">
        <v>0</v>
      </c>
      <c r="Z35" s="26">
        <v>0</v>
      </c>
      <c r="AA35" s="26">
        <v>0</v>
      </c>
      <c r="AB35" s="26">
        <v>1</v>
      </c>
      <c r="AC35" s="26">
        <v>1</v>
      </c>
      <c r="AD35" s="26">
        <v>0</v>
      </c>
      <c r="AE35" s="26">
        <v>1</v>
      </c>
      <c r="AF35" s="26">
        <v>0</v>
      </c>
      <c r="AG35" s="26">
        <v>8</v>
      </c>
      <c r="AH35" s="26">
        <v>0</v>
      </c>
      <c r="AI35" s="26">
        <v>0</v>
      </c>
      <c r="AJ35" s="26">
        <v>0</v>
      </c>
      <c r="AK35" s="125"/>
      <c r="AL35" s="5"/>
      <c r="AM35" s="47" t="s">
        <v>76</v>
      </c>
      <c r="AN35" s="235"/>
      <c r="AO35" s="16">
        <v>0</v>
      </c>
      <c r="AP35" s="16">
        <v>0</v>
      </c>
      <c r="AQ35" s="16">
        <v>1</v>
      </c>
      <c r="AR35" s="16">
        <v>0</v>
      </c>
      <c r="AS35" s="16">
        <v>0</v>
      </c>
      <c r="AT35" s="16">
        <v>0</v>
      </c>
      <c r="AU35" s="16">
        <v>0</v>
      </c>
      <c r="AV35" s="16">
        <v>0</v>
      </c>
      <c r="AW35" s="16">
        <v>2</v>
      </c>
      <c r="AX35" s="16">
        <v>0</v>
      </c>
      <c r="AY35" s="16">
        <f>5+1</f>
        <v>6</v>
      </c>
      <c r="AZ35" s="16">
        <v>5</v>
      </c>
      <c r="BA35" s="16">
        <v>0</v>
      </c>
      <c r="BB35" s="16">
        <v>0</v>
      </c>
      <c r="BC35" s="16">
        <v>0</v>
      </c>
      <c r="BD35" s="16">
        <v>0</v>
      </c>
      <c r="BE35" s="16">
        <v>0</v>
      </c>
      <c r="BF35" s="16">
        <v>1</v>
      </c>
      <c r="BG35" s="16">
        <v>0</v>
      </c>
      <c r="BH35" s="16">
        <v>1</v>
      </c>
      <c r="BI35" s="16">
        <v>0</v>
      </c>
      <c r="BJ35" s="16">
        <v>0</v>
      </c>
      <c r="BK35" s="16">
        <v>0</v>
      </c>
      <c r="BL35" s="16">
        <v>1</v>
      </c>
      <c r="BM35" s="16">
        <v>0</v>
      </c>
      <c r="BN35" s="16">
        <v>2</v>
      </c>
      <c r="BO35" s="16">
        <v>0</v>
      </c>
      <c r="BP35" s="16">
        <v>0</v>
      </c>
      <c r="BQ35" s="16">
        <v>0</v>
      </c>
      <c r="BR35" s="16">
        <v>0</v>
      </c>
      <c r="BS35" s="16">
        <v>0</v>
      </c>
    </row>
    <row r="36" spans="1:71" s="15" customFormat="1" ht="18.600000000000001" customHeight="1" x14ac:dyDescent="0.25">
      <c r="A36" s="125" t="s">
        <v>86</v>
      </c>
      <c r="B36" s="4"/>
      <c r="C36" s="47" t="s">
        <v>75</v>
      </c>
      <c r="D36" s="235"/>
      <c r="E36" s="16">
        <f t="shared" si="0"/>
        <v>8304</v>
      </c>
      <c r="F36" s="16">
        <f>14+9</f>
        <v>23</v>
      </c>
      <c r="G36" s="16">
        <v>12</v>
      </c>
      <c r="H36" s="16">
        <f>13+3</f>
        <v>16</v>
      </c>
      <c r="I36" s="16">
        <v>0</v>
      </c>
      <c r="J36" s="16">
        <f>3+10</f>
        <v>13</v>
      </c>
      <c r="K36" s="16">
        <f>1+19</f>
        <v>20</v>
      </c>
      <c r="L36" s="26">
        <f>461+704</f>
        <v>1165</v>
      </c>
      <c r="M36" s="26">
        <f>247+292</f>
        <v>539</v>
      </c>
      <c r="N36" s="26">
        <f>11+9</f>
        <v>20</v>
      </c>
      <c r="O36" s="26">
        <f>8+570</f>
        <v>578</v>
      </c>
      <c r="P36" s="26">
        <f>4+24</f>
        <v>28</v>
      </c>
      <c r="Q36" s="26">
        <v>5</v>
      </c>
      <c r="R36" s="26">
        <v>72</v>
      </c>
      <c r="S36" s="26">
        <f>27+50</f>
        <v>77</v>
      </c>
      <c r="T36" s="26">
        <f>15+4</f>
        <v>19</v>
      </c>
      <c r="U36" s="26">
        <f>15+27</f>
        <v>42</v>
      </c>
      <c r="V36" s="26">
        <f>70+89</f>
        <v>159</v>
      </c>
      <c r="W36" s="26">
        <v>3</v>
      </c>
      <c r="X36" s="26">
        <f>3+7</f>
        <v>10</v>
      </c>
      <c r="Y36" s="26">
        <f>12+19</f>
        <v>31</v>
      </c>
      <c r="Z36" s="26">
        <f>105+70</f>
        <v>175</v>
      </c>
      <c r="AA36" s="26">
        <f>8+33</f>
        <v>41</v>
      </c>
      <c r="AB36" s="26">
        <f>25+45</f>
        <v>70</v>
      </c>
      <c r="AC36" s="26">
        <f>84+25</f>
        <v>109</v>
      </c>
      <c r="AD36" s="26">
        <f>666+333</f>
        <v>999</v>
      </c>
      <c r="AE36" s="26">
        <f>166+94</f>
        <v>260</v>
      </c>
      <c r="AF36" s="26">
        <v>0</v>
      </c>
      <c r="AG36" s="26">
        <f>232+202</f>
        <v>434</v>
      </c>
      <c r="AH36" s="26">
        <v>6</v>
      </c>
      <c r="AI36" s="26">
        <f>9+2</f>
        <v>11</v>
      </c>
      <c r="AJ36" s="26">
        <f>19+36</f>
        <v>55</v>
      </c>
      <c r="AK36" s="125" t="s">
        <v>86</v>
      </c>
      <c r="AL36" s="4"/>
      <c r="AM36" s="47" t="s">
        <v>75</v>
      </c>
      <c r="AN36" s="235"/>
      <c r="AO36" s="16">
        <f>6+3</f>
        <v>9</v>
      </c>
      <c r="AP36" s="16">
        <v>0</v>
      </c>
      <c r="AQ36" s="16">
        <f>70+42</f>
        <v>112</v>
      </c>
      <c r="AR36" s="16">
        <f>54+20</f>
        <v>74</v>
      </c>
      <c r="AS36" s="16">
        <v>0</v>
      </c>
      <c r="AT36" s="16">
        <v>0</v>
      </c>
      <c r="AU36" s="16">
        <v>4</v>
      </c>
      <c r="AV36" s="16">
        <f>5+11</f>
        <v>16</v>
      </c>
      <c r="AW36" s="16">
        <f>25+7</f>
        <v>32</v>
      </c>
      <c r="AX36" s="16">
        <f>14+11</f>
        <v>25</v>
      </c>
      <c r="AY36" s="16">
        <f>366+313</f>
        <v>679</v>
      </c>
      <c r="AZ36" s="16">
        <f>291+288</f>
        <v>579</v>
      </c>
      <c r="BA36" s="16">
        <v>0</v>
      </c>
      <c r="BB36" s="16">
        <f>49+1</f>
        <v>50</v>
      </c>
      <c r="BC36" s="16">
        <f>7+2</f>
        <v>9</v>
      </c>
      <c r="BD36" s="16">
        <f>11+135+40+50</f>
        <v>236</v>
      </c>
      <c r="BE36" s="16">
        <f>17+15</f>
        <v>32</v>
      </c>
      <c r="BF36" s="16">
        <v>5</v>
      </c>
      <c r="BG36" s="16">
        <v>13</v>
      </c>
      <c r="BH36" s="16">
        <f>15+1</f>
        <v>16</v>
      </c>
      <c r="BI36" s="16">
        <f>64+17</f>
        <v>81</v>
      </c>
      <c r="BJ36" s="16">
        <f>77+33</f>
        <v>110</v>
      </c>
      <c r="BK36" s="16">
        <f>32+31</f>
        <v>63</v>
      </c>
      <c r="BL36" s="16">
        <v>14</v>
      </c>
      <c r="BM36" s="16">
        <f>0+30+0+22</f>
        <v>52</v>
      </c>
      <c r="BN36" s="16">
        <f>192+355</f>
        <v>547</v>
      </c>
      <c r="BO36" s="16">
        <f>170+150</f>
        <v>320</v>
      </c>
      <c r="BP36" s="16">
        <f>145+74</f>
        <v>219</v>
      </c>
      <c r="BQ36" s="16">
        <v>0</v>
      </c>
      <c r="BR36" s="16">
        <v>0</v>
      </c>
      <c r="BS36" s="16">
        <f>3+12</f>
        <v>15</v>
      </c>
    </row>
    <row r="37" spans="1:71" s="15" customFormat="1" ht="18.600000000000001" customHeight="1" x14ac:dyDescent="0.25">
      <c r="A37" s="125"/>
      <c r="B37" s="4"/>
      <c r="C37" s="47" t="s">
        <v>76</v>
      </c>
      <c r="D37" s="235"/>
      <c r="E37" s="16">
        <f t="shared" si="0"/>
        <v>31</v>
      </c>
      <c r="F37" s="26">
        <v>0</v>
      </c>
      <c r="G37" s="26">
        <v>0</v>
      </c>
      <c r="H37" s="26">
        <v>0</v>
      </c>
      <c r="I37" s="26">
        <v>0</v>
      </c>
      <c r="J37" s="26">
        <v>0</v>
      </c>
      <c r="K37" s="26">
        <v>0</v>
      </c>
      <c r="L37" s="26">
        <v>0</v>
      </c>
      <c r="M37" s="26">
        <v>0</v>
      </c>
      <c r="N37" s="26">
        <v>0</v>
      </c>
      <c r="O37" s="26">
        <v>0</v>
      </c>
      <c r="P37" s="26">
        <v>2</v>
      </c>
      <c r="Q37" s="26">
        <v>0</v>
      </c>
      <c r="R37" s="26">
        <v>0</v>
      </c>
      <c r="S37" s="26">
        <v>1</v>
      </c>
      <c r="T37" s="26">
        <v>0</v>
      </c>
      <c r="U37" s="26">
        <v>0</v>
      </c>
      <c r="V37" s="26">
        <v>1</v>
      </c>
      <c r="W37" s="26">
        <v>0</v>
      </c>
      <c r="X37" s="26">
        <v>0</v>
      </c>
      <c r="Y37" s="26">
        <v>0</v>
      </c>
      <c r="Z37" s="26">
        <v>0</v>
      </c>
      <c r="AA37" s="26">
        <v>0</v>
      </c>
      <c r="AB37" s="26">
        <v>6</v>
      </c>
      <c r="AC37" s="26">
        <v>0</v>
      </c>
      <c r="AD37" s="26">
        <v>1</v>
      </c>
      <c r="AE37" s="26">
        <v>0</v>
      </c>
      <c r="AF37" s="26">
        <v>0</v>
      </c>
      <c r="AG37" s="26">
        <f>1+7</f>
        <v>8</v>
      </c>
      <c r="AH37" s="26">
        <v>0</v>
      </c>
      <c r="AI37" s="26">
        <v>0</v>
      </c>
      <c r="AJ37" s="26">
        <v>1</v>
      </c>
      <c r="AK37" s="125"/>
      <c r="AL37" s="4"/>
      <c r="AM37" s="47" t="s">
        <v>76</v>
      </c>
      <c r="AN37" s="235"/>
      <c r="AO37" s="16">
        <v>0</v>
      </c>
      <c r="AP37" s="16">
        <v>0</v>
      </c>
      <c r="AQ37" s="16">
        <v>6</v>
      </c>
      <c r="AR37" s="16">
        <v>0</v>
      </c>
      <c r="AS37" s="16">
        <v>0</v>
      </c>
      <c r="AT37" s="16">
        <v>0</v>
      </c>
      <c r="AU37" s="16">
        <v>0</v>
      </c>
      <c r="AV37" s="16">
        <v>1</v>
      </c>
      <c r="AW37" s="16">
        <v>0</v>
      </c>
      <c r="AX37" s="16">
        <v>0</v>
      </c>
      <c r="AY37" s="16">
        <v>1</v>
      </c>
      <c r="AZ37" s="16">
        <v>1</v>
      </c>
      <c r="BA37" s="16">
        <v>0</v>
      </c>
      <c r="BB37" s="16">
        <v>0</v>
      </c>
      <c r="BC37" s="16">
        <v>0</v>
      </c>
      <c r="BD37" s="16">
        <v>0</v>
      </c>
      <c r="BE37" s="16">
        <v>0</v>
      </c>
      <c r="BF37" s="16">
        <v>0</v>
      </c>
      <c r="BG37" s="16">
        <v>0</v>
      </c>
      <c r="BH37" s="16">
        <v>0</v>
      </c>
      <c r="BI37" s="16">
        <v>1</v>
      </c>
      <c r="BJ37" s="16">
        <v>1</v>
      </c>
      <c r="BK37" s="16">
        <v>0</v>
      </c>
      <c r="BL37" s="16">
        <v>0</v>
      </c>
      <c r="BM37" s="16">
        <v>0</v>
      </c>
      <c r="BN37" s="16">
        <v>0</v>
      </c>
      <c r="BO37" s="16">
        <v>0</v>
      </c>
      <c r="BP37" s="16">
        <v>0</v>
      </c>
      <c r="BQ37" s="16">
        <v>0</v>
      </c>
      <c r="BR37" s="16">
        <v>0</v>
      </c>
      <c r="BS37" s="16">
        <v>0</v>
      </c>
    </row>
    <row r="38" spans="1:71" s="15" customFormat="1" ht="18.600000000000001" customHeight="1" x14ac:dyDescent="0.25">
      <c r="A38" s="125" t="s">
        <v>87</v>
      </c>
      <c r="B38" s="4"/>
      <c r="C38" s="47" t="s">
        <v>75</v>
      </c>
      <c r="D38" s="235"/>
      <c r="E38" s="16">
        <f t="shared" si="0"/>
        <v>8950</v>
      </c>
      <c r="F38" s="16">
        <f>5+8</f>
        <v>13</v>
      </c>
      <c r="G38" s="16">
        <v>6</v>
      </c>
      <c r="H38" s="16">
        <f>16+4</f>
        <v>20</v>
      </c>
      <c r="I38" s="16">
        <v>1</v>
      </c>
      <c r="J38" s="16">
        <v>1</v>
      </c>
      <c r="K38" s="16">
        <v>0</v>
      </c>
      <c r="L38" s="26">
        <f>626+655</f>
        <v>1281</v>
      </c>
      <c r="M38" s="26">
        <v>1374</v>
      </c>
      <c r="N38" s="26">
        <f>19+73</f>
        <v>92</v>
      </c>
      <c r="O38" s="26">
        <f>2+442</f>
        <v>444</v>
      </c>
      <c r="P38" s="26">
        <f>4+23</f>
        <v>27</v>
      </c>
      <c r="Q38" s="26">
        <v>0</v>
      </c>
      <c r="R38" s="26">
        <f>11+44</f>
        <v>55</v>
      </c>
      <c r="S38" s="26">
        <f>18+65</f>
        <v>83</v>
      </c>
      <c r="T38" s="26">
        <v>36</v>
      </c>
      <c r="U38" s="26">
        <f>11+16</f>
        <v>27</v>
      </c>
      <c r="V38" s="26">
        <f>80+61</f>
        <v>141</v>
      </c>
      <c r="W38" s="26">
        <v>1</v>
      </c>
      <c r="X38" s="26">
        <v>0</v>
      </c>
      <c r="Y38" s="26">
        <f>33+30</f>
        <v>63</v>
      </c>
      <c r="Z38" s="26">
        <f>31+410</f>
        <v>441</v>
      </c>
      <c r="AA38" s="26">
        <f>41+36</f>
        <v>77</v>
      </c>
      <c r="AB38" s="26">
        <v>42</v>
      </c>
      <c r="AC38" s="26">
        <f>29+39</f>
        <v>68</v>
      </c>
      <c r="AD38" s="26">
        <f>270+760</f>
        <v>1030</v>
      </c>
      <c r="AE38" s="26">
        <f>99+259</f>
        <v>358</v>
      </c>
      <c r="AF38" s="26">
        <v>0</v>
      </c>
      <c r="AG38" s="26">
        <f>118+220</f>
        <v>338</v>
      </c>
      <c r="AH38" s="26">
        <f>3+55</f>
        <v>58</v>
      </c>
      <c r="AI38" s="26">
        <v>0</v>
      </c>
      <c r="AJ38" s="26">
        <f>11+50</f>
        <v>61</v>
      </c>
      <c r="AK38" s="125" t="s">
        <v>87</v>
      </c>
      <c r="AL38" s="4"/>
      <c r="AM38" s="47" t="s">
        <v>75</v>
      </c>
      <c r="AN38" s="235"/>
      <c r="AO38" s="16">
        <v>1</v>
      </c>
      <c r="AP38" s="16">
        <v>0</v>
      </c>
      <c r="AQ38" s="16">
        <f>147+114</f>
        <v>261</v>
      </c>
      <c r="AR38" s="16">
        <f>34+76</f>
        <v>110</v>
      </c>
      <c r="AS38" s="16">
        <v>0</v>
      </c>
      <c r="AT38" s="16">
        <v>0</v>
      </c>
      <c r="AU38" s="16">
        <v>4</v>
      </c>
      <c r="AV38" s="16">
        <f>2+12</f>
        <v>14</v>
      </c>
      <c r="AW38" s="16">
        <f>22+105</f>
        <v>127</v>
      </c>
      <c r="AX38" s="16">
        <f>3+30</f>
        <v>33</v>
      </c>
      <c r="AY38" s="16">
        <f>95+441</f>
        <v>536</v>
      </c>
      <c r="AZ38" s="16">
        <f>7+191</f>
        <v>198</v>
      </c>
      <c r="BA38" s="16">
        <f>1+2</f>
        <v>3</v>
      </c>
      <c r="BB38" s="16">
        <v>26</v>
      </c>
      <c r="BC38" s="16">
        <v>1</v>
      </c>
      <c r="BD38" s="16">
        <v>0</v>
      </c>
      <c r="BE38" s="16">
        <v>0</v>
      </c>
      <c r="BF38" s="16">
        <v>11</v>
      </c>
      <c r="BG38" s="16">
        <v>4</v>
      </c>
      <c r="BH38" s="16">
        <v>21</v>
      </c>
      <c r="BI38" s="16">
        <f>15+10</f>
        <v>25</v>
      </c>
      <c r="BJ38" s="16">
        <f>6+32</f>
        <v>38</v>
      </c>
      <c r="BK38" s="16">
        <f>6+14</f>
        <v>20</v>
      </c>
      <c r="BL38" s="16">
        <f>1+18</f>
        <v>19</v>
      </c>
      <c r="BM38" s="16">
        <v>1</v>
      </c>
      <c r="BN38" s="16">
        <f>401+313</f>
        <v>714</v>
      </c>
      <c r="BO38" s="16">
        <f>263+231</f>
        <v>494</v>
      </c>
      <c r="BP38" s="16">
        <f>53+68</f>
        <v>121</v>
      </c>
      <c r="BQ38" s="16">
        <v>0</v>
      </c>
      <c r="BR38" s="16">
        <v>0</v>
      </c>
      <c r="BS38" s="16">
        <f>13+17</f>
        <v>30</v>
      </c>
    </row>
    <row r="39" spans="1:71" s="15" customFormat="1" ht="18.600000000000001" customHeight="1" x14ac:dyDescent="0.25">
      <c r="A39" s="125"/>
      <c r="B39" s="4"/>
      <c r="C39" s="47" t="s">
        <v>76</v>
      </c>
      <c r="D39" s="235"/>
      <c r="E39" s="16">
        <f t="shared" si="0"/>
        <v>30</v>
      </c>
      <c r="F39" s="26">
        <v>0</v>
      </c>
      <c r="G39" s="26">
        <v>0</v>
      </c>
      <c r="H39" s="26">
        <v>0</v>
      </c>
      <c r="I39" s="26">
        <v>0</v>
      </c>
      <c r="J39" s="26">
        <v>0</v>
      </c>
      <c r="K39" s="26">
        <v>0</v>
      </c>
      <c r="L39" s="26">
        <v>0</v>
      </c>
      <c r="M39" s="26">
        <v>0</v>
      </c>
      <c r="N39" s="26">
        <v>0</v>
      </c>
      <c r="O39" s="26">
        <v>0</v>
      </c>
      <c r="P39" s="26">
        <v>0</v>
      </c>
      <c r="Q39" s="26">
        <v>0</v>
      </c>
      <c r="R39" s="26">
        <v>0</v>
      </c>
      <c r="S39" s="26">
        <v>0</v>
      </c>
      <c r="T39" s="26">
        <v>0</v>
      </c>
      <c r="U39" s="26">
        <v>0</v>
      </c>
      <c r="V39" s="26">
        <v>0</v>
      </c>
      <c r="W39" s="26">
        <v>0</v>
      </c>
      <c r="X39" s="26">
        <v>0</v>
      </c>
      <c r="Y39" s="26">
        <v>0</v>
      </c>
      <c r="Z39" s="26">
        <v>0</v>
      </c>
      <c r="AA39" s="26">
        <v>1</v>
      </c>
      <c r="AB39" s="26">
        <v>0</v>
      </c>
      <c r="AC39" s="26">
        <v>0</v>
      </c>
      <c r="AD39" s="26">
        <v>0</v>
      </c>
      <c r="AE39" s="26">
        <v>2</v>
      </c>
      <c r="AF39" s="26">
        <v>0</v>
      </c>
      <c r="AG39" s="26">
        <f>11+3</f>
        <v>14</v>
      </c>
      <c r="AH39" s="26">
        <v>0</v>
      </c>
      <c r="AI39" s="26">
        <v>0</v>
      </c>
      <c r="AJ39" s="26">
        <v>0</v>
      </c>
      <c r="AK39" s="125"/>
      <c r="AL39" s="4"/>
      <c r="AM39" s="47" t="s">
        <v>76</v>
      </c>
      <c r="AN39" s="235"/>
      <c r="AO39" s="16">
        <v>0</v>
      </c>
      <c r="AP39" s="16">
        <v>0</v>
      </c>
      <c r="AQ39" s="16">
        <v>6</v>
      </c>
      <c r="AR39" s="16">
        <v>0</v>
      </c>
      <c r="AS39" s="16">
        <v>0</v>
      </c>
      <c r="AT39" s="16">
        <v>0</v>
      </c>
      <c r="AU39" s="16">
        <v>0</v>
      </c>
      <c r="AV39" s="16">
        <v>0</v>
      </c>
      <c r="AW39" s="16">
        <v>1</v>
      </c>
      <c r="AX39" s="16">
        <v>0</v>
      </c>
      <c r="AY39" s="16">
        <f>1+2</f>
        <v>3</v>
      </c>
      <c r="AZ39" s="16">
        <v>2</v>
      </c>
      <c r="BA39" s="16">
        <v>0</v>
      </c>
      <c r="BB39" s="16">
        <v>0</v>
      </c>
      <c r="BC39" s="16">
        <v>0</v>
      </c>
      <c r="BD39" s="16">
        <v>0</v>
      </c>
      <c r="BE39" s="16">
        <v>0</v>
      </c>
      <c r="BF39" s="16">
        <v>0</v>
      </c>
      <c r="BG39" s="16">
        <v>0</v>
      </c>
      <c r="BH39" s="16">
        <v>0</v>
      </c>
      <c r="BI39" s="16">
        <v>0</v>
      </c>
      <c r="BJ39" s="16">
        <v>0</v>
      </c>
      <c r="BK39" s="16">
        <v>0</v>
      </c>
      <c r="BL39" s="16">
        <v>0</v>
      </c>
      <c r="BM39" s="16">
        <v>0</v>
      </c>
      <c r="BN39" s="16">
        <v>0</v>
      </c>
      <c r="BO39" s="16">
        <v>1</v>
      </c>
      <c r="BP39" s="16">
        <v>0</v>
      </c>
      <c r="BQ39" s="16">
        <v>0</v>
      </c>
      <c r="BR39" s="16">
        <v>0</v>
      </c>
      <c r="BS39" s="16">
        <v>0</v>
      </c>
    </row>
    <row r="40" spans="1:71" s="15" customFormat="1" ht="18.600000000000001" customHeight="1" x14ac:dyDescent="0.25">
      <c r="A40" s="125" t="s">
        <v>88</v>
      </c>
      <c r="B40" s="5"/>
      <c r="C40" s="47" t="s">
        <v>75</v>
      </c>
      <c r="D40" s="235"/>
      <c r="E40" s="16">
        <f t="shared" si="0"/>
        <v>8786</v>
      </c>
      <c r="F40" s="16">
        <f>2+6</f>
        <v>8</v>
      </c>
      <c r="G40" s="16">
        <v>9</v>
      </c>
      <c r="H40" s="16">
        <f>6+2</f>
        <v>8</v>
      </c>
      <c r="I40" s="16">
        <v>0</v>
      </c>
      <c r="J40" s="16">
        <f>1+2</f>
        <v>3</v>
      </c>
      <c r="K40" s="16">
        <f>5+9</f>
        <v>14</v>
      </c>
      <c r="L40" s="26">
        <v>1261</v>
      </c>
      <c r="M40" s="26">
        <f>262+548</f>
        <v>810</v>
      </c>
      <c r="N40" s="26">
        <f>8+18</f>
        <v>26</v>
      </c>
      <c r="O40" s="26">
        <f>29+617</f>
        <v>646</v>
      </c>
      <c r="P40" s="26">
        <f>17+50</f>
        <v>67</v>
      </c>
      <c r="Q40" s="26">
        <v>0</v>
      </c>
      <c r="R40" s="26">
        <f>38+68</f>
        <v>106</v>
      </c>
      <c r="S40" s="26">
        <f>20+142</f>
        <v>162</v>
      </c>
      <c r="T40" s="26">
        <f>4+3</f>
        <v>7</v>
      </c>
      <c r="U40" s="26">
        <f>19+32</f>
        <v>51</v>
      </c>
      <c r="V40" s="26">
        <f>45+229</f>
        <v>274</v>
      </c>
      <c r="W40" s="26">
        <f>1+8</f>
        <v>9</v>
      </c>
      <c r="X40" s="26">
        <f>6+1</f>
        <v>7</v>
      </c>
      <c r="Y40" s="26">
        <f>7+39</f>
        <v>46</v>
      </c>
      <c r="Z40" s="26">
        <f>15+65</f>
        <v>80</v>
      </c>
      <c r="AA40" s="26">
        <f>52+28</f>
        <v>80</v>
      </c>
      <c r="AB40" s="26">
        <f>15+111</f>
        <v>126</v>
      </c>
      <c r="AC40" s="26">
        <f>20+66</f>
        <v>86</v>
      </c>
      <c r="AD40" s="26">
        <f>183+1120</f>
        <v>1303</v>
      </c>
      <c r="AE40" s="26">
        <f>142+492</f>
        <v>634</v>
      </c>
      <c r="AF40" s="26">
        <v>0</v>
      </c>
      <c r="AG40" s="26">
        <v>603</v>
      </c>
      <c r="AH40" s="26">
        <v>0</v>
      </c>
      <c r="AI40" s="26">
        <v>4</v>
      </c>
      <c r="AJ40" s="26">
        <f>8+184</f>
        <v>192</v>
      </c>
      <c r="AK40" s="125" t="s">
        <v>88</v>
      </c>
      <c r="AL40" s="5"/>
      <c r="AM40" s="47" t="s">
        <v>75</v>
      </c>
      <c r="AN40" s="235"/>
      <c r="AO40" s="16">
        <f>2+1</f>
        <v>3</v>
      </c>
      <c r="AP40" s="16">
        <v>0</v>
      </c>
      <c r="AQ40" s="16">
        <f>47+102</f>
        <v>149</v>
      </c>
      <c r="AR40" s="16">
        <f>8+71</f>
        <v>79</v>
      </c>
      <c r="AS40" s="16">
        <v>2</v>
      </c>
      <c r="AT40" s="16">
        <v>0</v>
      </c>
      <c r="AU40" s="16">
        <v>3</v>
      </c>
      <c r="AV40" s="16">
        <f>2+9</f>
        <v>11</v>
      </c>
      <c r="AW40" s="16">
        <f>43+91</f>
        <v>134</v>
      </c>
      <c r="AX40" s="16">
        <f>1+9</f>
        <v>10</v>
      </c>
      <c r="AY40" s="16">
        <v>188</v>
      </c>
      <c r="AZ40" s="16">
        <v>378</v>
      </c>
      <c r="BA40" s="16">
        <f>3+4</f>
        <v>7</v>
      </c>
      <c r="BB40" s="16">
        <f>9+1</f>
        <v>10</v>
      </c>
      <c r="BC40" s="16">
        <v>5</v>
      </c>
      <c r="BD40" s="16">
        <f>20+4</f>
        <v>24</v>
      </c>
      <c r="BE40" s="16">
        <f>11+2</f>
        <v>13</v>
      </c>
      <c r="BF40" s="16">
        <v>10</v>
      </c>
      <c r="BG40" s="16">
        <v>7</v>
      </c>
      <c r="BH40" s="16">
        <v>19</v>
      </c>
      <c r="BI40" s="16">
        <v>55</v>
      </c>
      <c r="BJ40" s="16">
        <f>23+39</f>
        <v>62</v>
      </c>
      <c r="BK40" s="16">
        <f>27+51</f>
        <v>78</v>
      </c>
      <c r="BL40" s="16">
        <v>14</v>
      </c>
      <c r="BM40" s="16">
        <f>1+5</f>
        <v>6</v>
      </c>
      <c r="BN40" s="16">
        <f>199+354</f>
        <v>553</v>
      </c>
      <c r="BO40" s="16">
        <f>104+90</f>
        <v>194</v>
      </c>
      <c r="BP40" s="16">
        <f>41+63</f>
        <v>104</v>
      </c>
      <c r="BQ40" s="16">
        <v>0</v>
      </c>
      <c r="BR40" s="16">
        <v>0</v>
      </c>
      <c r="BS40" s="16">
        <f>10+36</f>
        <v>46</v>
      </c>
    </row>
    <row r="41" spans="1:71" s="15" customFormat="1" ht="18.600000000000001" customHeight="1" x14ac:dyDescent="0.25">
      <c r="A41" s="125"/>
      <c r="B41" s="5"/>
      <c r="C41" s="47" t="s">
        <v>76</v>
      </c>
      <c r="D41" s="235"/>
      <c r="E41" s="16">
        <f t="shared" si="0"/>
        <v>37</v>
      </c>
      <c r="F41" s="26">
        <v>0</v>
      </c>
      <c r="G41" s="26">
        <v>0</v>
      </c>
      <c r="H41" s="26">
        <v>0</v>
      </c>
      <c r="I41" s="26">
        <v>0</v>
      </c>
      <c r="J41" s="26">
        <v>0</v>
      </c>
      <c r="K41" s="26">
        <v>0</v>
      </c>
      <c r="L41" s="26">
        <v>1</v>
      </c>
      <c r="M41" s="26">
        <v>0</v>
      </c>
      <c r="N41" s="26">
        <v>0</v>
      </c>
      <c r="O41" s="26">
        <v>1</v>
      </c>
      <c r="P41" s="26">
        <v>0</v>
      </c>
      <c r="Q41" s="26">
        <v>0</v>
      </c>
      <c r="R41" s="26">
        <v>2</v>
      </c>
      <c r="S41" s="26">
        <v>0</v>
      </c>
      <c r="T41" s="26">
        <v>0</v>
      </c>
      <c r="U41" s="26">
        <v>0</v>
      </c>
      <c r="V41" s="26">
        <v>1</v>
      </c>
      <c r="W41" s="26">
        <v>0</v>
      </c>
      <c r="X41" s="26">
        <v>0</v>
      </c>
      <c r="Y41" s="26">
        <v>0</v>
      </c>
      <c r="Z41" s="26">
        <v>0</v>
      </c>
      <c r="AA41" s="26">
        <v>0</v>
      </c>
      <c r="AB41" s="26">
        <f>1+1</f>
        <v>2</v>
      </c>
      <c r="AC41" s="26">
        <v>1</v>
      </c>
      <c r="AD41" s="26">
        <v>0</v>
      </c>
      <c r="AE41" s="26">
        <v>1</v>
      </c>
      <c r="AF41" s="26">
        <v>0</v>
      </c>
      <c r="AG41" s="26">
        <f>3+7</f>
        <v>10</v>
      </c>
      <c r="AH41" s="26">
        <v>0</v>
      </c>
      <c r="AI41" s="26">
        <v>0</v>
      </c>
      <c r="AJ41" s="26">
        <v>0</v>
      </c>
      <c r="AK41" s="125"/>
      <c r="AL41" s="5"/>
      <c r="AM41" s="47" t="s">
        <v>76</v>
      </c>
      <c r="AN41" s="235"/>
      <c r="AO41" s="16">
        <v>0</v>
      </c>
      <c r="AP41" s="16">
        <v>0</v>
      </c>
      <c r="AQ41" s="16">
        <f>2+1</f>
        <v>3</v>
      </c>
      <c r="AR41" s="16">
        <v>1</v>
      </c>
      <c r="AS41" s="16">
        <v>0</v>
      </c>
      <c r="AT41" s="16">
        <v>0</v>
      </c>
      <c r="AU41" s="16">
        <v>0</v>
      </c>
      <c r="AV41" s="16">
        <v>0</v>
      </c>
      <c r="AW41" s="16">
        <f>2+4</f>
        <v>6</v>
      </c>
      <c r="AX41" s="16">
        <v>0</v>
      </c>
      <c r="AY41" s="16">
        <f>2+2</f>
        <v>4</v>
      </c>
      <c r="AZ41" s="16">
        <v>2</v>
      </c>
      <c r="BA41" s="16">
        <v>0</v>
      </c>
      <c r="BB41" s="16">
        <v>0</v>
      </c>
      <c r="BC41" s="16">
        <v>0</v>
      </c>
      <c r="BD41" s="16">
        <v>0</v>
      </c>
      <c r="BE41" s="16">
        <v>0</v>
      </c>
      <c r="BF41" s="16">
        <v>0</v>
      </c>
      <c r="BG41" s="16">
        <v>0</v>
      </c>
      <c r="BH41" s="16">
        <v>0</v>
      </c>
      <c r="BI41" s="16">
        <v>1</v>
      </c>
      <c r="BJ41" s="16">
        <v>0</v>
      </c>
      <c r="BK41" s="16">
        <v>1</v>
      </c>
      <c r="BL41" s="16">
        <v>0</v>
      </c>
      <c r="BM41" s="16">
        <v>0</v>
      </c>
      <c r="BN41" s="16">
        <v>0</v>
      </c>
      <c r="BO41" s="16">
        <v>0</v>
      </c>
      <c r="BP41" s="16">
        <v>0</v>
      </c>
      <c r="BQ41" s="16">
        <v>0</v>
      </c>
      <c r="BR41" s="16">
        <v>0</v>
      </c>
      <c r="BS41" s="16">
        <v>0</v>
      </c>
    </row>
    <row r="42" spans="1:71" s="15" customFormat="1" ht="18.600000000000001" customHeight="1" x14ac:dyDescent="0.25">
      <c r="A42" s="125" t="s">
        <v>89</v>
      </c>
      <c r="B42" s="4"/>
      <c r="C42" s="47" t="s">
        <v>75</v>
      </c>
      <c r="D42" s="235"/>
      <c r="E42" s="16">
        <f t="shared" si="0"/>
        <v>10890</v>
      </c>
      <c r="F42" s="16">
        <f>28+19</f>
        <v>47</v>
      </c>
      <c r="G42" s="16">
        <f>24+20</f>
        <v>44</v>
      </c>
      <c r="H42" s="16">
        <v>3</v>
      </c>
      <c r="I42" s="16">
        <v>0</v>
      </c>
      <c r="J42" s="16">
        <v>2</v>
      </c>
      <c r="K42" s="16">
        <f>16+16</f>
        <v>32</v>
      </c>
      <c r="L42" s="26">
        <v>1207</v>
      </c>
      <c r="M42" s="26">
        <f>164+569</f>
        <v>733</v>
      </c>
      <c r="N42" s="26">
        <f>32+19</f>
        <v>51</v>
      </c>
      <c r="O42" s="26">
        <f>26+712</f>
        <v>738</v>
      </c>
      <c r="P42" s="26">
        <f>30+35</f>
        <v>65</v>
      </c>
      <c r="Q42" s="26">
        <v>0</v>
      </c>
      <c r="R42" s="26">
        <f>58+63</f>
        <v>121</v>
      </c>
      <c r="S42" s="26">
        <f>83+134</f>
        <v>217</v>
      </c>
      <c r="T42" s="26">
        <f>8+3</f>
        <v>11</v>
      </c>
      <c r="U42" s="26">
        <f>75+77</f>
        <v>152</v>
      </c>
      <c r="V42" s="26">
        <f>176+201</f>
        <v>377</v>
      </c>
      <c r="W42" s="26">
        <f>5+6</f>
        <v>11</v>
      </c>
      <c r="X42" s="26">
        <f>8+1</f>
        <v>9</v>
      </c>
      <c r="Y42" s="26">
        <f>28+41</f>
        <v>69</v>
      </c>
      <c r="Z42" s="26">
        <f>173+178</f>
        <v>351</v>
      </c>
      <c r="AA42" s="26">
        <f>79+56</f>
        <v>135</v>
      </c>
      <c r="AB42" s="26">
        <f>23+28</f>
        <v>51</v>
      </c>
      <c r="AC42" s="26">
        <f>61+52</f>
        <v>113</v>
      </c>
      <c r="AD42" s="26">
        <v>1825</v>
      </c>
      <c r="AE42" s="26">
        <f>217+280</f>
        <v>497</v>
      </c>
      <c r="AF42" s="26">
        <v>0</v>
      </c>
      <c r="AG42" s="26">
        <f>485+397</f>
        <v>882</v>
      </c>
      <c r="AH42" s="26">
        <f>63+43</f>
        <v>106</v>
      </c>
      <c r="AI42" s="26">
        <v>1</v>
      </c>
      <c r="AJ42" s="26">
        <f>61+143</f>
        <v>204</v>
      </c>
      <c r="AK42" s="125" t="s">
        <v>89</v>
      </c>
      <c r="AL42" s="4"/>
      <c r="AM42" s="47" t="s">
        <v>75</v>
      </c>
      <c r="AN42" s="235"/>
      <c r="AO42" s="16">
        <f>6+2</f>
        <v>8</v>
      </c>
      <c r="AP42" s="16">
        <v>0</v>
      </c>
      <c r="AQ42" s="16">
        <v>147</v>
      </c>
      <c r="AR42" s="16">
        <f>70+36</f>
        <v>106</v>
      </c>
      <c r="AS42" s="16">
        <f>4+2</f>
        <v>6</v>
      </c>
      <c r="AT42" s="16">
        <v>4</v>
      </c>
      <c r="AU42" s="16">
        <v>1</v>
      </c>
      <c r="AV42" s="16">
        <f>2+6</f>
        <v>8</v>
      </c>
      <c r="AW42" s="16">
        <f>46+64</f>
        <v>110</v>
      </c>
      <c r="AX42" s="16">
        <f>43+19</f>
        <v>62</v>
      </c>
      <c r="AY42" s="16">
        <f>653+435</f>
        <v>1088</v>
      </c>
      <c r="AZ42" s="16">
        <f>27+33</f>
        <v>60</v>
      </c>
      <c r="BA42" s="16">
        <v>2</v>
      </c>
      <c r="BB42" s="16">
        <f>14+6</f>
        <v>20</v>
      </c>
      <c r="BC42" s="16">
        <f>10+1</f>
        <v>11</v>
      </c>
      <c r="BD42" s="16">
        <f>11+5</f>
        <v>16</v>
      </c>
      <c r="BE42" s="16">
        <f>6+4</f>
        <v>10</v>
      </c>
      <c r="BF42" s="16">
        <v>11</v>
      </c>
      <c r="BG42" s="16">
        <v>15</v>
      </c>
      <c r="BH42" s="16">
        <v>20</v>
      </c>
      <c r="BI42" s="16">
        <f>9+10</f>
        <v>19</v>
      </c>
      <c r="BJ42" s="16">
        <f>45+44</f>
        <v>89</v>
      </c>
      <c r="BK42" s="16">
        <f>50+65</f>
        <v>115</v>
      </c>
      <c r="BL42" s="16">
        <f>7+23</f>
        <v>30</v>
      </c>
      <c r="BM42" s="16">
        <v>0</v>
      </c>
      <c r="BN42" s="16">
        <f>78+121</f>
        <v>199</v>
      </c>
      <c r="BO42" s="16">
        <f>110+59</f>
        <v>169</v>
      </c>
      <c r="BP42" s="16">
        <f>178+251</f>
        <v>429</v>
      </c>
      <c r="BQ42" s="16">
        <v>0</v>
      </c>
      <c r="BR42" s="16">
        <v>0</v>
      </c>
      <c r="BS42" s="16">
        <f>30+51</f>
        <v>81</v>
      </c>
    </row>
    <row r="43" spans="1:71" s="15" customFormat="1" ht="18.600000000000001" customHeight="1" x14ac:dyDescent="0.25">
      <c r="A43" s="125"/>
      <c r="B43" s="4"/>
      <c r="C43" s="47" t="s">
        <v>76</v>
      </c>
      <c r="D43" s="235"/>
      <c r="E43" s="16">
        <f t="shared" si="0"/>
        <v>17</v>
      </c>
      <c r="F43" s="26">
        <v>0</v>
      </c>
      <c r="G43" s="26">
        <v>0</v>
      </c>
      <c r="H43" s="26">
        <v>0</v>
      </c>
      <c r="I43" s="26">
        <v>0</v>
      </c>
      <c r="J43" s="26">
        <v>0</v>
      </c>
      <c r="K43" s="26">
        <v>0</v>
      </c>
      <c r="L43" s="26">
        <v>0</v>
      </c>
      <c r="M43" s="26">
        <v>0</v>
      </c>
      <c r="N43" s="26">
        <v>0</v>
      </c>
      <c r="O43" s="26">
        <f>1+1</f>
        <v>2</v>
      </c>
      <c r="P43" s="26">
        <v>0</v>
      </c>
      <c r="Q43" s="26">
        <v>0</v>
      </c>
      <c r="R43" s="26">
        <v>1</v>
      </c>
      <c r="S43" s="26">
        <v>0</v>
      </c>
      <c r="T43" s="26">
        <v>0</v>
      </c>
      <c r="U43" s="26">
        <v>0</v>
      </c>
      <c r="V43" s="26">
        <v>0</v>
      </c>
      <c r="W43" s="26">
        <v>0</v>
      </c>
      <c r="X43" s="26">
        <v>0</v>
      </c>
      <c r="Y43" s="26">
        <v>0</v>
      </c>
      <c r="Z43" s="26">
        <v>0</v>
      </c>
      <c r="AA43" s="26">
        <v>0</v>
      </c>
      <c r="AB43" s="26">
        <v>0</v>
      </c>
      <c r="AC43" s="26">
        <v>0</v>
      </c>
      <c r="AD43" s="26">
        <v>0</v>
      </c>
      <c r="AE43" s="26">
        <v>0</v>
      </c>
      <c r="AF43" s="26">
        <v>0</v>
      </c>
      <c r="AG43" s="26">
        <f>2+1</f>
        <v>3</v>
      </c>
      <c r="AH43" s="26">
        <v>0</v>
      </c>
      <c r="AI43" s="26">
        <v>0</v>
      </c>
      <c r="AJ43" s="26">
        <v>0</v>
      </c>
      <c r="AK43" s="125"/>
      <c r="AL43" s="4"/>
      <c r="AM43" s="47" t="s">
        <v>76</v>
      </c>
      <c r="AN43" s="235"/>
      <c r="AO43" s="16">
        <v>0</v>
      </c>
      <c r="AP43" s="16">
        <v>0</v>
      </c>
      <c r="AQ43" s="16">
        <v>1</v>
      </c>
      <c r="AR43" s="16">
        <v>0</v>
      </c>
      <c r="AS43" s="16">
        <v>0</v>
      </c>
      <c r="AT43" s="16">
        <v>0</v>
      </c>
      <c r="AU43" s="16">
        <v>0</v>
      </c>
      <c r="AV43" s="16">
        <v>0</v>
      </c>
      <c r="AW43" s="16">
        <v>1</v>
      </c>
      <c r="AX43" s="16">
        <v>0</v>
      </c>
      <c r="AY43" s="16">
        <v>2</v>
      </c>
      <c r="AZ43" s="16">
        <v>0</v>
      </c>
      <c r="BA43" s="16">
        <v>0</v>
      </c>
      <c r="BB43" s="16">
        <v>0</v>
      </c>
      <c r="BC43" s="16">
        <v>0</v>
      </c>
      <c r="BD43" s="16">
        <v>0</v>
      </c>
      <c r="BE43" s="16">
        <v>0</v>
      </c>
      <c r="BF43" s="16">
        <v>0</v>
      </c>
      <c r="BG43" s="16">
        <v>0</v>
      </c>
      <c r="BH43" s="16">
        <v>2</v>
      </c>
      <c r="BI43" s="16">
        <v>0</v>
      </c>
      <c r="BJ43" s="16">
        <v>0</v>
      </c>
      <c r="BK43" s="16">
        <v>1</v>
      </c>
      <c r="BL43" s="16">
        <v>2</v>
      </c>
      <c r="BM43" s="16">
        <v>0</v>
      </c>
      <c r="BN43" s="16">
        <v>0</v>
      </c>
      <c r="BO43" s="16">
        <v>0</v>
      </c>
      <c r="BP43" s="16">
        <v>2</v>
      </c>
      <c r="BQ43" s="16">
        <v>0</v>
      </c>
      <c r="BR43" s="16">
        <v>0</v>
      </c>
      <c r="BS43" s="16">
        <v>0</v>
      </c>
    </row>
    <row r="44" spans="1:71" s="15" customFormat="1" ht="18.600000000000001" customHeight="1" x14ac:dyDescent="0.25">
      <c r="A44" s="125" t="s">
        <v>90</v>
      </c>
      <c r="B44" s="4"/>
      <c r="C44" s="47" t="s">
        <v>75</v>
      </c>
      <c r="D44" s="235"/>
      <c r="E44" s="16">
        <f t="shared" si="0"/>
        <v>6576</v>
      </c>
      <c r="F44" s="16">
        <v>6</v>
      </c>
      <c r="G44" s="16">
        <v>10</v>
      </c>
      <c r="H44" s="16">
        <v>0</v>
      </c>
      <c r="I44" s="16">
        <v>0</v>
      </c>
      <c r="J44" s="16">
        <f>3+3</f>
        <v>6</v>
      </c>
      <c r="K44" s="16">
        <f>7+4</f>
        <v>11</v>
      </c>
      <c r="L44" s="26">
        <v>2048</v>
      </c>
      <c r="M44" s="26">
        <f>481+245</f>
        <v>726</v>
      </c>
      <c r="N44" s="26">
        <f>79+56</f>
        <v>135</v>
      </c>
      <c r="O44" s="26">
        <v>574</v>
      </c>
      <c r="P44" s="26">
        <f>5+3</f>
        <v>8</v>
      </c>
      <c r="Q44" s="26">
        <v>0</v>
      </c>
      <c r="R44" s="26">
        <f>24+41</f>
        <v>65</v>
      </c>
      <c r="S44" s="26">
        <f>29+34</f>
        <v>63</v>
      </c>
      <c r="T44" s="26">
        <v>5</v>
      </c>
      <c r="U44" s="26">
        <f>24+48</f>
        <v>72</v>
      </c>
      <c r="V44" s="26">
        <f>21+32</f>
        <v>53</v>
      </c>
      <c r="W44" s="26">
        <v>9</v>
      </c>
      <c r="X44" s="26">
        <v>0</v>
      </c>
      <c r="Y44" s="26">
        <f>20+9</f>
        <v>29</v>
      </c>
      <c r="Z44" s="26">
        <f>132+24</f>
        <v>156</v>
      </c>
      <c r="AA44" s="26">
        <f>18+5</f>
        <v>23</v>
      </c>
      <c r="AB44" s="26">
        <f>17+22</f>
        <v>39</v>
      </c>
      <c r="AC44" s="26">
        <f>35+41</f>
        <v>76</v>
      </c>
      <c r="AD44" s="26">
        <f>197+285</f>
        <v>482</v>
      </c>
      <c r="AE44" s="26">
        <f>114+142</f>
        <v>256</v>
      </c>
      <c r="AF44" s="26">
        <v>0</v>
      </c>
      <c r="AG44" s="26">
        <v>312</v>
      </c>
      <c r="AH44" s="26">
        <v>1</v>
      </c>
      <c r="AI44" s="26">
        <v>0</v>
      </c>
      <c r="AJ44" s="26">
        <f>29+69</f>
        <v>98</v>
      </c>
      <c r="AK44" s="125" t="s">
        <v>90</v>
      </c>
      <c r="AL44" s="4"/>
      <c r="AM44" s="47" t="s">
        <v>75</v>
      </c>
      <c r="AN44" s="235"/>
      <c r="AO44" s="16">
        <f>1+2</f>
        <v>3</v>
      </c>
      <c r="AP44" s="16">
        <v>0</v>
      </c>
      <c r="AQ44" s="16">
        <f>62+7</f>
        <v>69</v>
      </c>
      <c r="AR44" s="16">
        <f>12+46</f>
        <v>58</v>
      </c>
      <c r="AS44" s="16">
        <v>0</v>
      </c>
      <c r="AT44" s="16">
        <v>1</v>
      </c>
      <c r="AU44" s="16">
        <v>0</v>
      </c>
      <c r="AV44" s="16">
        <f>69+44</f>
        <v>113</v>
      </c>
      <c r="AW44" s="16">
        <f>29+7</f>
        <v>36</v>
      </c>
      <c r="AX44" s="16">
        <f>1+1</f>
        <v>2</v>
      </c>
      <c r="AY44" s="16">
        <f>57+119</f>
        <v>176</v>
      </c>
      <c r="AZ44" s="16">
        <v>81</v>
      </c>
      <c r="BA44" s="16">
        <v>7</v>
      </c>
      <c r="BB44" s="16">
        <f>12+21</f>
        <v>33</v>
      </c>
      <c r="BC44" s="16">
        <f>2+2</f>
        <v>4</v>
      </c>
      <c r="BD44" s="16">
        <v>0</v>
      </c>
      <c r="BE44" s="16">
        <v>0</v>
      </c>
      <c r="BF44" s="16">
        <v>13</v>
      </c>
      <c r="BG44" s="16">
        <v>11</v>
      </c>
      <c r="BH44" s="16">
        <v>19</v>
      </c>
      <c r="BI44" s="16">
        <f>8+10</f>
        <v>18</v>
      </c>
      <c r="BJ44" s="16">
        <f>21+33</f>
        <v>54</v>
      </c>
      <c r="BK44" s="16">
        <f>18+53</f>
        <v>71</v>
      </c>
      <c r="BL44" s="16">
        <v>13</v>
      </c>
      <c r="BM44" s="16">
        <v>10</v>
      </c>
      <c r="BN44" s="16">
        <f>107+134</f>
        <v>241</v>
      </c>
      <c r="BO44" s="16">
        <f>26+12</f>
        <v>38</v>
      </c>
      <c r="BP44" s="16">
        <f>52+33</f>
        <v>85</v>
      </c>
      <c r="BQ44" s="16">
        <v>0</v>
      </c>
      <c r="BR44" s="16">
        <v>0</v>
      </c>
      <c r="BS44" s="16">
        <f>40+117</f>
        <v>157</v>
      </c>
    </row>
    <row r="45" spans="1:71" s="15" customFormat="1" ht="18.600000000000001" customHeight="1" x14ac:dyDescent="0.25">
      <c r="A45" s="125"/>
      <c r="B45" s="4"/>
      <c r="C45" s="47" t="s">
        <v>76</v>
      </c>
      <c r="D45" s="235"/>
      <c r="E45" s="16">
        <f t="shared" si="0"/>
        <v>27</v>
      </c>
      <c r="F45" s="26">
        <v>0</v>
      </c>
      <c r="G45" s="26">
        <v>0</v>
      </c>
      <c r="H45" s="26">
        <v>0</v>
      </c>
      <c r="I45" s="26">
        <v>0</v>
      </c>
      <c r="J45" s="26">
        <v>0</v>
      </c>
      <c r="K45" s="26">
        <v>0</v>
      </c>
      <c r="L45" s="26">
        <v>5</v>
      </c>
      <c r="M45" s="26">
        <v>0</v>
      </c>
      <c r="N45" s="26">
        <v>0</v>
      </c>
      <c r="O45" s="26">
        <v>0</v>
      </c>
      <c r="P45" s="26">
        <v>0</v>
      </c>
      <c r="Q45" s="26">
        <v>0</v>
      </c>
      <c r="R45" s="26">
        <v>0</v>
      </c>
      <c r="S45" s="26">
        <v>0</v>
      </c>
      <c r="T45" s="26">
        <v>0</v>
      </c>
      <c r="U45" s="26">
        <v>0</v>
      </c>
      <c r="V45" s="26">
        <v>0</v>
      </c>
      <c r="W45" s="26">
        <v>0</v>
      </c>
      <c r="X45" s="26">
        <v>0</v>
      </c>
      <c r="Y45" s="26">
        <v>0</v>
      </c>
      <c r="Z45" s="26">
        <v>0</v>
      </c>
      <c r="AA45" s="26">
        <v>0</v>
      </c>
      <c r="AB45" s="26">
        <v>3</v>
      </c>
      <c r="AC45" s="26">
        <v>0</v>
      </c>
      <c r="AD45" s="26">
        <v>0</v>
      </c>
      <c r="AE45" s="26">
        <v>0</v>
      </c>
      <c r="AF45" s="26">
        <v>0</v>
      </c>
      <c r="AG45" s="26">
        <f>9+3</f>
        <v>12</v>
      </c>
      <c r="AH45" s="26">
        <v>0</v>
      </c>
      <c r="AI45" s="26">
        <v>0</v>
      </c>
      <c r="AJ45" s="26">
        <v>0</v>
      </c>
      <c r="AK45" s="125"/>
      <c r="AL45" s="4"/>
      <c r="AM45" s="47" t="s">
        <v>76</v>
      </c>
      <c r="AN45" s="235"/>
      <c r="AO45" s="16">
        <v>0</v>
      </c>
      <c r="AP45" s="16">
        <v>0</v>
      </c>
      <c r="AQ45" s="16">
        <v>0</v>
      </c>
      <c r="AR45" s="16">
        <v>0</v>
      </c>
      <c r="AS45" s="16">
        <v>0</v>
      </c>
      <c r="AT45" s="16">
        <v>0</v>
      </c>
      <c r="AU45" s="16">
        <v>0</v>
      </c>
      <c r="AV45" s="16">
        <v>0</v>
      </c>
      <c r="AW45" s="16">
        <v>2</v>
      </c>
      <c r="AX45" s="16">
        <v>0</v>
      </c>
      <c r="AY45" s="16">
        <v>3</v>
      </c>
      <c r="AZ45" s="16">
        <v>1</v>
      </c>
      <c r="BA45" s="16">
        <v>0</v>
      </c>
      <c r="BB45" s="16">
        <v>0</v>
      </c>
      <c r="BC45" s="16">
        <v>0</v>
      </c>
      <c r="BD45" s="16">
        <v>0</v>
      </c>
      <c r="BE45" s="16">
        <v>0</v>
      </c>
      <c r="BF45" s="16">
        <v>0</v>
      </c>
      <c r="BG45" s="16">
        <v>0</v>
      </c>
      <c r="BH45" s="16">
        <v>1</v>
      </c>
      <c r="BI45" s="16">
        <v>0</v>
      </c>
      <c r="BJ45" s="16">
        <v>0</v>
      </c>
      <c r="BK45" s="16">
        <v>0</v>
      </c>
      <c r="BL45" s="16">
        <v>0</v>
      </c>
      <c r="BM45" s="16">
        <v>0</v>
      </c>
      <c r="BN45" s="16">
        <v>0</v>
      </c>
      <c r="BO45" s="16">
        <v>0</v>
      </c>
      <c r="BP45" s="16">
        <v>0</v>
      </c>
      <c r="BQ45" s="16">
        <v>0</v>
      </c>
      <c r="BR45" s="16">
        <v>0</v>
      </c>
      <c r="BS45" s="16">
        <v>0</v>
      </c>
    </row>
    <row r="46" spans="1:71" s="15" customFormat="1" ht="18.600000000000001" customHeight="1" x14ac:dyDescent="0.25">
      <c r="A46" s="125" t="s">
        <v>91</v>
      </c>
      <c r="B46" s="4"/>
      <c r="C46" s="47" t="s">
        <v>75</v>
      </c>
      <c r="D46" s="235"/>
      <c r="E46" s="16">
        <f t="shared" si="0"/>
        <v>1975</v>
      </c>
      <c r="F46" s="16">
        <v>2</v>
      </c>
      <c r="G46" s="16">
        <v>0</v>
      </c>
      <c r="H46" s="16">
        <v>4</v>
      </c>
      <c r="I46" s="16">
        <v>0</v>
      </c>
      <c r="J46" s="16">
        <v>2</v>
      </c>
      <c r="K46" s="16">
        <f>1+3</f>
        <v>4</v>
      </c>
      <c r="L46" s="26">
        <v>115</v>
      </c>
      <c r="M46" s="26">
        <f>61+62</f>
        <v>123</v>
      </c>
      <c r="N46" s="26">
        <f>9+16</f>
        <v>25</v>
      </c>
      <c r="O46" s="26">
        <v>68</v>
      </c>
      <c r="P46" s="26">
        <f>1+6</f>
        <v>7</v>
      </c>
      <c r="Q46" s="26">
        <v>0</v>
      </c>
      <c r="R46" s="26">
        <v>38</v>
      </c>
      <c r="S46" s="26">
        <f>10+12</f>
        <v>22</v>
      </c>
      <c r="T46" s="26">
        <v>7</v>
      </c>
      <c r="U46" s="26">
        <v>13</v>
      </c>
      <c r="V46" s="26">
        <v>26</v>
      </c>
      <c r="W46" s="26">
        <v>0</v>
      </c>
      <c r="X46" s="26">
        <v>0</v>
      </c>
      <c r="Y46" s="26">
        <v>9</v>
      </c>
      <c r="Z46" s="26">
        <v>179</v>
      </c>
      <c r="AA46" s="26">
        <f>8+3</f>
        <v>11</v>
      </c>
      <c r="AB46" s="26">
        <v>20</v>
      </c>
      <c r="AC46" s="26">
        <v>11</v>
      </c>
      <c r="AD46" s="26">
        <v>257</v>
      </c>
      <c r="AE46" s="26">
        <f>46+103</f>
        <v>149</v>
      </c>
      <c r="AF46" s="26">
        <v>0</v>
      </c>
      <c r="AG46" s="26">
        <v>139</v>
      </c>
      <c r="AH46" s="26">
        <v>0</v>
      </c>
      <c r="AI46" s="26">
        <v>0</v>
      </c>
      <c r="AJ46" s="26">
        <v>5</v>
      </c>
      <c r="AK46" s="125" t="s">
        <v>91</v>
      </c>
      <c r="AL46" s="4"/>
      <c r="AM46" s="47" t="s">
        <v>75</v>
      </c>
      <c r="AN46" s="235"/>
      <c r="AO46" s="16">
        <v>5</v>
      </c>
      <c r="AP46" s="16">
        <v>0</v>
      </c>
      <c r="AQ46" s="16">
        <f>19+1</f>
        <v>20</v>
      </c>
      <c r="AR46" s="16">
        <v>1</v>
      </c>
      <c r="AS46" s="16">
        <v>0</v>
      </c>
      <c r="AT46" s="16">
        <v>0</v>
      </c>
      <c r="AU46" s="16">
        <v>0</v>
      </c>
      <c r="AV46" s="16">
        <v>5</v>
      </c>
      <c r="AW46" s="16">
        <f>8+68</f>
        <v>76</v>
      </c>
      <c r="AX46" s="16">
        <f>2+1</f>
        <v>3</v>
      </c>
      <c r="AY46" s="16">
        <f>52+16</f>
        <v>68</v>
      </c>
      <c r="AZ46" s="16">
        <f>10+59</f>
        <v>69</v>
      </c>
      <c r="BA46" s="16">
        <v>0</v>
      </c>
      <c r="BB46" s="16">
        <v>2</v>
      </c>
      <c r="BC46" s="16">
        <f>1+2</f>
        <v>3</v>
      </c>
      <c r="BD46" s="16">
        <v>1</v>
      </c>
      <c r="BE46" s="16">
        <v>0</v>
      </c>
      <c r="BF46" s="16">
        <v>10</v>
      </c>
      <c r="BG46" s="16">
        <v>0</v>
      </c>
      <c r="BH46" s="16">
        <f>7+1</f>
        <v>8</v>
      </c>
      <c r="BI46" s="16">
        <v>1</v>
      </c>
      <c r="BJ46" s="16">
        <f>7+20</f>
        <v>27</v>
      </c>
      <c r="BK46" s="16">
        <f>7+10</f>
        <v>17</v>
      </c>
      <c r="BL46" s="16">
        <f>1+3</f>
        <v>4</v>
      </c>
      <c r="BM46" s="16">
        <v>0</v>
      </c>
      <c r="BN46" s="16">
        <f>117+119</f>
        <v>236</v>
      </c>
      <c r="BO46" s="16">
        <f>35+5</f>
        <v>40</v>
      </c>
      <c r="BP46" s="16">
        <f>32+111</f>
        <v>143</v>
      </c>
      <c r="BQ46" s="16">
        <v>0</v>
      </c>
      <c r="BR46" s="16">
        <v>0</v>
      </c>
      <c r="BS46" s="16">
        <v>0</v>
      </c>
    </row>
    <row r="47" spans="1:71" s="15" customFormat="1" ht="18.600000000000001" customHeight="1" x14ac:dyDescent="0.25">
      <c r="A47" s="125"/>
      <c r="B47" s="4"/>
      <c r="C47" s="47" t="s">
        <v>76</v>
      </c>
      <c r="D47" s="235"/>
      <c r="E47" s="16">
        <f t="shared" si="0"/>
        <v>39</v>
      </c>
      <c r="F47" s="26">
        <v>0</v>
      </c>
      <c r="G47" s="26">
        <v>0</v>
      </c>
      <c r="H47" s="26">
        <v>0</v>
      </c>
      <c r="I47" s="26">
        <v>0</v>
      </c>
      <c r="J47" s="26">
        <v>0</v>
      </c>
      <c r="K47" s="26">
        <v>0</v>
      </c>
      <c r="L47" s="26">
        <v>1</v>
      </c>
      <c r="M47" s="26">
        <v>1</v>
      </c>
      <c r="N47" s="26">
        <v>0</v>
      </c>
      <c r="O47" s="26">
        <v>0</v>
      </c>
      <c r="P47" s="26">
        <v>0</v>
      </c>
      <c r="Q47" s="26">
        <v>0</v>
      </c>
      <c r="R47" s="26">
        <v>3</v>
      </c>
      <c r="S47" s="26">
        <v>0</v>
      </c>
      <c r="T47" s="26">
        <v>0</v>
      </c>
      <c r="U47" s="26">
        <v>0</v>
      </c>
      <c r="V47" s="26">
        <v>0</v>
      </c>
      <c r="W47" s="26">
        <v>0</v>
      </c>
      <c r="X47" s="26">
        <v>0</v>
      </c>
      <c r="Y47" s="26">
        <v>0</v>
      </c>
      <c r="Z47" s="26">
        <v>0</v>
      </c>
      <c r="AA47" s="26">
        <v>0</v>
      </c>
      <c r="AB47" s="26">
        <v>0</v>
      </c>
      <c r="AC47" s="26">
        <v>0</v>
      </c>
      <c r="AD47" s="26">
        <v>0</v>
      </c>
      <c r="AE47" s="26">
        <v>0</v>
      </c>
      <c r="AF47" s="26">
        <v>0</v>
      </c>
      <c r="AG47" s="26">
        <f>9+3</f>
        <v>12</v>
      </c>
      <c r="AH47" s="26">
        <v>0</v>
      </c>
      <c r="AI47" s="26">
        <v>0</v>
      </c>
      <c r="AJ47" s="26">
        <v>0</v>
      </c>
      <c r="AK47" s="125"/>
      <c r="AL47" s="4"/>
      <c r="AM47" s="47" t="s">
        <v>76</v>
      </c>
      <c r="AN47" s="235"/>
      <c r="AO47" s="16">
        <v>0</v>
      </c>
      <c r="AP47" s="16">
        <v>0</v>
      </c>
      <c r="AQ47" s="16">
        <v>1</v>
      </c>
      <c r="AR47" s="16">
        <v>0</v>
      </c>
      <c r="AS47" s="16">
        <v>0</v>
      </c>
      <c r="AT47" s="16">
        <v>0</v>
      </c>
      <c r="AU47" s="16">
        <v>0</v>
      </c>
      <c r="AV47" s="16">
        <v>0</v>
      </c>
      <c r="AW47" s="16">
        <v>10</v>
      </c>
      <c r="AX47" s="16">
        <v>0</v>
      </c>
      <c r="AY47" s="16">
        <f>9+1</f>
        <v>10</v>
      </c>
      <c r="AZ47" s="16">
        <v>1</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row>
    <row r="48" spans="1:71" s="15" customFormat="1" ht="18.600000000000001" customHeight="1" x14ac:dyDescent="0.25">
      <c r="A48" s="125" t="s">
        <v>92</v>
      </c>
      <c r="B48" s="4"/>
      <c r="C48" s="47" t="s">
        <v>75</v>
      </c>
      <c r="D48" s="235"/>
      <c r="E48" s="16">
        <f t="shared" si="0"/>
        <v>4658</v>
      </c>
      <c r="F48" s="16">
        <v>4</v>
      </c>
      <c r="G48" s="16">
        <v>0</v>
      </c>
      <c r="H48" s="16">
        <v>1</v>
      </c>
      <c r="I48" s="16">
        <v>0</v>
      </c>
      <c r="J48" s="16">
        <v>0</v>
      </c>
      <c r="K48" s="16">
        <f>1+1</f>
        <v>2</v>
      </c>
      <c r="L48" s="26">
        <f>457+489</f>
        <v>946</v>
      </c>
      <c r="M48" s="26">
        <f>364+189</f>
        <v>553</v>
      </c>
      <c r="N48" s="26">
        <v>11</v>
      </c>
      <c r="O48" s="26">
        <f>6+277</f>
        <v>283</v>
      </c>
      <c r="P48" s="26">
        <f>5+14</f>
        <v>19</v>
      </c>
      <c r="Q48" s="26">
        <v>0</v>
      </c>
      <c r="R48" s="26">
        <f>18+33</f>
        <v>51</v>
      </c>
      <c r="S48" s="26">
        <f>29+22</f>
        <v>51</v>
      </c>
      <c r="T48" s="26">
        <v>6</v>
      </c>
      <c r="U48" s="26">
        <f>6+9</f>
        <v>15</v>
      </c>
      <c r="V48" s="26">
        <f>25+28</f>
        <v>53</v>
      </c>
      <c r="W48" s="26">
        <f>5+4</f>
        <v>9</v>
      </c>
      <c r="X48" s="26">
        <v>3</v>
      </c>
      <c r="Y48" s="26">
        <f>17+13</f>
        <v>30</v>
      </c>
      <c r="Z48" s="26">
        <f>131+20</f>
        <v>151</v>
      </c>
      <c r="AA48" s="26">
        <f>19+10</f>
        <v>29</v>
      </c>
      <c r="AB48" s="26">
        <f>9+9</f>
        <v>18</v>
      </c>
      <c r="AC48" s="26">
        <f>6+19</f>
        <v>25</v>
      </c>
      <c r="AD48" s="26">
        <f>203+188</f>
        <v>391</v>
      </c>
      <c r="AE48" s="26">
        <f>191+50</f>
        <v>241</v>
      </c>
      <c r="AF48" s="26">
        <v>0</v>
      </c>
      <c r="AG48" s="26">
        <f>118+134</f>
        <v>252</v>
      </c>
      <c r="AH48" s="26">
        <f>3+2</f>
        <v>5</v>
      </c>
      <c r="AI48" s="26">
        <v>0</v>
      </c>
      <c r="AJ48" s="26">
        <f>16+18</f>
        <v>34</v>
      </c>
      <c r="AK48" s="125" t="s">
        <v>92</v>
      </c>
      <c r="AL48" s="4"/>
      <c r="AM48" s="47" t="s">
        <v>75</v>
      </c>
      <c r="AN48" s="235"/>
      <c r="AO48" s="16">
        <v>3</v>
      </c>
      <c r="AP48" s="16">
        <v>0</v>
      </c>
      <c r="AQ48" s="16">
        <f>57+25</f>
        <v>82</v>
      </c>
      <c r="AR48" s="16">
        <f>12+26</f>
        <v>38</v>
      </c>
      <c r="AS48" s="16">
        <v>0</v>
      </c>
      <c r="AT48" s="16">
        <v>1</v>
      </c>
      <c r="AU48" s="16">
        <v>0</v>
      </c>
      <c r="AV48" s="16">
        <f>34+21</f>
        <v>55</v>
      </c>
      <c r="AW48" s="16">
        <f>27+21</f>
        <v>48</v>
      </c>
      <c r="AX48" s="16">
        <v>2</v>
      </c>
      <c r="AY48" s="16">
        <f>67+79</f>
        <v>146</v>
      </c>
      <c r="AZ48" s="16">
        <f>14+17</f>
        <v>31</v>
      </c>
      <c r="BA48" s="16">
        <v>1</v>
      </c>
      <c r="BB48" s="16">
        <f>18+7</f>
        <v>25</v>
      </c>
      <c r="BC48" s="16">
        <f>10+5</f>
        <v>15</v>
      </c>
      <c r="BD48" s="16">
        <v>0</v>
      </c>
      <c r="BE48" s="16">
        <v>0</v>
      </c>
      <c r="BF48" s="16">
        <v>13</v>
      </c>
      <c r="BG48" s="16">
        <v>12</v>
      </c>
      <c r="BH48" s="16">
        <v>16</v>
      </c>
      <c r="BI48" s="16">
        <f>5+7</f>
        <v>12</v>
      </c>
      <c r="BJ48" s="16">
        <f>26+37</f>
        <v>63</v>
      </c>
      <c r="BK48" s="16">
        <f>25+16</f>
        <v>41</v>
      </c>
      <c r="BL48" s="16">
        <v>13</v>
      </c>
      <c r="BM48" s="16">
        <v>0</v>
      </c>
      <c r="BN48" s="16">
        <f>317+257</f>
        <v>574</v>
      </c>
      <c r="BO48" s="16">
        <f>75+58</f>
        <v>133</v>
      </c>
      <c r="BP48" s="16">
        <f>21+25</f>
        <v>46</v>
      </c>
      <c r="BQ48" s="16">
        <v>0</v>
      </c>
      <c r="BR48" s="16">
        <v>0</v>
      </c>
      <c r="BS48" s="16">
        <f>104+1</f>
        <v>105</v>
      </c>
    </row>
    <row r="49" spans="1:195" s="15" customFormat="1" ht="18.600000000000001" customHeight="1" x14ac:dyDescent="0.25">
      <c r="A49" s="125"/>
      <c r="B49" s="4"/>
      <c r="C49" s="47" t="s">
        <v>76</v>
      </c>
      <c r="D49" s="235"/>
      <c r="E49" s="16">
        <f t="shared" si="0"/>
        <v>61</v>
      </c>
      <c r="F49" s="26">
        <v>0</v>
      </c>
      <c r="G49" s="26">
        <v>0</v>
      </c>
      <c r="H49" s="26">
        <v>0</v>
      </c>
      <c r="I49" s="26">
        <v>0</v>
      </c>
      <c r="J49" s="26">
        <v>0</v>
      </c>
      <c r="K49" s="26">
        <v>0</v>
      </c>
      <c r="L49" s="26">
        <v>0</v>
      </c>
      <c r="M49" s="26">
        <v>1</v>
      </c>
      <c r="N49" s="26">
        <v>0</v>
      </c>
      <c r="O49" s="26">
        <v>0</v>
      </c>
      <c r="P49" s="26">
        <v>2</v>
      </c>
      <c r="Q49" s="26">
        <v>0</v>
      </c>
      <c r="R49" s="26">
        <v>1</v>
      </c>
      <c r="S49" s="26">
        <v>0</v>
      </c>
      <c r="T49" s="26">
        <v>0</v>
      </c>
      <c r="U49" s="26">
        <v>1</v>
      </c>
      <c r="V49" s="26">
        <v>0</v>
      </c>
      <c r="W49" s="26">
        <v>0</v>
      </c>
      <c r="X49" s="26">
        <v>1</v>
      </c>
      <c r="Y49" s="26">
        <v>0</v>
      </c>
      <c r="Z49" s="26">
        <v>0</v>
      </c>
      <c r="AA49" s="26">
        <v>0</v>
      </c>
      <c r="AB49" s="26">
        <v>0</v>
      </c>
      <c r="AC49" s="26">
        <v>0</v>
      </c>
      <c r="AD49" s="26">
        <f>2+9</f>
        <v>11</v>
      </c>
      <c r="AE49" s="26">
        <v>2</v>
      </c>
      <c r="AF49" s="26">
        <v>0</v>
      </c>
      <c r="AG49" s="26">
        <f>8+4</f>
        <v>12</v>
      </c>
      <c r="AH49" s="26">
        <v>0</v>
      </c>
      <c r="AI49" s="26">
        <v>0</v>
      </c>
      <c r="AJ49" s="26">
        <v>0</v>
      </c>
      <c r="AK49" s="125"/>
      <c r="AL49" s="4"/>
      <c r="AM49" s="47" t="s">
        <v>76</v>
      </c>
      <c r="AN49" s="235"/>
      <c r="AO49" s="16">
        <v>0</v>
      </c>
      <c r="AP49" s="16">
        <v>0</v>
      </c>
      <c r="AQ49" s="16">
        <v>0</v>
      </c>
      <c r="AR49" s="16">
        <v>0</v>
      </c>
      <c r="AS49" s="16">
        <v>0</v>
      </c>
      <c r="AT49" s="16">
        <v>0</v>
      </c>
      <c r="AU49" s="16">
        <v>0</v>
      </c>
      <c r="AV49" s="16">
        <f>1+1</f>
        <v>2</v>
      </c>
      <c r="AW49" s="16">
        <f>3+3</f>
        <v>6</v>
      </c>
      <c r="AX49" s="16">
        <v>0</v>
      </c>
      <c r="AY49" s="16">
        <f>9+11</f>
        <v>20</v>
      </c>
      <c r="AZ49" s="16">
        <v>0</v>
      </c>
      <c r="BA49" s="16">
        <v>0</v>
      </c>
      <c r="BB49" s="16">
        <v>0</v>
      </c>
      <c r="BC49" s="16">
        <v>0</v>
      </c>
      <c r="BD49" s="16">
        <v>0</v>
      </c>
      <c r="BE49" s="16">
        <v>0</v>
      </c>
      <c r="BF49" s="16">
        <v>1</v>
      </c>
      <c r="BG49" s="16">
        <v>0</v>
      </c>
      <c r="BH49" s="16">
        <v>0</v>
      </c>
      <c r="BI49" s="16">
        <v>0</v>
      </c>
      <c r="BJ49" s="16">
        <v>1</v>
      </c>
      <c r="BK49" s="16">
        <v>0</v>
      </c>
      <c r="BL49" s="16">
        <v>0</v>
      </c>
      <c r="BM49" s="16">
        <v>0</v>
      </c>
      <c r="BN49" s="16">
        <v>0</v>
      </c>
      <c r="BO49" s="16">
        <v>0</v>
      </c>
      <c r="BP49" s="16">
        <v>0</v>
      </c>
      <c r="BQ49" s="16">
        <v>0</v>
      </c>
      <c r="BR49" s="16">
        <v>0</v>
      </c>
      <c r="BS49" s="16">
        <v>0</v>
      </c>
    </row>
    <row r="50" spans="1:195" s="15" customFormat="1" ht="18.600000000000001" customHeight="1" x14ac:dyDescent="0.25">
      <c r="A50" s="125" t="s">
        <v>93</v>
      </c>
      <c r="B50" s="5"/>
      <c r="C50" s="47" t="s">
        <v>75</v>
      </c>
      <c r="D50" s="235"/>
      <c r="E50" s="16">
        <f t="shared" si="0"/>
        <v>4340</v>
      </c>
      <c r="F50" s="16">
        <f>3+3</f>
        <v>6</v>
      </c>
      <c r="G50" s="16">
        <v>0</v>
      </c>
      <c r="H50" s="16">
        <v>0</v>
      </c>
      <c r="I50" s="16">
        <v>0</v>
      </c>
      <c r="J50" s="16">
        <v>0</v>
      </c>
      <c r="K50" s="16">
        <v>2</v>
      </c>
      <c r="L50" s="26">
        <v>819</v>
      </c>
      <c r="M50" s="26">
        <v>280</v>
      </c>
      <c r="N50" s="26">
        <v>13</v>
      </c>
      <c r="O50" s="26">
        <v>294</v>
      </c>
      <c r="P50" s="26">
        <f>13+5</f>
        <v>18</v>
      </c>
      <c r="Q50" s="26">
        <v>0</v>
      </c>
      <c r="R50" s="26">
        <f>30+43</f>
        <v>73</v>
      </c>
      <c r="S50" s="26">
        <v>60</v>
      </c>
      <c r="T50" s="26">
        <f>8+3</f>
        <v>11</v>
      </c>
      <c r="U50" s="26">
        <f>13+19</f>
        <v>32</v>
      </c>
      <c r="V50" s="26">
        <f>20+37</f>
        <v>57</v>
      </c>
      <c r="W50" s="26">
        <v>6</v>
      </c>
      <c r="X50" s="26">
        <f>1+29</f>
        <v>30</v>
      </c>
      <c r="Y50" s="26">
        <f>2+14</f>
        <v>16</v>
      </c>
      <c r="Z50" s="26">
        <v>73</v>
      </c>
      <c r="AA50" s="26">
        <f>5+11</f>
        <v>16</v>
      </c>
      <c r="AB50" s="26">
        <v>16</v>
      </c>
      <c r="AC50" s="26">
        <f>6+7</f>
        <v>13</v>
      </c>
      <c r="AD50" s="26">
        <v>221</v>
      </c>
      <c r="AE50" s="26">
        <f>69+70</f>
        <v>139</v>
      </c>
      <c r="AF50" s="26">
        <v>0</v>
      </c>
      <c r="AG50" s="26">
        <v>315</v>
      </c>
      <c r="AH50" s="26">
        <f>4+1</f>
        <v>5</v>
      </c>
      <c r="AI50" s="26">
        <v>2</v>
      </c>
      <c r="AJ50" s="26">
        <v>19</v>
      </c>
      <c r="AK50" s="125" t="s">
        <v>93</v>
      </c>
      <c r="AL50" s="5"/>
      <c r="AM50" s="47" t="s">
        <v>75</v>
      </c>
      <c r="AN50" s="235"/>
      <c r="AO50" s="16">
        <v>5</v>
      </c>
      <c r="AP50" s="16">
        <v>0</v>
      </c>
      <c r="AQ50" s="16">
        <v>79</v>
      </c>
      <c r="AR50" s="16">
        <f>1+6</f>
        <v>7</v>
      </c>
      <c r="AS50" s="16">
        <f>2+2</f>
        <v>4</v>
      </c>
      <c r="AT50" s="16">
        <v>0</v>
      </c>
      <c r="AU50" s="16">
        <v>2</v>
      </c>
      <c r="AV50" s="16">
        <f>19+27</f>
        <v>46</v>
      </c>
      <c r="AW50" s="16">
        <v>48</v>
      </c>
      <c r="AX50" s="16">
        <f>3+4</f>
        <v>7</v>
      </c>
      <c r="AY50" s="16">
        <f>34+58</f>
        <v>92</v>
      </c>
      <c r="AZ50" s="16">
        <f>74+76</f>
        <v>150</v>
      </c>
      <c r="BA50" s="16">
        <f>1+5</f>
        <v>6</v>
      </c>
      <c r="BB50" s="16">
        <f>8+9</f>
        <v>17</v>
      </c>
      <c r="BC50" s="16">
        <f>2+1</f>
        <v>3</v>
      </c>
      <c r="BD50" s="16">
        <f>6+7</f>
        <v>13</v>
      </c>
      <c r="BE50" s="16">
        <f>17+17</f>
        <v>34</v>
      </c>
      <c r="BF50" s="16">
        <v>20</v>
      </c>
      <c r="BG50" s="16">
        <v>6</v>
      </c>
      <c r="BH50" s="16">
        <v>17</v>
      </c>
      <c r="BI50" s="16">
        <f>3+13</f>
        <v>16</v>
      </c>
      <c r="BJ50" s="16">
        <f>24+45</f>
        <v>69</v>
      </c>
      <c r="BK50" s="16">
        <f>31+39</f>
        <v>70</v>
      </c>
      <c r="BL50" s="16">
        <v>14</v>
      </c>
      <c r="BM50" s="16">
        <v>0</v>
      </c>
      <c r="BN50" s="16">
        <v>792</v>
      </c>
      <c r="BO50" s="16">
        <f>55+51</f>
        <v>106</v>
      </c>
      <c r="BP50" s="16">
        <f>35+29</f>
        <v>64</v>
      </c>
      <c r="BQ50" s="16">
        <v>0</v>
      </c>
      <c r="BR50" s="16">
        <v>0</v>
      </c>
      <c r="BS50" s="16">
        <v>117</v>
      </c>
    </row>
    <row r="51" spans="1:195" s="15" customFormat="1" ht="18.600000000000001" customHeight="1" x14ac:dyDescent="0.25">
      <c r="A51" s="125"/>
      <c r="B51" s="5"/>
      <c r="C51" s="47" t="s">
        <v>76</v>
      </c>
      <c r="D51" s="235"/>
      <c r="E51" s="16">
        <f t="shared" si="0"/>
        <v>17</v>
      </c>
      <c r="F51" s="26">
        <v>0</v>
      </c>
      <c r="G51" s="26">
        <v>0</v>
      </c>
      <c r="H51" s="26">
        <v>0</v>
      </c>
      <c r="I51" s="26">
        <v>0</v>
      </c>
      <c r="J51" s="26">
        <v>0</v>
      </c>
      <c r="K51" s="26">
        <v>0</v>
      </c>
      <c r="L51" s="26">
        <v>0</v>
      </c>
      <c r="M51" s="26">
        <v>0</v>
      </c>
      <c r="N51" s="26">
        <v>0</v>
      </c>
      <c r="O51" s="26">
        <v>0</v>
      </c>
      <c r="P51" s="26">
        <v>0</v>
      </c>
      <c r="Q51" s="26">
        <v>0</v>
      </c>
      <c r="R51" s="26">
        <v>0</v>
      </c>
      <c r="S51" s="26">
        <f>1+1</f>
        <v>2</v>
      </c>
      <c r="T51" s="26">
        <v>0</v>
      </c>
      <c r="U51" s="26">
        <v>0</v>
      </c>
      <c r="V51" s="26">
        <v>0</v>
      </c>
      <c r="W51" s="26">
        <v>0</v>
      </c>
      <c r="X51" s="26">
        <v>0</v>
      </c>
      <c r="Y51" s="26">
        <v>0</v>
      </c>
      <c r="Z51" s="26">
        <v>0</v>
      </c>
      <c r="AA51" s="26">
        <v>0</v>
      </c>
      <c r="AB51" s="26">
        <v>2</v>
      </c>
      <c r="AC51" s="26">
        <v>0</v>
      </c>
      <c r="AD51" s="26">
        <v>0</v>
      </c>
      <c r="AE51" s="26">
        <v>0</v>
      </c>
      <c r="AF51" s="26">
        <v>0</v>
      </c>
      <c r="AG51" s="26">
        <f>5+2</f>
        <v>7</v>
      </c>
      <c r="AH51" s="26">
        <v>0</v>
      </c>
      <c r="AI51" s="26">
        <v>0</v>
      </c>
      <c r="AJ51" s="26">
        <v>0</v>
      </c>
      <c r="AK51" s="125"/>
      <c r="AL51" s="5"/>
      <c r="AM51" s="47" t="s">
        <v>76</v>
      </c>
      <c r="AN51" s="235"/>
      <c r="AO51" s="16">
        <v>0</v>
      </c>
      <c r="AP51" s="16">
        <v>0</v>
      </c>
      <c r="AQ51" s="16">
        <v>2</v>
      </c>
      <c r="AR51" s="16">
        <v>0</v>
      </c>
      <c r="AS51" s="16">
        <v>0</v>
      </c>
      <c r="AT51" s="16">
        <v>0</v>
      </c>
      <c r="AU51" s="16">
        <v>0</v>
      </c>
      <c r="AV51" s="16">
        <v>0</v>
      </c>
      <c r="AW51" s="16">
        <v>0</v>
      </c>
      <c r="AX51" s="16">
        <v>0</v>
      </c>
      <c r="AY51" s="16">
        <v>1</v>
      </c>
      <c r="AZ51" s="16">
        <v>0</v>
      </c>
      <c r="BA51" s="16">
        <v>0</v>
      </c>
      <c r="BB51" s="16">
        <v>1</v>
      </c>
      <c r="BC51" s="16">
        <v>0</v>
      </c>
      <c r="BD51" s="16">
        <v>0</v>
      </c>
      <c r="BE51" s="16">
        <v>0</v>
      </c>
      <c r="BF51" s="16">
        <v>2</v>
      </c>
      <c r="BG51" s="16">
        <v>0</v>
      </c>
      <c r="BH51" s="16">
        <v>0</v>
      </c>
      <c r="BI51" s="16">
        <v>0</v>
      </c>
      <c r="BJ51" s="16">
        <v>0</v>
      </c>
      <c r="BK51" s="16">
        <v>0</v>
      </c>
      <c r="BL51" s="16">
        <v>0</v>
      </c>
      <c r="BM51" s="16">
        <v>0</v>
      </c>
      <c r="BN51" s="16">
        <v>0</v>
      </c>
      <c r="BO51" s="16">
        <v>0</v>
      </c>
      <c r="BP51" s="16">
        <v>0</v>
      </c>
      <c r="BQ51" s="16">
        <v>0</v>
      </c>
      <c r="BR51" s="16">
        <v>0</v>
      </c>
      <c r="BS51" s="16">
        <v>0</v>
      </c>
    </row>
    <row r="52" spans="1:195" s="15" customFormat="1" ht="18.600000000000001" customHeight="1" x14ac:dyDescent="0.25">
      <c r="A52" s="125" t="s">
        <v>94</v>
      </c>
      <c r="B52" s="4"/>
      <c r="C52" s="47" t="s">
        <v>75</v>
      </c>
      <c r="D52" s="235"/>
      <c r="E52" s="16">
        <f t="shared" si="0"/>
        <v>5874</v>
      </c>
      <c r="F52" s="16">
        <v>1</v>
      </c>
      <c r="G52" s="16">
        <v>0</v>
      </c>
      <c r="H52" s="16">
        <v>3</v>
      </c>
      <c r="I52" s="16">
        <v>0</v>
      </c>
      <c r="J52" s="16">
        <f>10+10</f>
        <v>20</v>
      </c>
      <c r="K52" s="16">
        <f>1+7</f>
        <v>8</v>
      </c>
      <c r="L52" s="26">
        <v>1133</v>
      </c>
      <c r="M52" s="26">
        <v>1577</v>
      </c>
      <c r="N52" s="26">
        <f>13+8</f>
        <v>21</v>
      </c>
      <c r="O52" s="26">
        <f>2+273</f>
        <v>275</v>
      </c>
      <c r="P52" s="26">
        <f>5+26</f>
        <v>31</v>
      </c>
      <c r="Q52" s="26">
        <v>0</v>
      </c>
      <c r="R52" s="26">
        <f>16+40</f>
        <v>56</v>
      </c>
      <c r="S52" s="26">
        <v>98</v>
      </c>
      <c r="T52" s="26">
        <v>1</v>
      </c>
      <c r="U52" s="26">
        <f>8+6</f>
        <v>14</v>
      </c>
      <c r="V52" s="26">
        <f>24+107</f>
        <v>131</v>
      </c>
      <c r="W52" s="26">
        <f>1+1</f>
        <v>2</v>
      </c>
      <c r="X52" s="26">
        <v>0</v>
      </c>
      <c r="Y52" s="26">
        <f>8+5</f>
        <v>13</v>
      </c>
      <c r="Z52" s="26">
        <f>61+30</f>
        <v>91</v>
      </c>
      <c r="AA52" s="26">
        <f>7+36</f>
        <v>43</v>
      </c>
      <c r="AB52" s="26">
        <f>12+18</f>
        <v>30</v>
      </c>
      <c r="AC52" s="26">
        <f>101+92</f>
        <v>193</v>
      </c>
      <c r="AD52" s="26">
        <f>241+194</f>
        <v>435</v>
      </c>
      <c r="AE52" s="26">
        <f>137+164</f>
        <v>301</v>
      </c>
      <c r="AF52" s="26">
        <v>0</v>
      </c>
      <c r="AG52" s="26">
        <v>258</v>
      </c>
      <c r="AH52" s="26">
        <v>3</v>
      </c>
      <c r="AI52" s="26">
        <v>0</v>
      </c>
      <c r="AJ52" s="26">
        <f>5+12</f>
        <v>17</v>
      </c>
      <c r="AK52" s="125" t="s">
        <v>94</v>
      </c>
      <c r="AL52" s="4"/>
      <c r="AM52" s="47" t="s">
        <v>75</v>
      </c>
      <c r="AN52" s="235"/>
      <c r="AO52" s="16">
        <f>1+7</f>
        <v>8</v>
      </c>
      <c r="AP52" s="16">
        <v>0</v>
      </c>
      <c r="AQ52" s="16">
        <f>78+7</f>
        <v>85</v>
      </c>
      <c r="AR52" s="16">
        <f>6+40</f>
        <v>46</v>
      </c>
      <c r="AS52" s="16">
        <f>3+1</f>
        <v>4</v>
      </c>
      <c r="AT52" s="16">
        <v>2</v>
      </c>
      <c r="AU52" s="16">
        <v>0</v>
      </c>
      <c r="AV52" s="16">
        <f>1+10</f>
        <v>11</v>
      </c>
      <c r="AW52" s="16">
        <f>11+18</f>
        <v>29</v>
      </c>
      <c r="AX52" s="16">
        <f>2+5</f>
        <v>7</v>
      </c>
      <c r="AY52" s="16">
        <v>106</v>
      </c>
      <c r="AZ52" s="16">
        <f>54+23</f>
        <v>77</v>
      </c>
      <c r="BA52" s="16">
        <f>5+5</f>
        <v>10</v>
      </c>
      <c r="BB52" s="16">
        <f>2+8</f>
        <v>10</v>
      </c>
      <c r="BC52" s="16">
        <v>5</v>
      </c>
      <c r="BD52" s="16">
        <v>0</v>
      </c>
      <c r="BE52" s="16">
        <v>0</v>
      </c>
      <c r="BF52" s="16">
        <v>12</v>
      </c>
      <c r="BG52" s="16">
        <v>4</v>
      </c>
      <c r="BH52" s="16">
        <v>21</v>
      </c>
      <c r="BI52" s="16">
        <f>32+2</f>
        <v>34</v>
      </c>
      <c r="BJ52" s="16">
        <f>20+21</f>
        <v>41</v>
      </c>
      <c r="BK52" s="16">
        <f>9+6</f>
        <v>15</v>
      </c>
      <c r="BL52" s="16">
        <v>24</v>
      </c>
      <c r="BM52" s="16">
        <v>0</v>
      </c>
      <c r="BN52" s="16">
        <f>33+89</f>
        <v>122</v>
      </c>
      <c r="BO52" s="16">
        <f>51+70</f>
        <v>121</v>
      </c>
      <c r="BP52" s="16">
        <v>321</v>
      </c>
      <c r="BQ52" s="16">
        <v>0</v>
      </c>
      <c r="BR52" s="16">
        <v>0</v>
      </c>
      <c r="BS52" s="16">
        <v>4</v>
      </c>
    </row>
    <row r="53" spans="1:195" s="15" customFormat="1" ht="18.600000000000001" customHeight="1" x14ac:dyDescent="0.25">
      <c r="A53" s="125"/>
      <c r="B53" s="4"/>
      <c r="C53" s="47" t="s">
        <v>76</v>
      </c>
      <c r="D53" s="235"/>
      <c r="E53" s="16">
        <f t="shared" si="0"/>
        <v>32</v>
      </c>
      <c r="F53" s="26">
        <v>0</v>
      </c>
      <c r="G53" s="26">
        <v>0</v>
      </c>
      <c r="H53" s="26">
        <v>0</v>
      </c>
      <c r="I53" s="26">
        <v>0</v>
      </c>
      <c r="J53" s="26">
        <v>0</v>
      </c>
      <c r="K53" s="26">
        <v>0</v>
      </c>
      <c r="L53" s="26">
        <v>0</v>
      </c>
      <c r="M53" s="26">
        <v>0</v>
      </c>
      <c r="N53" s="26">
        <v>0</v>
      </c>
      <c r="O53" s="26">
        <v>0</v>
      </c>
      <c r="P53" s="26">
        <v>0</v>
      </c>
      <c r="Q53" s="26">
        <v>0</v>
      </c>
      <c r="R53" s="26">
        <v>1</v>
      </c>
      <c r="S53" s="26">
        <v>0</v>
      </c>
      <c r="T53" s="26">
        <v>0</v>
      </c>
      <c r="U53" s="26">
        <v>0</v>
      </c>
      <c r="V53" s="26">
        <v>0</v>
      </c>
      <c r="W53" s="26">
        <v>0</v>
      </c>
      <c r="X53" s="26">
        <v>0</v>
      </c>
      <c r="Y53" s="26">
        <v>0</v>
      </c>
      <c r="Z53" s="26">
        <v>0</v>
      </c>
      <c r="AA53" s="26">
        <v>0</v>
      </c>
      <c r="AB53" s="26">
        <f>2+2</f>
        <v>4</v>
      </c>
      <c r="AC53" s="26">
        <v>0</v>
      </c>
      <c r="AD53" s="26">
        <f>0</f>
        <v>0</v>
      </c>
      <c r="AE53" s="26">
        <v>0</v>
      </c>
      <c r="AF53" s="26">
        <v>0</v>
      </c>
      <c r="AG53" s="26">
        <v>2</v>
      </c>
      <c r="AH53" s="26">
        <v>0</v>
      </c>
      <c r="AI53" s="26">
        <v>0</v>
      </c>
      <c r="AJ53" s="26">
        <v>0</v>
      </c>
      <c r="AK53" s="125"/>
      <c r="AL53" s="4"/>
      <c r="AM53" s="47" t="s">
        <v>76</v>
      </c>
      <c r="AN53" s="235"/>
      <c r="AO53" s="16">
        <v>0</v>
      </c>
      <c r="AP53" s="16">
        <v>0</v>
      </c>
      <c r="AQ53" s="16">
        <v>4</v>
      </c>
      <c r="AR53" s="16">
        <v>1</v>
      </c>
      <c r="AS53" s="16">
        <v>0</v>
      </c>
      <c r="AT53" s="16">
        <v>0</v>
      </c>
      <c r="AU53" s="16">
        <v>0</v>
      </c>
      <c r="AV53" s="16">
        <v>1</v>
      </c>
      <c r="AW53" s="16">
        <f>2+5</f>
        <v>7</v>
      </c>
      <c r="AX53" s="16">
        <v>0</v>
      </c>
      <c r="AY53" s="16">
        <f>7+3</f>
        <v>10</v>
      </c>
      <c r="AZ53" s="16">
        <v>0</v>
      </c>
      <c r="BA53" s="16">
        <v>0</v>
      </c>
      <c r="BB53" s="16">
        <v>0</v>
      </c>
      <c r="BC53" s="16">
        <v>0</v>
      </c>
      <c r="BD53" s="16">
        <v>0</v>
      </c>
      <c r="BE53" s="16">
        <v>0</v>
      </c>
      <c r="BF53" s="16">
        <v>1</v>
      </c>
      <c r="BG53" s="16">
        <v>0</v>
      </c>
      <c r="BH53" s="16">
        <v>0</v>
      </c>
      <c r="BI53" s="16">
        <v>0</v>
      </c>
      <c r="BJ53" s="16">
        <v>0</v>
      </c>
      <c r="BK53" s="16">
        <v>0</v>
      </c>
      <c r="BL53" s="16">
        <v>0</v>
      </c>
      <c r="BM53" s="16">
        <v>0</v>
      </c>
      <c r="BN53" s="16">
        <v>0</v>
      </c>
      <c r="BO53" s="16">
        <v>0</v>
      </c>
      <c r="BP53" s="16">
        <v>1</v>
      </c>
      <c r="BQ53" s="16">
        <v>0</v>
      </c>
      <c r="BR53" s="16">
        <v>0</v>
      </c>
      <c r="BS53" s="16">
        <v>0</v>
      </c>
    </row>
    <row r="54" spans="1:195" s="15" customFormat="1" ht="18.600000000000001" customHeight="1" x14ac:dyDescent="0.25">
      <c r="A54" s="125" t="s">
        <v>95</v>
      </c>
      <c r="B54" s="4"/>
      <c r="C54" s="47" t="s">
        <v>75</v>
      </c>
      <c r="D54" s="235"/>
      <c r="E54" s="16">
        <f t="shared" si="0"/>
        <v>2774</v>
      </c>
      <c r="F54" s="16">
        <v>6</v>
      </c>
      <c r="G54" s="16">
        <v>0</v>
      </c>
      <c r="H54" s="16">
        <v>0</v>
      </c>
      <c r="I54" s="16">
        <v>0</v>
      </c>
      <c r="J54" s="16">
        <v>0</v>
      </c>
      <c r="K54" s="16">
        <v>3</v>
      </c>
      <c r="L54" s="26">
        <f>235+246</f>
        <v>481</v>
      </c>
      <c r="M54" s="26">
        <f>93+210</f>
        <v>303</v>
      </c>
      <c r="N54" s="26">
        <f>9+17</f>
        <v>26</v>
      </c>
      <c r="O54" s="26">
        <v>22</v>
      </c>
      <c r="P54" s="26">
        <v>14</v>
      </c>
      <c r="Q54" s="26">
        <v>2</v>
      </c>
      <c r="R54" s="26">
        <f>32+54</f>
        <v>86</v>
      </c>
      <c r="S54" s="26">
        <f>20+21</f>
        <v>41</v>
      </c>
      <c r="T54" s="26">
        <v>0</v>
      </c>
      <c r="U54" s="26">
        <f>8+3</f>
        <v>11</v>
      </c>
      <c r="V54" s="26">
        <f>14+57</f>
        <v>71</v>
      </c>
      <c r="W54" s="26">
        <v>2</v>
      </c>
      <c r="X54" s="26">
        <v>0</v>
      </c>
      <c r="Y54" s="26">
        <f>4+16</f>
        <v>20</v>
      </c>
      <c r="Z54" s="26">
        <f>20+73</f>
        <v>93</v>
      </c>
      <c r="AA54" s="26">
        <f>30+14</f>
        <v>44</v>
      </c>
      <c r="AB54" s="26">
        <f>82+107</f>
        <v>189</v>
      </c>
      <c r="AC54" s="26">
        <f>5+13</f>
        <v>18</v>
      </c>
      <c r="AD54" s="26">
        <f>71+102</f>
        <v>173</v>
      </c>
      <c r="AE54" s="26">
        <f>26+70</f>
        <v>96</v>
      </c>
      <c r="AF54" s="26">
        <v>0</v>
      </c>
      <c r="AG54" s="26">
        <f>228+201</f>
        <v>429</v>
      </c>
      <c r="AH54" s="26">
        <v>0</v>
      </c>
      <c r="AI54" s="26">
        <v>0</v>
      </c>
      <c r="AJ54" s="26">
        <v>0</v>
      </c>
      <c r="AK54" s="125" t="s">
        <v>95</v>
      </c>
      <c r="AL54" s="4"/>
      <c r="AM54" s="47" t="s">
        <v>75</v>
      </c>
      <c r="AN54" s="235"/>
      <c r="AO54" s="16">
        <v>6</v>
      </c>
      <c r="AP54" s="16">
        <v>0</v>
      </c>
      <c r="AQ54" s="16">
        <f>20+51</f>
        <v>71</v>
      </c>
      <c r="AR54" s="16">
        <v>1</v>
      </c>
      <c r="AS54" s="16">
        <v>0</v>
      </c>
      <c r="AT54" s="16">
        <v>0</v>
      </c>
      <c r="AU54" s="16">
        <v>0</v>
      </c>
      <c r="AV54" s="16">
        <f>2+4</f>
        <v>6</v>
      </c>
      <c r="AW54" s="16">
        <f>13+5</f>
        <v>18</v>
      </c>
      <c r="AX54" s="16">
        <v>4</v>
      </c>
      <c r="AY54" s="16">
        <f>54+85</f>
        <v>139</v>
      </c>
      <c r="AZ54" s="16">
        <f>44+72</f>
        <v>116</v>
      </c>
      <c r="BA54" s="16">
        <f>1+1</f>
        <v>2</v>
      </c>
      <c r="BB54" s="16">
        <f>4+4</f>
        <v>8</v>
      </c>
      <c r="BC54" s="16">
        <v>6</v>
      </c>
      <c r="BD54" s="16">
        <v>0</v>
      </c>
      <c r="BE54" s="16">
        <v>0</v>
      </c>
      <c r="BF54" s="16">
        <v>10</v>
      </c>
      <c r="BG54" s="16">
        <v>4</v>
      </c>
      <c r="BH54" s="16">
        <v>6</v>
      </c>
      <c r="BI54" s="16">
        <f>1+5</f>
        <v>6</v>
      </c>
      <c r="BJ54" s="16">
        <f>16+14</f>
        <v>30</v>
      </c>
      <c r="BK54" s="16">
        <f>3+6</f>
        <v>9</v>
      </c>
      <c r="BL54" s="16">
        <v>1</v>
      </c>
      <c r="BM54" s="16">
        <v>0</v>
      </c>
      <c r="BN54" s="16">
        <v>86</v>
      </c>
      <c r="BO54" s="16">
        <f>27+39</f>
        <v>66</v>
      </c>
      <c r="BP54" s="16">
        <f>6+33</f>
        <v>39</v>
      </c>
      <c r="BQ54" s="16">
        <v>0</v>
      </c>
      <c r="BR54" s="16">
        <v>0</v>
      </c>
      <c r="BS54" s="16">
        <v>10</v>
      </c>
    </row>
    <row r="55" spans="1:195" s="15" customFormat="1" ht="18.600000000000001" customHeight="1" x14ac:dyDescent="0.25">
      <c r="A55" s="125"/>
      <c r="B55" s="4"/>
      <c r="C55" s="47" t="s">
        <v>76</v>
      </c>
      <c r="D55" s="235"/>
      <c r="E55" s="16">
        <f t="shared" si="0"/>
        <v>22</v>
      </c>
      <c r="F55" s="26">
        <v>0</v>
      </c>
      <c r="G55" s="26">
        <v>0</v>
      </c>
      <c r="H55" s="26">
        <v>0</v>
      </c>
      <c r="I55" s="26">
        <v>0</v>
      </c>
      <c r="J55" s="26">
        <v>0</v>
      </c>
      <c r="K55" s="26">
        <v>0</v>
      </c>
      <c r="L55" s="26">
        <v>0</v>
      </c>
      <c r="M55" s="26">
        <v>0</v>
      </c>
      <c r="N55" s="26">
        <v>0</v>
      </c>
      <c r="O55" s="26">
        <v>0</v>
      </c>
      <c r="P55" s="26">
        <v>0</v>
      </c>
      <c r="Q55" s="26">
        <v>0</v>
      </c>
      <c r="R55" s="26">
        <v>1</v>
      </c>
      <c r="S55" s="26">
        <v>0</v>
      </c>
      <c r="T55" s="26">
        <v>0</v>
      </c>
      <c r="U55" s="26">
        <v>0</v>
      </c>
      <c r="V55" s="26">
        <v>0</v>
      </c>
      <c r="W55" s="26">
        <v>0</v>
      </c>
      <c r="X55" s="26">
        <v>0</v>
      </c>
      <c r="Y55" s="26">
        <v>0</v>
      </c>
      <c r="Z55" s="26">
        <v>0</v>
      </c>
      <c r="AA55" s="26">
        <v>0</v>
      </c>
      <c r="AB55" s="26">
        <v>2</v>
      </c>
      <c r="AC55" s="26">
        <v>0</v>
      </c>
      <c r="AD55" s="26">
        <v>1</v>
      </c>
      <c r="AE55" s="26">
        <v>0</v>
      </c>
      <c r="AF55" s="26">
        <v>0</v>
      </c>
      <c r="AG55" s="26">
        <f>10+3</f>
        <v>13</v>
      </c>
      <c r="AH55" s="26">
        <v>0</v>
      </c>
      <c r="AI55" s="26">
        <v>0</v>
      </c>
      <c r="AJ55" s="26">
        <v>0</v>
      </c>
      <c r="AK55" s="125"/>
      <c r="AL55" s="4"/>
      <c r="AM55" s="47" t="s">
        <v>76</v>
      </c>
      <c r="AN55" s="235"/>
      <c r="AO55" s="16">
        <v>0</v>
      </c>
      <c r="AP55" s="16">
        <v>0</v>
      </c>
      <c r="AQ55" s="16">
        <v>0</v>
      </c>
      <c r="AR55" s="16">
        <v>0</v>
      </c>
      <c r="AS55" s="16">
        <v>0</v>
      </c>
      <c r="AT55" s="16">
        <v>0</v>
      </c>
      <c r="AU55" s="16">
        <v>0</v>
      </c>
      <c r="AV55" s="16">
        <v>0</v>
      </c>
      <c r="AW55" s="16">
        <v>0</v>
      </c>
      <c r="AX55" s="16">
        <v>0</v>
      </c>
      <c r="AY55" s="16">
        <v>5</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row>
    <row r="56" spans="1:195" s="15" customFormat="1" ht="18.600000000000001" customHeight="1" x14ac:dyDescent="0.25">
      <c r="A56" s="125" t="s">
        <v>96</v>
      </c>
      <c r="B56" s="4"/>
      <c r="C56" s="47" t="s">
        <v>75</v>
      </c>
      <c r="D56" s="235"/>
      <c r="E56" s="16">
        <f t="shared" si="0"/>
        <v>680</v>
      </c>
      <c r="F56" s="16">
        <v>2</v>
      </c>
      <c r="G56" s="16">
        <v>0</v>
      </c>
      <c r="H56" s="16">
        <v>4</v>
      </c>
      <c r="I56" s="16">
        <v>0</v>
      </c>
      <c r="J56" s="16">
        <v>0</v>
      </c>
      <c r="K56" s="16">
        <v>2</v>
      </c>
      <c r="L56" s="26">
        <v>73</v>
      </c>
      <c r="M56" s="26">
        <f>8+18</f>
        <v>26</v>
      </c>
      <c r="N56" s="26">
        <v>0</v>
      </c>
      <c r="O56" s="26">
        <v>32</v>
      </c>
      <c r="P56" s="26">
        <v>1</v>
      </c>
      <c r="Q56" s="26">
        <v>0</v>
      </c>
      <c r="R56" s="26">
        <f>7+29</f>
        <v>36</v>
      </c>
      <c r="S56" s="26">
        <f>2+12</f>
        <v>14</v>
      </c>
      <c r="T56" s="26">
        <v>1</v>
      </c>
      <c r="U56" s="26">
        <f>2+4</f>
        <v>6</v>
      </c>
      <c r="V56" s="26">
        <f>18+12</f>
        <v>30</v>
      </c>
      <c r="W56" s="26">
        <v>0</v>
      </c>
      <c r="X56" s="26">
        <v>0</v>
      </c>
      <c r="Y56" s="26">
        <v>0</v>
      </c>
      <c r="Z56" s="26">
        <f>5+5</f>
        <v>10</v>
      </c>
      <c r="AA56" s="26">
        <f>5+6</f>
        <v>11</v>
      </c>
      <c r="AB56" s="26">
        <f>14+4</f>
        <v>18</v>
      </c>
      <c r="AC56" s="26">
        <f>2+7</f>
        <v>9</v>
      </c>
      <c r="AD56" s="26">
        <v>87</v>
      </c>
      <c r="AE56" s="26">
        <v>50</v>
      </c>
      <c r="AF56" s="26">
        <v>0</v>
      </c>
      <c r="AG56" s="26">
        <f>57+80</f>
        <v>137</v>
      </c>
      <c r="AH56" s="26">
        <v>3</v>
      </c>
      <c r="AI56" s="26">
        <v>0</v>
      </c>
      <c r="AJ56" s="26">
        <v>4</v>
      </c>
      <c r="AK56" s="125" t="s">
        <v>96</v>
      </c>
      <c r="AL56" s="4"/>
      <c r="AM56" s="47" t="s">
        <v>75</v>
      </c>
      <c r="AN56" s="235"/>
      <c r="AO56" s="16">
        <v>2</v>
      </c>
      <c r="AP56" s="16">
        <v>0</v>
      </c>
      <c r="AQ56" s="16">
        <v>10</v>
      </c>
      <c r="AR56" s="16">
        <v>3</v>
      </c>
      <c r="AS56" s="16">
        <v>0</v>
      </c>
      <c r="AT56" s="16">
        <v>0</v>
      </c>
      <c r="AU56" s="16">
        <v>0</v>
      </c>
      <c r="AV56" s="16">
        <v>1</v>
      </c>
      <c r="AW56" s="16">
        <f>10+3</f>
        <v>13</v>
      </c>
      <c r="AX56" s="16">
        <v>1</v>
      </c>
      <c r="AY56" s="16">
        <f>12+11</f>
        <v>23</v>
      </c>
      <c r="AZ56" s="16">
        <v>0</v>
      </c>
      <c r="BA56" s="16">
        <v>0</v>
      </c>
      <c r="BB56" s="16">
        <v>2</v>
      </c>
      <c r="BC56" s="16">
        <v>0</v>
      </c>
      <c r="BD56" s="16">
        <v>0</v>
      </c>
      <c r="BE56" s="16">
        <v>0</v>
      </c>
      <c r="BF56" s="16">
        <f>10+2</f>
        <v>12</v>
      </c>
      <c r="BG56" s="16">
        <v>0</v>
      </c>
      <c r="BH56" s="16">
        <v>7</v>
      </c>
      <c r="BI56" s="16">
        <v>0</v>
      </c>
      <c r="BJ56" s="16">
        <v>9</v>
      </c>
      <c r="BK56" s="16">
        <v>7</v>
      </c>
      <c r="BL56" s="16">
        <v>0</v>
      </c>
      <c r="BM56" s="16">
        <v>0</v>
      </c>
      <c r="BN56" s="16">
        <f>11+22</f>
        <v>33</v>
      </c>
      <c r="BO56" s="16">
        <v>0</v>
      </c>
      <c r="BP56" s="16">
        <v>1</v>
      </c>
      <c r="BQ56" s="16">
        <v>0</v>
      </c>
      <c r="BR56" s="16">
        <v>0</v>
      </c>
      <c r="BS56" s="16">
        <v>0</v>
      </c>
    </row>
    <row r="57" spans="1:195" s="15" customFormat="1" ht="18.600000000000001" customHeight="1" x14ac:dyDescent="0.25">
      <c r="A57" s="134"/>
      <c r="B57" s="6"/>
      <c r="C57" s="49" t="s">
        <v>76</v>
      </c>
      <c r="D57" s="236"/>
      <c r="E57" s="55">
        <f t="shared" si="0"/>
        <v>12</v>
      </c>
      <c r="F57" s="56">
        <v>0</v>
      </c>
      <c r="G57" s="56">
        <v>0</v>
      </c>
      <c r="H57" s="56">
        <v>0</v>
      </c>
      <c r="I57" s="56">
        <v>0</v>
      </c>
      <c r="J57" s="56">
        <v>0</v>
      </c>
      <c r="K57" s="56">
        <v>0</v>
      </c>
      <c r="L57" s="56">
        <v>0</v>
      </c>
      <c r="M57" s="56">
        <v>0</v>
      </c>
      <c r="N57" s="56">
        <v>0</v>
      </c>
      <c r="O57" s="56">
        <v>0</v>
      </c>
      <c r="P57" s="56">
        <v>0</v>
      </c>
      <c r="Q57" s="56">
        <v>0</v>
      </c>
      <c r="R57" s="56">
        <v>3</v>
      </c>
      <c r="S57" s="56">
        <v>0</v>
      </c>
      <c r="T57" s="56">
        <v>0</v>
      </c>
      <c r="U57" s="56">
        <v>1</v>
      </c>
      <c r="V57" s="56">
        <v>1</v>
      </c>
      <c r="W57" s="56">
        <v>0</v>
      </c>
      <c r="X57" s="56">
        <v>0</v>
      </c>
      <c r="Y57" s="56">
        <v>0</v>
      </c>
      <c r="Z57" s="56">
        <v>0</v>
      </c>
      <c r="AA57" s="56">
        <v>0</v>
      </c>
      <c r="AB57" s="56">
        <v>0</v>
      </c>
      <c r="AC57" s="56">
        <v>0</v>
      </c>
      <c r="AD57" s="56">
        <v>0</v>
      </c>
      <c r="AE57" s="56">
        <v>0</v>
      </c>
      <c r="AF57" s="56">
        <v>0</v>
      </c>
      <c r="AG57" s="56">
        <f>1+4</f>
        <v>5</v>
      </c>
      <c r="AH57" s="56">
        <v>0</v>
      </c>
      <c r="AI57" s="56">
        <v>0</v>
      </c>
      <c r="AJ57" s="56">
        <v>0</v>
      </c>
      <c r="AK57" s="134"/>
      <c r="AL57" s="6"/>
      <c r="AM57" s="49" t="s">
        <v>76</v>
      </c>
      <c r="AN57" s="236"/>
      <c r="AO57" s="57">
        <v>0</v>
      </c>
      <c r="AP57" s="57">
        <v>0</v>
      </c>
      <c r="AQ57" s="57">
        <v>1</v>
      </c>
      <c r="AR57" s="57">
        <v>0</v>
      </c>
      <c r="AS57" s="57">
        <v>0</v>
      </c>
      <c r="AT57" s="57">
        <v>0</v>
      </c>
      <c r="AU57" s="57">
        <v>0</v>
      </c>
      <c r="AV57" s="57">
        <v>0</v>
      </c>
      <c r="AW57" s="57">
        <v>1</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c r="BQ57" s="57">
        <v>0</v>
      </c>
      <c r="BR57" s="57">
        <v>0</v>
      </c>
      <c r="BS57" s="57">
        <v>0</v>
      </c>
    </row>
    <row r="58" spans="1:195" s="237" customFormat="1" ht="18" customHeight="1" x14ac:dyDescent="0.3">
      <c r="AA58" s="238"/>
      <c r="AC58" s="239"/>
      <c r="AG58" s="240"/>
      <c r="AI58" s="115"/>
      <c r="AK58" s="63" t="s">
        <v>191</v>
      </c>
      <c r="AL58" s="58"/>
      <c r="AM58" s="58"/>
      <c r="AN58" s="63"/>
      <c r="AO58" s="63"/>
      <c r="AP58" s="64"/>
      <c r="AQ58" s="58"/>
      <c r="AR58" s="63"/>
      <c r="AS58" s="63" t="s">
        <v>178</v>
      </c>
      <c r="AT58" s="63"/>
      <c r="AU58" s="62"/>
      <c r="AV58" s="58"/>
      <c r="AW58" s="63"/>
      <c r="AX58" s="58"/>
      <c r="AY58" s="64"/>
      <c r="AZ58" s="64"/>
      <c r="BA58" s="62" t="s">
        <v>179</v>
      </c>
      <c r="BB58" s="58"/>
      <c r="BC58" s="63"/>
      <c r="BD58" s="62"/>
      <c r="BE58" s="65"/>
      <c r="BF58" s="64"/>
      <c r="BG58" s="58"/>
      <c r="BH58" s="62" t="s">
        <v>180</v>
      </c>
      <c r="BK58" s="115"/>
      <c r="BL58" s="115"/>
      <c r="BM58" s="115"/>
      <c r="BN58" s="115"/>
      <c r="BP58" s="115"/>
      <c r="BQ58" s="115"/>
      <c r="BR58" s="115"/>
      <c r="BS58" s="241"/>
      <c r="BT58" s="115"/>
      <c r="BU58" s="115"/>
      <c r="BV58" s="115"/>
      <c r="BW58" s="115"/>
      <c r="BX58" s="115"/>
      <c r="BY58" s="115"/>
      <c r="BZ58" s="115"/>
      <c r="CA58" s="115"/>
      <c r="CB58" s="115"/>
      <c r="CC58" s="115"/>
      <c r="CD58" s="115"/>
      <c r="CE58" s="115"/>
      <c r="CF58" s="115"/>
      <c r="CG58" s="115"/>
      <c r="CH58" s="115"/>
      <c r="CI58" s="115"/>
      <c r="CJ58" s="115"/>
      <c r="CK58" s="115"/>
      <c r="CL58" s="115"/>
      <c r="CM58" s="115"/>
      <c r="CN58" s="115"/>
      <c r="CO58" s="115"/>
      <c r="CP58" s="115"/>
      <c r="CQ58" s="115"/>
      <c r="CR58" s="115"/>
      <c r="CS58" s="115"/>
      <c r="CT58" s="115"/>
      <c r="CU58" s="115"/>
      <c r="CV58" s="115"/>
      <c r="CW58" s="115"/>
      <c r="CX58" s="115"/>
      <c r="CY58" s="115"/>
      <c r="CZ58" s="115"/>
      <c r="DA58" s="115"/>
      <c r="DB58" s="115"/>
      <c r="DC58" s="115"/>
      <c r="DD58" s="115"/>
      <c r="DE58" s="115"/>
      <c r="DF58" s="115"/>
      <c r="DG58" s="115"/>
      <c r="DH58" s="115"/>
      <c r="DI58" s="115"/>
      <c r="DJ58" s="115"/>
      <c r="DK58" s="115"/>
      <c r="DL58" s="115"/>
      <c r="DM58" s="115"/>
      <c r="DN58" s="115"/>
      <c r="DO58" s="115"/>
      <c r="DP58" s="115"/>
      <c r="DQ58" s="115"/>
      <c r="DR58" s="115"/>
      <c r="DS58" s="115"/>
      <c r="DT58" s="115"/>
      <c r="DU58" s="115"/>
      <c r="DV58" s="115"/>
      <c r="DW58" s="115"/>
      <c r="DX58" s="115"/>
      <c r="DY58" s="115"/>
      <c r="DZ58" s="115"/>
      <c r="EA58" s="115"/>
      <c r="EB58" s="115"/>
      <c r="EC58" s="115"/>
      <c r="ED58" s="115"/>
      <c r="EE58" s="115"/>
      <c r="EF58" s="115"/>
      <c r="EG58" s="115"/>
      <c r="EH58" s="115"/>
      <c r="EI58" s="115"/>
      <c r="EJ58" s="115"/>
      <c r="EK58" s="115"/>
      <c r="EL58" s="115"/>
      <c r="EM58" s="115"/>
      <c r="EN58" s="115"/>
      <c r="EO58" s="115"/>
      <c r="EP58" s="115"/>
      <c r="EQ58" s="115"/>
      <c r="ER58" s="115"/>
      <c r="ES58" s="115"/>
      <c r="ET58" s="115"/>
      <c r="EU58" s="115"/>
      <c r="EV58" s="115"/>
      <c r="EW58" s="115"/>
      <c r="EX58" s="115"/>
      <c r="EY58" s="115"/>
      <c r="EZ58" s="115"/>
      <c r="FA58" s="115"/>
      <c r="FB58" s="115"/>
      <c r="FC58" s="115"/>
      <c r="FD58" s="115"/>
      <c r="FE58" s="115"/>
      <c r="FF58" s="115"/>
      <c r="FG58" s="115"/>
      <c r="FH58" s="115"/>
      <c r="FI58" s="115"/>
      <c r="FJ58" s="115"/>
      <c r="FK58" s="115"/>
      <c r="FL58" s="115"/>
      <c r="FM58" s="115"/>
      <c r="FN58" s="115"/>
      <c r="FO58" s="115"/>
      <c r="FP58" s="115"/>
      <c r="FQ58" s="115"/>
      <c r="FR58" s="115"/>
      <c r="FS58" s="115"/>
      <c r="FT58" s="115"/>
      <c r="FU58" s="115"/>
      <c r="FV58" s="115"/>
      <c r="FW58" s="115"/>
      <c r="FX58" s="115"/>
      <c r="FY58" s="115"/>
      <c r="FZ58" s="115"/>
      <c r="GA58" s="115"/>
      <c r="GB58" s="115"/>
      <c r="GC58" s="115"/>
      <c r="GD58" s="115"/>
      <c r="GE58" s="115"/>
      <c r="GF58" s="115"/>
      <c r="GG58" s="115"/>
      <c r="GH58" s="115"/>
      <c r="GI58" s="115"/>
      <c r="GJ58" s="115"/>
      <c r="GK58" s="115"/>
      <c r="GL58" s="115"/>
      <c r="GM58" s="115"/>
    </row>
    <row r="59" spans="1:195" s="237" customFormat="1" ht="18" customHeight="1" x14ac:dyDescent="0.3">
      <c r="AG59" s="240"/>
      <c r="AI59" s="115"/>
      <c r="AK59" s="63"/>
      <c r="AL59" s="58"/>
      <c r="AM59" s="58"/>
      <c r="AN59" s="63"/>
      <c r="AO59" s="63"/>
      <c r="AP59" s="64"/>
      <c r="AQ59" s="64"/>
      <c r="AR59" s="65"/>
      <c r="AS59" s="63"/>
      <c r="AT59" s="63"/>
      <c r="AU59" s="63"/>
      <c r="AV59" s="58"/>
      <c r="AW59" s="63"/>
      <c r="AX59" s="58"/>
      <c r="AY59" s="63"/>
      <c r="AZ59" s="63"/>
      <c r="BA59" s="65" t="s">
        <v>181</v>
      </c>
      <c r="BB59" s="63"/>
      <c r="BC59" s="63"/>
      <c r="BD59" s="62"/>
      <c r="BE59" s="65"/>
      <c r="BF59" s="63"/>
      <c r="BG59" s="62"/>
      <c r="BH59" s="58"/>
      <c r="BK59" s="242"/>
      <c r="BL59" s="115"/>
      <c r="BM59" s="243"/>
      <c r="BN59" s="243"/>
      <c r="BO59" s="243"/>
      <c r="BP59" s="115"/>
      <c r="BQ59" s="115"/>
      <c r="BR59" s="115"/>
      <c r="BS59" s="115"/>
      <c r="BT59" s="115"/>
      <c r="BU59" s="115"/>
      <c r="BV59" s="115"/>
      <c r="BW59" s="115"/>
      <c r="BX59" s="115"/>
      <c r="BY59" s="115"/>
      <c r="BZ59" s="115"/>
      <c r="CA59" s="115"/>
      <c r="CB59" s="115"/>
      <c r="CC59" s="115"/>
      <c r="CD59" s="115"/>
      <c r="CE59" s="115"/>
      <c r="CF59" s="115"/>
      <c r="CG59" s="115"/>
      <c r="CH59" s="115"/>
      <c r="CI59" s="115"/>
      <c r="CJ59" s="115"/>
      <c r="CK59" s="115"/>
      <c r="CL59" s="115"/>
      <c r="CM59" s="115"/>
      <c r="CN59" s="115"/>
      <c r="CO59" s="115"/>
      <c r="CP59" s="115"/>
      <c r="CQ59" s="115"/>
      <c r="CR59" s="115"/>
      <c r="CS59" s="115"/>
      <c r="CT59" s="115"/>
      <c r="CU59" s="115"/>
      <c r="CV59" s="115"/>
      <c r="CW59" s="115"/>
      <c r="CX59" s="115"/>
      <c r="CY59" s="115"/>
      <c r="CZ59" s="115"/>
      <c r="DA59" s="115"/>
      <c r="DB59" s="115"/>
      <c r="DC59" s="115"/>
      <c r="DD59" s="115"/>
      <c r="DE59" s="115"/>
      <c r="DF59" s="115"/>
      <c r="DG59" s="115"/>
      <c r="DH59" s="115"/>
      <c r="DI59" s="115"/>
      <c r="DJ59" s="115"/>
      <c r="DK59" s="115"/>
      <c r="DL59" s="115"/>
      <c r="DM59" s="115"/>
      <c r="DN59" s="115"/>
      <c r="DO59" s="115"/>
      <c r="DP59" s="115"/>
      <c r="DQ59" s="115"/>
      <c r="DR59" s="115"/>
      <c r="DS59" s="115"/>
      <c r="DT59" s="115"/>
      <c r="DU59" s="115"/>
      <c r="DV59" s="115"/>
      <c r="DW59" s="115"/>
      <c r="DX59" s="115"/>
      <c r="DY59" s="115"/>
      <c r="DZ59" s="115"/>
      <c r="EA59" s="115"/>
      <c r="EB59" s="115"/>
      <c r="EC59" s="115"/>
      <c r="ED59" s="115"/>
      <c r="EE59" s="115"/>
      <c r="EF59" s="115"/>
      <c r="EG59" s="115"/>
      <c r="EH59" s="115"/>
      <c r="EI59" s="115"/>
      <c r="EJ59" s="115"/>
      <c r="EK59" s="115"/>
      <c r="EL59" s="115"/>
      <c r="EM59" s="115"/>
      <c r="EN59" s="115"/>
      <c r="EO59" s="115"/>
      <c r="EP59" s="115"/>
      <c r="EQ59" s="115"/>
      <c r="ER59" s="115"/>
      <c r="ES59" s="115"/>
      <c r="ET59" s="115"/>
      <c r="EU59" s="115"/>
      <c r="EV59" s="115"/>
      <c r="EW59" s="115"/>
      <c r="EX59" s="115"/>
      <c r="EY59" s="115"/>
      <c r="EZ59" s="115"/>
      <c r="FA59" s="115"/>
      <c r="FB59" s="115"/>
      <c r="FC59" s="115"/>
      <c r="FD59" s="115"/>
      <c r="FE59" s="115"/>
      <c r="FF59" s="115"/>
      <c r="FG59" s="115"/>
      <c r="FH59" s="115"/>
      <c r="FI59" s="115"/>
      <c r="FJ59" s="115"/>
      <c r="FK59" s="115"/>
      <c r="FL59" s="115"/>
      <c r="FM59" s="115"/>
      <c r="FN59" s="115"/>
      <c r="FO59" s="115"/>
      <c r="FP59" s="115"/>
      <c r="FQ59" s="115"/>
      <c r="FR59" s="115"/>
      <c r="FS59" s="115"/>
      <c r="FT59" s="115"/>
      <c r="FU59" s="115"/>
      <c r="FV59" s="115"/>
      <c r="FW59" s="115"/>
      <c r="FX59" s="115"/>
      <c r="FY59" s="115"/>
      <c r="FZ59" s="115"/>
      <c r="GA59" s="115"/>
      <c r="GB59" s="115"/>
      <c r="GC59" s="115"/>
      <c r="GD59" s="115"/>
      <c r="GE59" s="115"/>
      <c r="GF59" s="115"/>
      <c r="GG59" s="115"/>
      <c r="GH59" s="115"/>
      <c r="GI59" s="115"/>
      <c r="GJ59" s="115"/>
      <c r="GK59" s="115"/>
      <c r="GL59" s="115"/>
      <c r="GM59" s="115"/>
    </row>
    <row r="60" spans="1:195" s="237" customFormat="1" ht="18" customHeight="1" x14ac:dyDescent="0.3">
      <c r="Z60" s="244"/>
      <c r="AA60" s="245"/>
      <c r="AB60" s="244"/>
      <c r="AC60" s="246"/>
      <c r="AD60" s="246"/>
      <c r="AE60" s="246"/>
      <c r="AF60" s="246"/>
      <c r="AI60" s="115"/>
      <c r="AK60" s="76" t="s">
        <v>409</v>
      </c>
      <c r="AL60" s="58"/>
      <c r="AM60" s="58"/>
      <c r="AN60" s="62"/>
      <c r="AO60" s="58"/>
      <c r="AP60" s="76"/>
      <c r="AQ60" s="77"/>
      <c r="AR60" s="76"/>
      <c r="AS60" s="74"/>
      <c r="AT60" s="76"/>
      <c r="AU60" s="76"/>
      <c r="AV60" s="76"/>
      <c r="AW60" s="76"/>
      <c r="AX60" s="76"/>
      <c r="AY60" s="77"/>
      <c r="AZ60" s="76"/>
      <c r="BA60" s="76"/>
      <c r="BB60" s="76"/>
      <c r="BC60" s="76"/>
      <c r="BD60" s="59"/>
      <c r="BE60" s="59"/>
      <c r="BF60" s="59"/>
      <c r="BG60" s="75"/>
      <c r="BH60" s="58"/>
      <c r="BK60" s="247"/>
      <c r="BL60" s="247"/>
      <c r="BM60" s="115"/>
      <c r="BN60" s="115"/>
      <c r="BO60" s="115"/>
      <c r="BP60" s="115"/>
      <c r="BQ60" s="115"/>
      <c r="BR60" s="115"/>
      <c r="BS60" s="115"/>
      <c r="BT60" s="115"/>
      <c r="BU60" s="115"/>
      <c r="BV60" s="115"/>
      <c r="BW60" s="115"/>
      <c r="BX60" s="115"/>
      <c r="BY60" s="115"/>
      <c r="BZ60" s="115"/>
      <c r="CA60" s="115"/>
      <c r="CB60" s="115"/>
      <c r="CC60" s="115"/>
      <c r="CD60" s="115"/>
      <c r="CE60" s="115"/>
      <c r="CF60" s="115"/>
      <c r="CG60" s="115"/>
      <c r="CH60" s="115"/>
      <c r="CI60" s="115"/>
      <c r="CJ60" s="115"/>
      <c r="CK60" s="115"/>
      <c r="CL60" s="115"/>
      <c r="CM60" s="115"/>
      <c r="CN60" s="115"/>
      <c r="CO60" s="115"/>
      <c r="CP60" s="115"/>
      <c r="CQ60" s="115"/>
      <c r="CR60" s="115"/>
      <c r="CS60" s="115"/>
      <c r="CT60" s="115"/>
      <c r="CU60" s="115"/>
      <c r="CV60" s="115"/>
      <c r="CW60" s="115"/>
      <c r="CX60" s="115"/>
      <c r="CY60" s="115"/>
      <c r="CZ60" s="115"/>
      <c r="DA60" s="115"/>
      <c r="DB60" s="115"/>
      <c r="DC60" s="115"/>
      <c r="DD60" s="115"/>
      <c r="DE60" s="115"/>
      <c r="DF60" s="115"/>
      <c r="DG60" s="115"/>
      <c r="DH60" s="115"/>
      <c r="DI60" s="115"/>
      <c r="DJ60" s="115"/>
      <c r="DK60" s="115"/>
      <c r="DL60" s="115"/>
      <c r="DM60" s="115"/>
      <c r="DN60" s="115"/>
      <c r="DO60" s="115"/>
      <c r="DP60" s="115"/>
      <c r="DQ60" s="115"/>
      <c r="DR60" s="115"/>
      <c r="DS60" s="115"/>
      <c r="DT60" s="115"/>
      <c r="DU60" s="115"/>
      <c r="DV60" s="115"/>
      <c r="DW60" s="115"/>
      <c r="DX60" s="115"/>
      <c r="DY60" s="115"/>
      <c r="DZ60" s="115"/>
      <c r="EA60" s="115"/>
      <c r="EB60" s="115"/>
      <c r="EC60" s="115"/>
      <c r="ED60" s="115"/>
      <c r="EE60" s="115"/>
      <c r="EF60" s="115"/>
      <c r="EG60" s="115"/>
      <c r="EH60" s="115"/>
      <c r="EI60" s="115"/>
      <c r="EJ60" s="115"/>
      <c r="EK60" s="115"/>
      <c r="EL60" s="115"/>
      <c r="EM60" s="115"/>
      <c r="EN60" s="115"/>
      <c r="EO60" s="115"/>
      <c r="EP60" s="115"/>
      <c r="EQ60" s="115"/>
      <c r="ER60" s="115"/>
      <c r="ES60" s="115"/>
      <c r="ET60" s="115"/>
      <c r="EU60" s="115"/>
      <c r="EV60" s="115"/>
      <c r="EW60" s="115"/>
      <c r="EX60" s="115"/>
      <c r="EY60" s="115"/>
      <c r="EZ60" s="115"/>
      <c r="FA60" s="115"/>
      <c r="FB60" s="115"/>
      <c r="FC60" s="115"/>
      <c r="FD60" s="115"/>
      <c r="FE60" s="115"/>
      <c r="FF60" s="115"/>
      <c r="FG60" s="115"/>
      <c r="FH60" s="115"/>
      <c r="FI60" s="115"/>
      <c r="FJ60" s="115"/>
      <c r="FK60" s="115"/>
      <c r="FL60" s="115"/>
      <c r="FM60" s="115"/>
      <c r="FN60" s="115"/>
      <c r="FO60" s="115"/>
      <c r="FP60" s="115"/>
      <c r="FQ60" s="115"/>
      <c r="FR60" s="115"/>
      <c r="FS60" s="115"/>
      <c r="FT60" s="115"/>
      <c r="FU60" s="115"/>
      <c r="FV60" s="115"/>
      <c r="FW60" s="115"/>
      <c r="FX60" s="115"/>
      <c r="FY60" s="115"/>
      <c r="FZ60" s="115"/>
      <c r="GA60" s="115"/>
      <c r="GB60" s="115"/>
      <c r="GC60" s="115"/>
      <c r="GD60" s="115"/>
      <c r="GE60" s="115"/>
      <c r="GF60" s="115"/>
      <c r="GG60" s="115"/>
      <c r="GH60" s="115"/>
      <c r="GI60" s="115"/>
      <c r="GJ60" s="115"/>
      <c r="GK60" s="115"/>
      <c r="GL60" s="115"/>
      <c r="GM60" s="115"/>
    </row>
    <row r="61" spans="1:195" s="237" customFormat="1" ht="18" customHeight="1" x14ac:dyDescent="0.3">
      <c r="Z61" s="244"/>
      <c r="AA61" s="245"/>
      <c r="AB61" s="244"/>
      <c r="AC61" s="246"/>
      <c r="AD61" s="246"/>
      <c r="AE61" s="246"/>
      <c r="AF61" s="246"/>
      <c r="AI61" s="115"/>
      <c r="AK61" s="5" t="s">
        <v>410</v>
      </c>
      <c r="AL61" s="58"/>
      <c r="AM61" s="58"/>
      <c r="AN61" s="62"/>
      <c r="AO61" s="58"/>
      <c r="AP61" s="76"/>
      <c r="AQ61" s="77"/>
      <c r="AR61" s="76"/>
      <c r="AS61" s="74"/>
      <c r="AT61" s="76"/>
      <c r="AU61" s="76"/>
      <c r="AV61" s="76"/>
      <c r="AW61" s="76"/>
      <c r="AX61" s="76"/>
      <c r="AY61" s="77"/>
      <c r="AZ61" s="76"/>
      <c r="BA61" s="76"/>
      <c r="BB61" s="76"/>
      <c r="BC61" s="76"/>
      <c r="BD61" s="59"/>
      <c r="BE61" s="59"/>
      <c r="BF61" s="59"/>
      <c r="BG61" s="75"/>
      <c r="BH61" s="58"/>
      <c r="BK61" s="247"/>
      <c r="BL61" s="247"/>
      <c r="BM61" s="115"/>
      <c r="BN61" s="115"/>
      <c r="BO61" s="115"/>
      <c r="BP61" s="115"/>
      <c r="BQ61" s="115"/>
      <c r="BR61" s="115"/>
      <c r="BS61" s="115"/>
      <c r="BT61" s="115"/>
      <c r="BU61" s="115"/>
      <c r="BV61" s="115"/>
      <c r="BW61" s="115"/>
      <c r="BX61" s="115"/>
      <c r="BY61" s="115"/>
      <c r="BZ61" s="115"/>
      <c r="CA61" s="115"/>
      <c r="CB61" s="115"/>
      <c r="CC61" s="115"/>
      <c r="CD61" s="115"/>
      <c r="CE61" s="115"/>
      <c r="CF61" s="115"/>
      <c r="CG61" s="115"/>
      <c r="CH61" s="115"/>
      <c r="CI61" s="115"/>
      <c r="CJ61" s="115"/>
      <c r="CK61" s="115"/>
      <c r="CL61" s="115"/>
      <c r="CM61" s="115"/>
      <c r="CN61" s="115"/>
      <c r="CO61" s="115"/>
      <c r="CP61" s="115"/>
      <c r="CQ61" s="115"/>
      <c r="CR61" s="115"/>
      <c r="CS61" s="115"/>
      <c r="CT61" s="115"/>
      <c r="CU61" s="115"/>
      <c r="CV61" s="115"/>
      <c r="CW61" s="115"/>
      <c r="CX61" s="115"/>
      <c r="CY61" s="115"/>
      <c r="CZ61" s="115"/>
      <c r="DA61" s="115"/>
      <c r="DB61" s="115"/>
      <c r="DC61" s="115"/>
      <c r="DD61" s="115"/>
      <c r="DE61" s="115"/>
      <c r="DF61" s="115"/>
      <c r="DG61" s="115"/>
      <c r="DH61" s="115"/>
      <c r="DI61" s="115"/>
      <c r="DJ61" s="115"/>
      <c r="DK61" s="115"/>
      <c r="DL61" s="115"/>
      <c r="DM61" s="115"/>
      <c r="DN61" s="115"/>
      <c r="DO61" s="115"/>
      <c r="DP61" s="115"/>
      <c r="DQ61" s="115"/>
      <c r="DR61" s="115"/>
      <c r="DS61" s="115"/>
      <c r="DT61" s="115"/>
      <c r="DU61" s="115"/>
      <c r="DV61" s="115"/>
      <c r="DW61" s="115"/>
      <c r="DX61" s="115"/>
      <c r="DY61" s="115"/>
      <c r="DZ61" s="115"/>
      <c r="EA61" s="115"/>
      <c r="EB61" s="115"/>
      <c r="EC61" s="115"/>
      <c r="ED61" s="115"/>
      <c r="EE61" s="115"/>
      <c r="EF61" s="115"/>
      <c r="EG61" s="115"/>
      <c r="EH61" s="115"/>
      <c r="EI61" s="115"/>
      <c r="EJ61" s="115"/>
      <c r="EK61" s="115"/>
      <c r="EL61" s="115"/>
      <c r="EM61" s="115"/>
      <c r="EN61" s="115"/>
      <c r="EO61" s="115"/>
      <c r="EP61" s="115"/>
      <c r="EQ61" s="115"/>
      <c r="ER61" s="115"/>
      <c r="ES61" s="115"/>
      <c r="ET61" s="115"/>
      <c r="EU61" s="115"/>
      <c r="EV61" s="115"/>
      <c r="EW61" s="115"/>
      <c r="EX61" s="115"/>
      <c r="EY61" s="115"/>
      <c r="EZ61" s="115"/>
      <c r="FA61" s="115"/>
      <c r="FB61" s="115"/>
      <c r="FC61" s="115"/>
      <c r="FD61" s="115"/>
      <c r="FE61" s="115"/>
      <c r="FF61" s="115"/>
      <c r="FG61" s="115"/>
      <c r="FH61" s="115"/>
      <c r="FI61" s="115"/>
      <c r="FJ61" s="115"/>
      <c r="FK61" s="115"/>
      <c r="FL61" s="115"/>
      <c r="FM61" s="115"/>
      <c r="FN61" s="115"/>
      <c r="FO61" s="115"/>
      <c r="FP61" s="115"/>
      <c r="FQ61" s="115"/>
      <c r="FR61" s="115"/>
      <c r="FS61" s="115"/>
      <c r="FT61" s="115"/>
      <c r="FU61" s="115"/>
      <c r="FV61" s="115"/>
      <c r="FW61" s="115"/>
      <c r="FX61" s="115"/>
      <c r="FY61" s="115"/>
      <c r="FZ61" s="115"/>
      <c r="GA61" s="115"/>
      <c r="GB61" s="115"/>
      <c r="GC61" s="115"/>
      <c r="GD61" s="115"/>
      <c r="GE61" s="115"/>
      <c r="GF61" s="115"/>
      <c r="GG61" s="115"/>
      <c r="GH61" s="115"/>
      <c r="GI61" s="115"/>
      <c r="GJ61" s="115"/>
      <c r="GK61" s="115"/>
      <c r="GL61" s="115"/>
      <c r="GM61" s="115"/>
    </row>
  </sheetData>
  <mergeCells count="138">
    <mergeCell ref="A56:A57"/>
    <mergeCell ref="AK56:AK57"/>
    <mergeCell ref="A50:A51"/>
    <mergeCell ref="AK50:AK51"/>
    <mergeCell ref="A52:A53"/>
    <mergeCell ref="AK52:AK53"/>
    <mergeCell ref="A54:A55"/>
    <mergeCell ref="AK54:AK55"/>
    <mergeCell ref="A44:A45"/>
    <mergeCell ref="AK44:AK45"/>
    <mergeCell ref="A46:A47"/>
    <mergeCell ref="AK46:AK47"/>
    <mergeCell ref="A48:A49"/>
    <mergeCell ref="AK48:AK49"/>
    <mergeCell ref="A38:A39"/>
    <mergeCell ref="AK38:AK39"/>
    <mergeCell ref="A40:A41"/>
    <mergeCell ref="AK40:AK41"/>
    <mergeCell ref="A42:A43"/>
    <mergeCell ref="AK42:AK43"/>
    <mergeCell ref="A32:A33"/>
    <mergeCell ref="AK32:AK33"/>
    <mergeCell ref="A34:A35"/>
    <mergeCell ref="AK34:AK35"/>
    <mergeCell ref="A36:A37"/>
    <mergeCell ref="AK36:AK37"/>
    <mergeCell ref="A26:A27"/>
    <mergeCell ref="AK26:AK27"/>
    <mergeCell ref="A28:A29"/>
    <mergeCell ref="AK28:AK29"/>
    <mergeCell ref="A30:A31"/>
    <mergeCell ref="AK30:AK31"/>
    <mergeCell ref="A20:A21"/>
    <mergeCell ref="AK20:AK21"/>
    <mergeCell ref="A22:A23"/>
    <mergeCell ref="AK22:AK23"/>
    <mergeCell ref="A24:A25"/>
    <mergeCell ref="AK24:AK25"/>
    <mergeCell ref="A14:A15"/>
    <mergeCell ref="AK14:AK15"/>
    <mergeCell ref="A16:A17"/>
    <mergeCell ref="AK16:AK17"/>
    <mergeCell ref="A18:A19"/>
    <mergeCell ref="AK18:AK19"/>
    <mergeCell ref="BP7:BP11"/>
    <mergeCell ref="BQ7:BQ11"/>
    <mergeCell ref="BR7:BR11"/>
    <mergeCell ref="AH7:AH11"/>
    <mergeCell ref="AI7:AI11"/>
    <mergeCell ref="AJ7:AJ11"/>
    <mergeCell ref="Y7:Y11"/>
    <mergeCell ref="Z7:Z11"/>
    <mergeCell ref="AA7:AA11"/>
    <mergeCell ref="AB7:AB11"/>
    <mergeCell ref="AC7:AC11"/>
    <mergeCell ref="AD7:AD11"/>
    <mergeCell ref="O7:O11"/>
    <mergeCell ref="P7:P11"/>
    <mergeCell ref="Q7:Q11"/>
    <mergeCell ref="R7:R11"/>
    <mergeCell ref="S7:S11"/>
    <mergeCell ref="T7:T11"/>
    <mergeCell ref="BS7:BS11"/>
    <mergeCell ref="A12:A13"/>
    <mergeCell ref="AK12:AK13"/>
    <mergeCell ref="BG7:BG11"/>
    <mergeCell ref="BI7:BI11"/>
    <mergeCell ref="BJ7:BJ11"/>
    <mergeCell ref="BK7:BK11"/>
    <mergeCell ref="BN7:BN11"/>
    <mergeCell ref="BO7:BO11"/>
    <mergeCell ref="AU7:AU11"/>
    <mergeCell ref="AX7:AX11"/>
    <mergeCell ref="AY7:AY11"/>
    <mergeCell ref="AZ7:AZ11"/>
    <mergeCell ref="BA7:BA11"/>
    <mergeCell ref="BB7:BB11"/>
    <mergeCell ref="AO7:AO11"/>
    <mergeCell ref="AP7:AP11"/>
    <mergeCell ref="AQ7:AQ11"/>
    <mergeCell ref="AR7:AR11"/>
    <mergeCell ref="AS7:AS11"/>
    <mergeCell ref="AT7:AT11"/>
    <mergeCell ref="AE7:AE11"/>
    <mergeCell ref="AF7:AF11"/>
    <mergeCell ref="AG7:AG11"/>
    <mergeCell ref="BI6:BK6"/>
    <mergeCell ref="BL6:BL11"/>
    <mergeCell ref="BM6:BM11"/>
    <mergeCell ref="BN6:BP6"/>
    <mergeCell ref="BQ6:BS6"/>
    <mergeCell ref="F7:F11"/>
    <mergeCell ref="G7:G11"/>
    <mergeCell ref="H7:H11"/>
    <mergeCell ref="I7:I11"/>
    <mergeCell ref="J7:J11"/>
    <mergeCell ref="AW6:AW11"/>
    <mergeCell ref="AX6:AZ6"/>
    <mergeCell ref="BA6:BC6"/>
    <mergeCell ref="BD6:BE6"/>
    <mergeCell ref="BF6:BG6"/>
    <mergeCell ref="BH6:BH11"/>
    <mergeCell ref="BC7:BC11"/>
    <mergeCell ref="BD7:BD11"/>
    <mergeCell ref="BE7:BE11"/>
    <mergeCell ref="BF7:BF11"/>
    <mergeCell ref="U6:AF6"/>
    <mergeCell ref="AG6:AJ6"/>
    <mergeCell ref="AK6:AN11"/>
    <mergeCell ref="AO6:AR6"/>
    <mergeCell ref="AS6:AU6"/>
    <mergeCell ref="AV6:AV11"/>
    <mergeCell ref="U7:U11"/>
    <mergeCell ref="V7:V11"/>
    <mergeCell ref="W7:W11"/>
    <mergeCell ref="X7:X11"/>
    <mergeCell ref="A6:D11"/>
    <mergeCell ref="E6:E11"/>
    <mergeCell ref="F6:K6"/>
    <mergeCell ref="L6:N6"/>
    <mergeCell ref="O6:Q6"/>
    <mergeCell ref="R6:T6"/>
    <mergeCell ref="K7:K11"/>
    <mergeCell ref="L7:L11"/>
    <mergeCell ref="M7:M11"/>
    <mergeCell ref="N7:N11"/>
    <mergeCell ref="A2:B2"/>
    <mergeCell ref="AE2:AF2"/>
    <mergeCell ref="AG2:AJ2"/>
    <mergeCell ref="AK2:AL2"/>
    <mergeCell ref="BN2:BO2"/>
    <mergeCell ref="BP2:BS2"/>
    <mergeCell ref="A1:B1"/>
    <mergeCell ref="AE1:AF1"/>
    <mergeCell ref="AG1:AJ1"/>
    <mergeCell ref="AK1:AL1"/>
    <mergeCell ref="BN1:BO1"/>
    <mergeCell ref="BP1:BS1"/>
  </mergeCells>
  <phoneticPr fontId="5" type="noConversion"/>
  <printOptions horizontalCentered="1"/>
  <pageMargins left="0.35433070866141736" right="0.35433070866141736" top="0.98425196850393704" bottom="0.78740157480314965" header="0" footer="0"/>
  <pageSetup paperSize="8" scale="60" firstPageNumber="41"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M61"/>
  <sheetViews>
    <sheetView zoomScale="80" zoomScaleNormal="80" workbookViewId="0">
      <selection sqref="A1:B1"/>
    </sheetView>
  </sheetViews>
  <sheetFormatPr defaultColWidth="9.6640625" defaultRowHeight="10.199999999999999" x14ac:dyDescent="0.25"/>
  <cols>
    <col min="1" max="1" width="18" style="1" customWidth="1"/>
    <col min="2" max="2" width="3" style="1" customWidth="1"/>
    <col min="3" max="3" width="26" style="1" customWidth="1"/>
    <col min="4" max="4" width="3" style="1" customWidth="1"/>
    <col min="5" max="5" width="15.6640625" style="1" customWidth="1"/>
    <col min="6" max="36" width="14" style="1" customWidth="1"/>
    <col min="37" max="37" width="19.83203125" style="1" customWidth="1"/>
    <col min="38" max="38" width="3" style="1" customWidth="1"/>
    <col min="39" max="39" width="26" style="1" customWidth="1"/>
    <col min="40" max="40" width="3" style="1" customWidth="1"/>
    <col min="41" max="71" width="14" style="1" customWidth="1"/>
    <col min="72" max="16384" width="9.6640625" style="1"/>
  </cols>
  <sheetData>
    <row r="1" spans="1:73" s="37" customFormat="1" ht="16.5"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E1" s="207" t="s">
        <v>45</v>
      </c>
      <c r="AF1" s="207"/>
      <c r="AG1" s="142" t="s">
        <v>46</v>
      </c>
      <c r="AH1" s="142"/>
      <c r="AI1" s="142"/>
      <c r="AJ1" s="142"/>
      <c r="AK1" s="161" t="s">
        <v>44</v>
      </c>
      <c r="AL1" s="162"/>
      <c r="AM1" s="35"/>
      <c r="AN1" s="36"/>
      <c r="AO1" s="36"/>
      <c r="AP1" s="5"/>
      <c r="AQ1" s="5"/>
      <c r="AR1" s="5"/>
      <c r="AS1" s="5"/>
      <c r="AT1" s="5"/>
      <c r="AU1" s="5"/>
      <c r="AV1" s="5"/>
      <c r="AW1" s="5"/>
      <c r="AX1" s="5"/>
      <c r="AY1" s="5"/>
      <c r="AZ1" s="5"/>
      <c r="BA1" s="5"/>
      <c r="BB1" s="5"/>
      <c r="BC1" s="5"/>
      <c r="BD1" s="5"/>
      <c r="BE1" s="5"/>
      <c r="BF1" s="5"/>
      <c r="BG1" s="5"/>
      <c r="BH1" s="5"/>
      <c r="BI1" s="5"/>
      <c r="BJ1" s="5"/>
      <c r="BK1" s="5"/>
      <c r="BL1" s="38"/>
      <c r="BN1" s="207" t="s">
        <v>45</v>
      </c>
      <c r="BO1" s="207"/>
      <c r="BP1" s="142" t="s">
        <v>46</v>
      </c>
      <c r="BQ1" s="142"/>
      <c r="BR1" s="142"/>
      <c r="BS1" s="142"/>
      <c r="BT1" s="38"/>
      <c r="BU1" s="38"/>
    </row>
    <row r="2" spans="1:73" s="37" customFormat="1" ht="17.25" customHeight="1" x14ac:dyDescent="0.3">
      <c r="A2" s="163" t="s">
        <v>391</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208" t="s">
        <v>392</v>
      </c>
      <c r="AF2" s="208"/>
      <c r="AG2" s="208" t="s">
        <v>10</v>
      </c>
      <c r="AH2" s="208"/>
      <c r="AI2" s="208"/>
      <c r="AJ2" s="208"/>
      <c r="AK2" s="163" t="s">
        <v>391</v>
      </c>
      <c r="AL2" s="164"/>
      <c r="AM2" s="39" t="s">
        <v>47</v>
      </c>
      <c r="AN2" s="40"/>
      <c r="AO2" s="40"/>
      <c r="AP2" s="33"/>
      <c r="AQ2" s="33"/>
      <c r="AR2" s="33"/>
      <c r="AS2" s="33"/>
      <c r="AT2" s="33"/>
      <c r="AU2" s="33"/>
      <c r="AV2" s="33"/>
      <c r="AW2" s="33"/>
      <c r="AX2" s="33"/>
      <c r="AY2" s="33"/>
      <c r="AZ2" s="33"/>
      <c r="BA2" s="33"/>
      <c r="BB2" s="33"/>
      <c r="BC2" s="33"/>
      <c r="BD2" s="33"/>
      <c r="BE2" s="33"/>
      <c r="BF2" s="33"/>
      <c r="BG2" s="33"/>
      <c r="BH2" s="33"/>
      <c r="BI2" s="33"/>
      <c r="BJ2" s="33"/>
      <c r="BK2" s="33"/>
      <c r="BL2" s="42"/>
      <c r="BM2" s="41"/>
      <c r="BN2" s="208" t="s">
        <v>392</v>
      </c>
      <c r="BO2" s="208"/>
      <c r="BP2" s="208" t="s">
        <v>10</v>
      </c>
      <c r="BQ2" s="208"/>
      <c r="BR2" s="208"/>
      <c r="BS2" s="208"/>
      <c r="BT2" s="43"/>
      <c r="BU2" s="43"/>
    </row>
    <row r="3" spans="1:73" s="37" customFormat="1" ht="6.6" customHeight="1" x14ac:dyDescent="0.25">
      <c r="A3" s="209"/>
      <c r="B3" s="36"/>
      <c r="C3" s="36"/>
      <c r="D3" s="36"/>
      <c r="E3" s="36"/>
      <c r="F3" s="36"/>
      <c r="G3" s="36"/>
      <c r="H3" s="36"/>
      <c r="I3" s="36"/>
      <c r="J3" s="36"/>
      <c r="K3" s="36"/>
      <c r="L3" s="36"/>
      <c r="M3" s="36"/>
      <c r="N3" s="36"/>
      <c r="O3" s="36"/>
      <c r="P3" s="36"/>
      <c r="Q3" s="36"/>
      <c r="R3" s="36"/>
      <c r="S3" s="36"/>
      <c r="T3" s="36"/>
      <c r="U3" s="1"/>
      <c r="V3" s="1"/>
      <c r="W3" s="1"/>
      <c r="X3" s="1"/>
      <c r="Y3" s="1"/>
      <c r="Z3" s="1"/>
      <c r="AA3" s="1"/>
      <c r="AB3" s="1"/>
      <c r="AC3" s="1"/>
      <c r="AD3" s="1"/>
      <c r="AE3" s="1"/>
      <c r="AF3" s="1"/>
      <c r="AG3" s="1"/>
      <c r="AH3" s="1"/>
      <c r="AI3" s="1"/>
      <c r="AJ3" s="1"/>
      <c r="AK3" s="209"/>
      <c r="AL3" s="36"/>
      <c r="AM3" s="36"/>
      <c r="AN3" s="36"/>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210"/>
      <c r="BU3" s="211"/>
    </row>
    <row r="4" spans="1:73" s="212" customFormat="1" ht="25.5" customHeight="1" x14ac:dyDescent="0.25">
      <c r="B4" s="213"/>
      <c r="C4" s="213"/>
      <c r="D4" s="213"/>
      <c r="E4" s="213"/>
      <c r="F4" s="213"/>
      <c r="G4" s="213"/>
      <c r="H4" s="213"/>
      <c r="I4" s="213"/>
      <c r="K4" s="213"/>
      <c r="M4" s="213"/>
      <c r="O4" s="213"/>
      <c r="P4" s="214" t="s">
        <v>384</v>
      </c>
      <c r="Q4" s="213"/>
      <c r="R4" s="213"/>
      <c r="S4" s="213"/>
      <c r="T4" s="213"/>
      <c r="U4" s="215"/>
      <c r="V4" s="215"/>
      <c r="W4" s="215"/>
      <c r="X4" s="215"/>
      <c r="Y4" s="215"/>
      <c r="Z4" s="215"/>
      <c r="AA4" s="216"/>
      <c r="AB4" s="216"/>
      <c r="AC4" s="216"/>
      <c r="AD4" s="216"/>
      <c r="AE4" s="216"/>
      <c r="AF4" s="216"/>
      <c r="AG4" s="216"/>
      <c r="AH4" s="216"/>
      <c r="AI4" s="216"/>
      <c r="AJ4" s="216"/>
      <c r="AL4" s="213"/>
      <c r="AM4" s="213"/>
      <c r="AN4" s="213"/>
      <c r="AO4" s="215"/>
      <c r="AP4" s="215"/>
      <c r="AQ4" s="215"/>
      <c r="AR4" s="215"/>
      <c r="AS4" s="215"/>
      <c r="AT4" s="216"/>
      <c r="AU4" s="217"/>
      <c r="AV4" s="217"/>
      <c r="AY4" s="214" t="s">
        <v>393</v>
      </c>
      <c r="AZ4" s="217"/>
      <c r="BA4" s="217"/>
      <c r="BB4" s="217"/>
      <c r="BC4" s="215"/>
      <c r="BD4" s="215"/>
      <c r="BE4" s="215"/>
      <c r="BF4" s="215"/>
      <c r="BG4" s="215"/>
      <c r="BH4" s="215"/>
      <c r="BI4" s="216"/>
      <c r="BJ4" s="217"/>
      <c r="BK4" s="217"/>
      <c r="BL4" s="217"/>
      <c r="BM4" s="217"/>
      <c r="BN4" s="217"/>
      <c r="BO4" s="217"/>
      <c r="BP4" s="217"/>
      <c r="BQ4" s="217"/>
      <c r="BR4" s="217"/>
      <c r="BS4" s="217"/>
      <c r="BT4" s="218"/>
      <c r="BU4" s="218"/>
    </row>
    <row r="5" spans="1:73" s="221" customFormat="1" ht="18.600000000000001" customHeight="1" x14ac:dyDescent="0.25">
      <c r="A5" s="219"/>
      <c r="B5" s="220"/>
      <c r="C5" s="220"/>
      <c r="D5" s="108"/>
      <c r="E5" s="108"/>
      <c r="F5" s="108"/>
      <c r="G5" s="108"/>
      <c r="H5" s="108"/>
      <c r="I5" s="108"/>
      <c r="J5" s="108"/>
      <c r="K5" s="108"/>
      <c r="L5" s="108"/>
      <c r="M5" s="108"/>
      <c r="N5" s="108"/>
      <c r="O5" s="220"/>
      <c r="P5" s="108"/>
      <c r="Q5" s="220"/>
      <c r="R5" s="108"/>
      <c r="S5" s="67" t="s">
        <v>416</v>
      </c>
      <c r="T5" s="108"/>
      <c r="U5" s="109"/>
      <c r="V5" s="109"/>
      <c r="W5" s="109"/>
      <c r="X5" s="110"/>
      <c r="Y5" s="111"/>
      <c r="Z5" s="109"/>
      <c r="AA5" s="109"/>
      <c r="AB5" s="109"/>
      <c r="AC5" s="109"/>
      <c r="AD5" s="109"/>
      <c r="AE5" s="109"/>
      <c r="AF5" s="109"/>
      <c r="AH5" s="109"/>
      <c r="AI5" s="33"/>
      <c r="AJ5" s="45" t="s">
        <v>48</v>
      </c>
      <c r="AK5" s="219"/>
      <c r="AL5" s="220"/>
      <c r="AM5" s="220"/>
      <c r="AN5" s="108"/>
      <c r="AO5" s="45"/>
      <c r="AP5" s="109"/>
      <c r="AQ5" s="109"/>
      <c r="AR5" s="109"/>
      <c r="AS5" s="109"/>
      <c r="AT5" s="109"/>
      <c r="AU5" s="109"/>
      <c r="AV5" s="109"/>
      <c r="AW5" s="109"/>
      <c r="AX5" s="109"/>
      <c r="AY5" s="109"/>
      <c r="AZ5" s="33"/>
      <c r="BA5" s="44" t="s">
        <v>416</v>
      </c>
      <c r="BB5" s="45"/>
      <c r="BC5" s="45"/>
      <c r="BD5" s="112"/>
      <c r="BE5" s="112"/>
      <c r="BF5" s="111"/>
      <c r="BG5" s="109"/>
      <c r="BH5" s="109"/>
      <c r="BI5" s="109"/>
      <c r="BJ5" s="109"/>
      <c r="BK5" s="109"/>
      <c r="BL5" s="109"/>
      <c r="BM5" s="111"/>
      <c r="BN5" s="111"/>
      <c r="BO5" s="111"/>
      <c r="BP5" s="111"/>
      <c r="BQ5" s="111"/>
      <c r="BR5" s="37"/>
      <c r="BS5" s="45" t="s">
        <v>48</v>
      </c>
      <c r="BT5" s="37"/>
    </row>
    <row r="6" spans="1:73" s="15" customFormat="1" ht="21.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38" t="s">
        <v>147</v>
      </c>
      <c r="V6" s="138"/>
      <c r="W6" s="138"/>
      <c r="X6" s="138"/>
      <c r="Y6" s="138"/>
      <c r="Z6" s="138"/>
      <c r="AA6" s="138"/>
      <c r="AB6" s="138"/>
      <c r="AC6" s="138"/>
      <c r="AD6" s="138"/>
      <c r="AE6" s="138"/>
      <c r="AF6" s="138"/>
      <c r="AG6" s="145" t="s">
        <v>148</v>
      </c>
      <c r="AH6" s="146"/>
      <c r="AI6" s="146"/>
      <c r="AJ6" s="146"/>
      <c r="AK6" s="222" t="s">
        <v>144</v>
      </c>
      <c r="AL6" s="222"/>
      <c r="AM6" s="222"/>
      <c r="AN6" s="223"/>
      <c r="AO6" s="145" t="s">
        <v>148</v>
      </c>
      <c r="AP6" s="146"/>
      <c r="AQ6" s="146"/>
      <c r="AR6" s="147"/>
      <c r="AS6" s="141" t="s">
        <v>149</v>
      </c>
      <c r="AT6" s="141"/>
      <c r="AU6" s="141"/>
      <c r="AV6" s="140" t="s">
        <v>395</v>
      </c>
      <c r="AW6" s="140" t="s">
        <v>150</v>
      </c>
      <c r="AX6" s="141" t="s">
        <v>58</v>
      </c>
      <c r="AY6" s="141"/>
      <c r="AZ6" s="141"/>
      <c r="BA6" s="142" t="s">
        <v>59</v>
      </c>
      <c r="BB6" s="142"/>
      <c r="BC6" s="143"/>
      <c r="BD6" s="144" t="s">
        <v>60</v>
      </c>
      <c r="BE6" s="144"/>
      <c r="BF6" s="144" t="s">
        <v>151</v>
      </c>
      <c r="BG6" s="144"/>
      <c r="BH6" s="140" t="s">
        <v>198</v>
      </c>
      <c r="BI6" s="144" t="s">
        <v>63</v>
      </c>
      <c r="BJ6" s="144"/>
      <c r="BK6" s="144"/>
      <c r="BL6" s="140" t="s">
        <v>152</v>
      </c>
      <c r="BM6" s="140" t="s">
        <v>153</v>
      </c>
      <c r="BN6" s="141" t="s">
        <v>97</v>
      </c>
      <c r="BO6" s="149"/>
      <c r="BP6" s="149"/>
      <c r="BQ6" s="149" t="s">
        <v>65</v>
      </c>
      <c r="BR6" s="143"/>
      <c r="BS6" s="151"/>
    </row>
    <row r="7" spans="1:73" s="15" customFormat="1" ht="24.9" customHeight="1" x14ac:dyDescent="0.25">
      <c r="A7" s="125"/>
      <c r="B7" s="125"/>
      <c r="C7" s="125"/>
      <c r="D7" s="125"/>
      <c r="E7" s="136"/>
      <c r="F7" s="139" t="s">
        <v>154</v>
      </c>
      <c r="G7" s="139" t="s">
        <v>155</v>
      </c>
      <c r="H7" s="139" t="s">
        <v>230</v>
      </c>
      <c r="I7" s="139" t="s">
        <v>199</v>
      </c>
      <c r="J7" s="139" t="s">
        <v>66</v>
      </c>
      <c r="K7" s="139" t="s">
        <v>200</v>
      </c>
      <c r="L7" s="139" t="s">
        <v>156</v>
      </c>
      <c r="M7" s="139" t="s">
        <v>396</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9" t="s">
        <v>99</v>
      </c>
      <c r="AC7" s="139" t="s">
        <v>114</v>
      </c>
      <c r="AD7" s="139" t="s">
        <v>162</v>
      </c>
      <c r="AE7" s="139" t="s">
        <v>137</v>
      </c>
      <c r="AF7" s="139" t="s">
        <v>100</v>
      </c>
      <c r="AG7" s="139" t="s">
        <v>122</v>
      </c>
      <c r="AH7" s="139" t="s">
        <v>163</v>
      </c>
      <c r="AI7" s="139" t="s">
        <v>164</v>
      </c>
      <c r="AJ7" s="139" t="s">
        <v>165</v>
      </c>
      <c r="AK7" s="224"/>
      <c r="AL7" s="125"/>
      <c r="AM7" s="125"/>
      <c r="AN7" s="225"/>
      <c r="AO7" s="139" t="s">
        <v>166</v>
      </c>
      <c r="AP7" s="139" t="s">
        <v>167</v>
      </c>
      <c r="AQ7" s="139" t="s">
        <v>168</v>
      </c>
      <c r="AR7" s="154" t="s">
        <v>232</v>
      </c>
      <c r="AS7" s="155" t="s">
        <v>169</v>
      </c>
      <c r="AT7" s="157" t="s">
        <v>397</v>
      </c>
      <c r="AU7" s="226" t="s">
        <v>398</v>
      </c>
      <c r="AV7" s="140"/>
      <c r="AW7" s="140"/>
      <c r="AX7" s="140" t="s">
        <v>170</v>
      </c>
      <c r="AY7" s="140" t="s">
        <v>171</v>
      </c>
      <c r="AZ7" s="140" t="s">
        <v>399</v>
      </c>
      <c r="BA7" s="140" t="s">
        <v>105</v>
      </c>
      <c r="BB7" s="140" t="s">
        <v>172</v>
      </c>
      <c r="BC7" s="140" t="s">
        <v>234</v>
      </c>
      <c r="BD7" s="140" t="s">
        <v>400</v>
      </c>
      <c r="BE7" s="140" t="s">
        <v>173</v>
      </c>
      <c r="BF7" s="140" t="s">
        <v>110</v>
      </c>
      <c r="BG7" s="140" t="s">
        <v>236</v>
      </c>
      <c r="BH7" s="140"/>
      <c r="BI7" s="140" t="s">
        <v>237</v>
      </c>
      <c r="BJ7" s="140" t="s">
        <v>174</v>
      </c>
      <c r="BK7" s="140" t="s">
        <v>238</v>
      </c>
      <c r="BL7" s="140"/>
      <c r="BM7" s="140"/>
      <c r="BN7" s="140" t="s">
        <v>239</v>
      </c>
      <c r="BO7" s="140" t="s">
        <v>240</v>
      </c>
      <c r="BP7" s="140" t="s">
        <v>401</v>
      </c>
      <c r="BQ7" s="140" t="s">
        <v>112</v>
      </c>
      <c r="BR7" s="140" t="s">
        <v>175</v>
      </c>
      <c r="BS7" s="150" t="s">
        <v>241</v>
      </c>
    </row>
    <row r="8" spans="1:73" s="15" customFormat="1" ht="24.9"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224"/>
      <c r="AL8" s="125"/>
      <c r="AM8" s="125"/>
      <c r="AN8" s="225"/>
      <c r="AO8" s="139"/>
      <c r="AP8" s="139"/>
      <c r="AQ8" s="139"/>
      <c r="AR8" s="154"/>
      <c r="AS8" s="156"/>
      <c r="AT8" s="227"/>
      <c r="AU8" s="228"/>
      <c r="AV8" s="140"/>
      <c r="AW8" s="140"/>
      <c r="AX8" s="140"/>
      <c r="AY8" s="140"/>
      <c r="AZ8" s="140"/>
      <c r="BA8" s="152"/>
      <c r="BB8" s="140"/>
      <c r="BC8" s="140"/>
      <c r="BD8" s="143"/>
      <c r="BE8" s="143"/>
      <c r="BF8" s="152"/>
      <c r="BG8" s="140"/>
      <c r="BH8" s="140"/>
      <c r="BI8" s="153"/>
      <c r="BJ8" s="153"/>
      <c r="BK8" s="152"/>
      <c r="BL8" s="140"/>
      <c r="BM8" s="140"/>
      <c r="BN8" s="140"/>
      <c r="BO8" s="140"/>
      <c r="BP8" s="152"/>
      <c r="BQ8" s="152"/>
      <c r="BR8" s="140"/>
      <c r="BS8" s="150"/>
    </row>
    <row r="9" spans="1:73" s="15" customFormat="1" ht="24.9"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224"/>
      <c r="AL9" s="125"/>
      <c r="AM9" s="125"/>
      <c r="AN9" s="225"/>
      <c r="AO9" s="139"/>
      <c r="AP9" s="139"/>
      <c r="AQ9" s="139"/>
      <c r="AR9" s="154"/>
      <c r="AS9" s="156"/>
      <c r="AT9" s="227"/>
      <c r="AU9" s="228"/>
      <c r="AV9" s="140"/>
      <c r="AW9" s="140"/>
      <c r="AX9" s="140"/>
      <c r="AY9" s="140"/>
      <c r="AZ9" s="140"/>
      <c r="BA9" s="152"/>
      <c r="BB9" s="140"/>
      <c r="BC9" s="140"/>
      <c r="BD9" s="143"/>
      <c r="BE9" s="143"/>
      <c r="BF9" s="152"/>
      <c r="BG9" s="140"/>
      <c r="BH9" s="140"/>
      <c r="BI9" s="153"/>
      <c r="BJ9" s="153"/>
      <c r="BK9" s="152"/>
      <c r="BL9" s="140"/>
      <c r="BM9" s="140"/>
      <c r="BN9" s="140"/>
      <c r="BO9" s="140"/>
      <c r="BP9" s="152"/>
      <c r="BQ9" s="152"/>
      <c r="BR9" s="140"/>
      <c r="BS9" s="150"/>
    </row>
    <row r="10" spans="1:73" s="15" customFormat="1" ht="24.9"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224"/>
      <c r="AL10" s="125"/>
      <c r="AM10" s="125"/>
      <c r="AN10" s="225"/>
      <c r="AO10" s="139"/>
      <c r="AP10" s="139"/>
      <c r="AQ10" s="139"/>
      <c r="AR10" s="154"/>
      <c r="AS10" s="156"/>
      <c r="AT10" s="227"/>
      <c r="AU10" s="228"/>
      <c r="AV10" s="140"/>
      <c r="AW10" s="140"/>
      <c r="AX10" s="140"/>
      <c r="AY10" s="140"/>
      <c r="AZ10" s="140"/>
      <c r="BA10" s="152"/>
      <c r="BB10" s="140"/>
      <c r="BC10" s="140"/>
      <c r="BD10" s="143"/>
      <c r="BE10" s="143"/>
      <c r="BF10" s="152"/>
      <c r="BG10" s="140"/>
      <c r="BH10" s="140"/>
      <c r="BI10" s="153"/>
      <c r="BJ10" s="153"/>
      <c r="BK10" s="152"/>
      <c r="BL10" s="140"/>
      <c r="BM10" s="140"/>
      <c r="BN10" s="140"/>
      <c r="BO10" s="140"/>
      <c r="BP10" s="152"/>
      <c r="BQ10" s="152"/>
      <c r="BR10" s="140"/>
      <c r="BS10" s="150"/>
    </row>
    <row r="11" spans="1:73" s="15" customFormat="1" ht="24.9"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229"/>
      <c r="AL11" s="134"/>
      <c r="AM11" s="134"/>
      <c r="AN11" s="230"/>
      <c r="AO11" s="139"/>
      <c r="AP11" s="139"/>
      <c r="AQ11" s="139"/>
      <c r="AR11" s="154"/>
      <c r="AS11" s="156"/>
      <c r="AT11" s="227"/>
      <c r="AU11" s="228"/>
      <c r="AV11" s="140"/>
      <c r="AW11" s="140"/>
      <c r="AX11" s="140"/>
      <c r="AY11" s="140"/>
      <c r="AZ11" s="140"/>
      <c r="BA11" s="152"/>
      <c r="BB11" s="140"/>
      <c r="BC11" s="140"/>
      <c r="BD11" s="143"/>
      <c r="BE11" s="143"/>
      <c r="BF11" s="152"/>
      <c r="BG11" s="140"/>
      <c r="BH11" s="140"/>
      <c r="BI11" s="153"/>
      <c r="BJ11" s="153"/>
      <c r="BK11" s="152"/>
      <c r="BL11" s="140"/>
      <c r="BM11" s="140"/>
      <c r="BN11" s="140"/>
      <c r="BO11" s="140"/>
      <c r="BP11" s="152"/>
      <c r="BQ11" s="152"/>
      <c r="BR11" s="140"/>
      <c r="BS11" s="150"/>
    </row>
    <row r="12" spans="1:73" s="15" customFormat="1" ht="18.600000000000001" customHeight="1" x14ac:dyDescent="0.25">
      <c r="A12" s="231" t="s">
        <v>402</v>
      </c>
      <c r="B12" s="107"/>
      <c r="C12" s="232" t="s">
        <v>403</v>
      </c>
      <c r="D12" s="233"/>
      <c r="E12" s="16">
        <f t="shared" ref="E12:E57" si="0">SUM(F12:BS12)</f>
        <v>591905</v>
      </c>
      <c r="F12" s="16">
        <f>F14+F16+F18+F20+F22+F24+F26+F28+F30+F32+F34+F36+F38+F40+F42+F44+F46+F48+F50+F52+F54+F56</f>
        <v>1954</v>
      </c>
      <c r="G12" s="16">
        <f t="shared" ref="G12:BS13" si="1">G14+G16+G18+G20+G22+G24+G26+G28+G30+G32+G34+G36+G38+G40+G42+G44+G46+G48+G50+G52+G54+G56</f>
        <v>1127</v>
      </c>
      <c r="H12" s="16">
        <f t="shared" si="1"/>
        <v>1014</v>
      </c>
      <c r="I12" s="16">
        <f t="shared" si="1"/>
        <v>97</v>
      </c>
      <c r="J12" s="16">
        <f t="shared" si="1"/>
        <v>327</v>
      </c>
      <c r="K12" s="16">
        <f t="shared" si="1"/>
        <v>2169</v>
      </c>
      <c r="L12" s="16">
        <f t="shared" si="1"/>
        <v>88577</v>
      </c>
      <c r="M12" s="16">
        <f t="shared" si="1"/>
        <v>37376</v>
      </c>
      <c r="N12" s="16">
        <f t="shared" si="1"/>
        <v>1228</v>
      </c>
      <c r="O12" s="16">
        <f t="shared" si="1"/>
        <v>1555</v>
      </c>
      <c r="P12" s="16">
        <f t="shared" si="1"/>
        <v>1558</v>
      </c>
      <c r="Q12" s="16">
        <f t="shared" si="1"/>
        <v>8</v>
      </c>
      <c r="R12" s="16">
        <f t="shared" si="1"/>
        <v>8069</v>
      </c>
      <c r="S12" s="16">
        <f t="shared" si="1"/>
        <v>8505</v>
      </c>
      <c r="T12" s="16">
        <f t="shared" si="1"/>
        <v>1346</v>
      </c>
      <c r="U12" s="16">
        <f t="shared" si="1"/>
        <v>4729</v>
      </c>
      <c r="V12" s="16">
        <f t="shared" si="1"/>
        <v>9087</v>
      </c>
      <c r="W12" s="16">
        <f t="shared" si="1"/>
        <v>1589</v>
      </c>
      <c r="X12" s="16">
        <f t="shared" si="1"/>
        <v>465</v>
      </c>
      <c r="Y12" s="16">
        <f t="shared" si="1"/>
        <v>1867</v>
      </c>
      <c r="Z12" s="16">
        <f t="shared" si="1"/>
        <v>13915</v>
      </c>
      <c r="AA12" s="16">
        <f t="shared" si="1"/>
        <v>9241</v>
      </c>
      <c r="AB12" s="16">
        <f t="shared" si="1"/>
        <v>2018</v>
      </c>
      <c r="AC12" s="16">
        <f t="shared" si="1"/>
        <v>9340</v>
      </c>
      <c r="AD12" s="16">
        <f t="shared" si="1"/>
        <v>74631</v>
      </c>
      <c r="AE12" s="16">
        <f t="shared" si="1"/>
        <v>66919</v>
      </c>
      <c r="AF12" s="16">
        <f t="shared" si="1"/>
        <v>0</v>
      </c>
      <c r="AG12" s="16">
        <f t="shared" si="1"/>
        <v>20805</v>
      </c>
      <c r="AH12" s="16">
        <f t="shared" si="1"/>
        <v>1277</v>
      </c>
      <c r="AI12" s="16">
        <f t="shared" si="1"/>
        <v>57</v>
      </c>
      <c r="AJ12" s="16">
        <f t="shared" si="1"/>
        <v>3031</v>
      </c>
      <c r="AK12" s="231" t="s">
        <v>402</v>
      </c>
      <c r="AL12" s="107"/>
      <c r="AM12" s="232" t="s">
        <v>403</v>
      </c>
      <c r="AN12" s="233"/>
      <c r="AO12" s="113">
        <f t="shared" ref="AO12:AR13" si="2">AO14+AO16+AO18+AO20+AO22+AO24+AO26+AO28+AO30+AO32+AO34+AO36+AO38+AO40+AO42+AO44+AO46+AO48+AO50+AO52+AO54+AO56</f>
        <v>1141</v>
      </c>
      <c r="AP12" s="113">
        <f t="shared" si="2"/>
        <v>0</v>
      </c>
      <c r="AQ12" s="113">
        <f t="shared" si="2"/>
        <v>4295</v>
      </c>
      <c r="AR12" s="113">
        <f t="shared" si="2"/>
        <v>4053</v>
      </c>
      <c r="AS12" s="113">
        <f t="shared" si="1"/>
        <v>267</v>
      </c>
      <c r="AT12" s="113">
        <f t="shared" si="1"/>
        <v>49</v>
      </c>
      <c r="AU12" s="113">
        <f t="shared" si="1"/>
        <v>589</v>
      </c>
      <c r="AV12" s="113">
        <f t="shared" si="1"/>
        <v>8312</v>
      </c>
      <c r="AW12" s="113">
        <f t="shared" si="1"/>
        <v>3486</v>
      </c>
      <c r="AX12" s="113">
        <f t="shared" si="1"/>
        <v>2499</v>
      </c>
      <c r="AY12" s="113">
        <f t="shared" si="1"/>
        <v>37437</v>
      </c>
      <c r="AZ12" s="113">
        <f t="shared" si="1"/>
        <v>9080</v>
      </c>
      <c r="BA12" s="113">
        <f t="shared" si="1"/>
        <v>238</v>
      </c>
      <c r="BB12" s="113">
        <f t="shared" si="1"/>
        <v>22703</v>
      </c>
      <c r="BC12" s="113">
        <f t="shared" si="1"/>
        <v>1116</v>
      </c>
      <c r="BD12" s="113">
        <f t="shared" si="1"/>
        <v>1050</v>
      </c>
      <c r="BE12" s="113">
        <f t="shared" si="1"/>
        <v>1550</v>
      </c>
      <c r="BF12" s="113">
        <f t="shared" si="1"/>
        <v>683</v>
      </c>
      <c r="BG12" s="113">
        <f t="shared" si="1"/>
        <v>393</v>
      </c>
      <c r="BH12" s="113">
        <f t="shared" si="1"/>
        <v>183</v>
      </c>
      <c r="BI12" s="113">
        <f t="shared" si="1"/>
        <v>9356</v>
      </c>
      <c r="BJ12" s="113">
        <f t="shared" si="1"/>
        <v>13150</v>
      </c>
      <c r="BK12" s="113">
        <f t="shared" si="1"/>
        <v>25423</v>
      </c>
      <c r="BL12" s="113">
        <f t="shared" si="1"/>
        <v>1606</v>
      </c>
      <c r="BM12" s="113">
        <f t="shared" si="1"/>
        <v>1971</v>
      </c>
      <c r="BN12" s="113">
        <f t="shared" si="1"/>
        <v>40473</v>
      </c>
      <c r="BO12" s="113">
        <f t="shared" si="1"/>
        <v>6667</v>
      </c>
      <c r="BP12" s="113">
        <f t="shared" si="1"/>
        <v>13798</v>
      </c>
      <c r="BQ12" s="113">
        <f t="shared" si="1"/>
        <v>116</v>
      </c>
      <c r="BR12" s="113">
        <f t="shared" si="1"/>
        <v>12</v>
      </c>
      <c r="BS12" s="113">
        <f t="shared" si="1"/>
        <v>6328</v>
      </c>
    </row>
    <row r="13" spans="1:73" s="15" customFormat="1" ht="18.600000000000001" customHeight="1" x14ac:dyDescent="0.25">
      <c r="A13" s="231"/>
      <c r="B13" s="3"/>
      <c r="C13" s="234" t="s">
        <v>404</v>
      </c>
      <c r="D13" s="235"/>
      <c r="E13" s="16">
        <f t="shared" si="0"/>
        <v>1435</v>
      </c>
      <c r="F13" s="26">
        <f>F15+F17+F19+F21+F23+F25+F27+F29+F31+F33+F35+F37+F39+F41+F43+F45+F47+F49+F51+F53+F55+F57</f>
        <v>4</v>
      </c>
      <c r="G13" s="26">
        <f t="shared" si="1"/>
        <v>0</v>
      </c>
      <c r="H13" s="26">
        <f t="shared" si="1"/>
        <v>1</v>
      </c>
      <c r="I13" s="26">
        <f t="shared" si="1"/>
        <v>0</v>
      </c>
      <c r="J13" s="26">
        <f t="shared" si="1"/>
        <v>1</v>
      </c>
      <c r="K13" s="26">
        <f t="shared" si="1"/>
        <v>4</v>
      </c>
      <c r="L13" s="26">
        <f t="shared" si="1"/>
        <v>33</v>
      </c>
      <c r="M13" s="26">
        <f t="shared" si="1"/>
        <v>44</v>
      </c>
      <c r="N13" s="26">
        <f t="shared" si="1"/>
        <v>0</v>
      </c>
      <c r="O13" s="26">
        <f t="shared" si="1"/>
        <v>6</v>
      </c>
      <c r="P13" s="26">
        <f t="shared" si="1"/>
        <v>15</v>
      </c>
      <c r="Q13" s="26">
        <f t="shared" si="1"/>
        <v>0</v>
      </c>
      <c r="R13" s="26">
        <f t="shared" si="1"/>
        <v>33</v>
      </c>
      <c r="S13" s="26">
        <f t="shared" si="1"/>
        <v>31</v>
      </c>
      <c r="T13" s="26">
        <f t="shared" si="1"/>
        <v>2</v>
      </c>
      <c r="U13" s="26">
        <f t="shared" si="1"/>
        <v>12</v>
      </c>
      <c r="V13" s="26">
        <f t="shared" si="1"/>
        <v>64</v>
      </c>
      <c r="W13" s="26">
        <f t="shared" si="1"/>
        <v>3</v>
      </c>
      <c r="X13" s="26">
        <f t="shared" si="1"/>
        <v>0</v>
      </c>
      <c r="Y13" s="26">
        <f t="shared" si="1"/>
        <v>5</v>
      </c>
      <c r="Z13" s="26">
        <f t="shared" si="1"/>
        <v>12</v>
      </c>
      <c r="AA13" s="26">
        <f t="shared" si="1"/>
        <v>16</v>
      </c>
      <c r="AB13" s="26">
        <f t="shared" si="1"/>
        <v>35</v>
      </c>
      <c r="AC13" s="26">
        <f t="shared" si="1"/>
        <v>30</v>
      </c>
      <c r="AD13" s="26">
        <f t="shared" si="1"/>
        <v>88</v>
      </c>
      <c r="AE13" s="26">
        <f t="shared" si="1"/>
        <v>28</v>
      </c>
      <c r="AF13" s="26">
        <f t="shared" si="1"/>
        <v>0</v>
      </c>
      <c r="AG13" s="26">
        <f t="shared" si="1"/>
        <v>370</v>
      </c>
      <c r="AH13" s="26">
        <f t="shared" si="1"/>
        <v>2</v>
      </c>
      <c r="AI13" s="26">
        <f t="shared" si="1"/>
        <v>1</v>
      </c>
      <c r="AJ13" s="26">
        <f t="shared" si="1"/>
        <v>23</v>
      </c>
      <c r="AK13" s="231"/>
      <c r="AL13" s="3"/>
      <c r="AM13" s="234" t="s">
        <v>404</v>
      </c>
      <c r="AN13" s="235"/>
      <c r="AO13" s="116">
        <f t="shared" si="2"/>
        <v>3</v>
      </c>
      <c r="AP13" s="116">
        <f t="shared" si="2"/>
        <v>0</v>
      </c>
      <c r="AQ13" s="116">
        <f t="shared" si="2"/>
        <v>76</v>
      </c>
      <c r="AR13" s="116">
        <f t="shared" si="2"/>
        <v>3</v>
      </c>
      <c r="AS13" s="116">
        <f t="shared" si="1"/>
        <v>0</v>
      </c>
      <c r="AT13" s="116">
        <f t="shared" si="1"/>
        <v>0</v>
      </c>
      <c r="AU13" s="116">
        <f t="shared" si="1"/>
        <v>0</v>
      </c>
      <c r="AV13" s="116">
        <f t="shared" si="1"/>
        <v>20</v>
      </c>
      <c r="AW13" s="116">
        <f t="shared" si="1"/>
        <v>84</v>
      </c>
      <c r="AX13" s="116">
        <f t="shared" si="1"/>
        <v>0</v>
      </c>
      <c r="AY13" s="116">
        <f t="shared" si="1"/>
        <v>135</v>
      </c>
      <c r="AZ13" s="116">
        <f t="shared" si="1"/>
        <v>48</v>
      </c>
      <c r="BA13" s="116">
        <f t="shared" si="1"/>
        <v>0</v>
      </c>
      <c r="BB13" s="116">
        <f t="shared" si="1"/>
        <v>14</v>
      </c>
      <c r="BC13" s="116">
        <f t="shared" si="1"/>
        <v>4</v>
      </c>
      <c r="BD13" s="116">
        <f t="shared" si="1"/>
        <v>0</v>
      </c>
      <c r="BE13" s="116">
        <f t="shared" si="1"/>
        <v>0</v>
      </c>
      <c r="BF13" s="116">
        <f t="shared" si="1"/>
        <v>21</v>
      </c>
      <c r="BG13" s="116">
        <f t="shared" si="1"/>
        <v>7</v>
      </c>
      <c r="BH13" s="116">
        <f t="shared" si="1"/>
        <v>1</v>
      </c>
      <c r="BI13" s="116">
        <f t="shared" si="1"/>
        <v>11</v>
      </c>
      <c r="BJ13" s="116">
        <f t="shared" si="1"/>
        <v>21</v>
      </c>
      <c r="BK13" s="116">
        <f t="shared" si="1"/>
        <v>7</v>
      </c>
      <c r="BL13" s="116">
        <f t="shared" si="1"/>
        <v>10</v>
      </c>
      <c r="BM13" s="116">
        <f t="shared" si="1"/>
        <v>2</v>
      </c>
      <c r="BN13" s="116">
        <f t="shared" si="1"/>
        <v>44</v>
      </c>
      <c r="BO13" s="116">
        <f t="shared" si="1"/>
        <v>6</v>
      </c>
      <c r="BP13" s="116">
        <f t="shared" si="1"/>
        <v>28</v>
      </c>
      <c r="BQ13" s="116">
        <f t="shared" si="1"/>
        <v>1</v>
      </c>
      <c r="BR13" s="116">
        <f t="shared" si="1"/>
        <v>0</v>
      </c>
      <c r="BS13" s="116">
        <f t="shared" si="1"/>
        <v>26</v>
      </c>
    </row>
    <row r="14" spans="1:73" s="15" customFormat="1" ht="18.600000000000001" customHeight="1" x14ac:dyDescent="0.25">
      <c r="A14" s="125" t="s">
        <v>405</v>
      </c>
      <c r="B14" s="4"/>
      <c r="C14" s="47" t="s">
        <v>75</v>
      </c>
      <c r="D14" s="235"/>
      <c r="E14" s="16">
        <f t="shared" si="0"/>
        <v>195156</v>
      </c>
      <c r="F14" s="16">
        <v>614</v>
      </c>
      <c r="G14" s="16">
        <v>58</v>
      </c>
      <c r="H14" s="16">
        <v>68</v>
      </c>
      <c r="I14" s="16">
        <v>41</v>
      </c>
      <c r="J14" s="16">
        <v>50</v>
      </c>
      <c r="K14" s="16">
        <v>1120</v>
      </c>
      <c r="L14" s="16">
        <v>9797</v>
      </c>
      <c r="M14" s="16">
        <v>5264</v>
      </c>
      <c r="N14" s="16">
        <v>14</v>
      </c>
      <c r="O14" s="16">
        <v>96</v>
      </c>
      <c r="P14" s="16">
        <v>437</v>
      </c>
      <c r="Q14" s="16">
        <v>0</v>
      </c>
      <c r="R14" s="16">
        <v>4067</v>
      </c>
      <c r="S14" s="16">
        <v>4282</v>
      </c>
      <c r="T14" s="16">
        <v>271</v>
      </c>
      <c r="U14" s="16">
        <v>2065</v>
      </c>
      <c r="V14" s="16">
        <v>1562</v>
      </c>
      <c r="W14" s="16">
        <v>1113</v>
      </c>
      <c r="X14" s="16">
        <v>28</v>
      </c>
      <c r="Y14" s="16">
        <v>299</v>
      </c>
      <c r="Z14" s="16">
        <v>3535</v>
      </c>
      <c r="AA14" s="16">
        <v>6170</v>
      </c>
      <c r="AB14" s="16">
        <v>635</v>
      </c>
      <c r="AC14" s="16">
        <v>4807</v>
      </c>
      <c r="AD14" s="16">
        <v>26005</v>
      </c>
      <c r="AE14" s="16">
        <v>40467</v>
      </c>
      <c r="AF14" s="16">
        <v>0</v>
      </c>
      <c r="AG14" s="16">
        <v>3260</v>
      </c>
      <c r="AH14" s="16">
        <v>130</v>
      </c>
      <c r="AI14" s="16">
        <v>28</v>
      </c>
      <c r="AJ14" s="16">
        <v>626</v>
      </c>
      <c r="AK14" s="125" t="s">
        <v>405</v>
      </c>
      <c r="AL14" s="4"/>
      <c r="AM14" s="47" t="s">
        <v>75</v>
      </c>
      <c r="AN14" s="235"/>
      <c r="AO14" s="113">
        <v>403</v>
      </c>
      <c r="AP14" s="113">
        <v>0</v>
      </c>
      <c r="AQ14" s="113">
        <v>652</v>
      </c>
      <c r="AR14" s="113">
        <v>2396</v>
      </c>
      <c r="AS14" s="113">
        <v>1</v>
      </c>
      <c r="AT14" s="113">
        <v>0</v>
      </c>
      <c r="AU14" s="113">
        <f>13+3+3</f>
        <v>19</v>
      </c>
      <c r="AV14" s="113">
        <v>6006</v>
      </c>
      <c r="AW14" s="113">
        <v>788</v>
      </c>
      <c r="AX14" s="113">
        <v>542</v>
      </c>
      <c r="AY14" s="113">
        <v>6923</v>
      </c>
      <c r="AZ14" s="113">
        <v>315</v>
      </c>
      <c r="BA14" s="113">
        <v>107</v>
      </c>
      <c r="BB14" s="113">
        <v>19618</v>
      </c>
      <c r="BC14" s="113">
        <v>638</v>
      </c>
      <c r="BD14" s="113">
        <v>20</v>
      </c>
      <c r="BE14" s="113">
        <v>762</v>
      </c>
      <c r="BF14" s="113">
        <v>73</v>
      </c>
      <c r="BG14" s="113">
        <v>40</v>
      </c>
      <c r="BH14" s="113">
        <v>0</v>
      </c>
      <c r="BI14" s="113">
        <v>6633</v>
      </c>
      <c r="BJ14" s="113">
        <v>8183</v>
      </c>
      <c r="BK14" s="113">
        <v>16263</v>
      </c>
      <c r="BL14" s="113">
        <v>1</v>
      </c>
      <c r="BM14" s="113">
        <f>8+3+3</f>
        <v>14</v>
      </c>
      <c r="BN14" s="113">
        <v>2826</v>
      </c>
      <c r="BO14" s="113">
        <v>403</v>
      </c>
      <c r="BP14" s="113">
        <v>3367</v>
      </c>
      <c r="BQ14" s="113">
        <v>0</v>
      </c>
      <c r="BR14" s="113">
        <v>0</v>
      </c>
      <c r="BS14" s="113">
        <f>1244+5+5</f>
        <v>1254</v>
      </c>
    </row>
    <row r="15" spans="1:73" s="15" customFormat="1" ht="18.600000000000001" customHeight="1" x14ac:dyDescent="0.25">
      <c r="A15" s="125"/>
      <c r="B15" s="4"/>
      <c r="C15" s="47" t="s">
        <v>76</v>
      </c>
      <c r="D15" s="235"/>
      <c r="E15" s="16">
        <f t="shared" si="0"/>
        <v>191</v>
      </c>
      <c r="F15" s="26">
        <v>1</v>
      </c>
      <c r="G15" s="26">
        <v>0</v>
      </c>
      <c r="H15" s="26">
        <v>0</v>
      </c>
      <c r="I15" s="26">
        <v>0</v>
      </c>
      <c r="J15" s="26">
        <v>0</v>
      </c>
      <c r="K15" s="26">
        <v>0</v>
      </c>
      <c r="L15" s="26">
        <v>4</v>
      </c>
      <c r="M15" s="26">
        <v>4</v>
      </c>
      <c r="N15" s="26">
        <v>0</v>
      </c>
      <c r="O15" s="26">
        <v>0</v>
      </c>
      <c r="P15" s="26">
        <v>0</v>
      </c>
      <c r="Q15" s="26">
        <v>0</v>
      </c>
      <c r="R15" s="26">
        <v>1</v>
      </c>
      <c r="S15" s="26">
        <v>4</v>
      </c>
      <c r="T15" s="26">
        <v>0</v>
      </c>
      <c r="U15" s="16">
        <v>4</v>
      </c>
      <c r="V15" s="16">
        <v>11</v>
      </c>
      <c r="W15" s="16">
        <v>0</v>
      </c>
      <c r="X15" s="16">
        <v>0</v>
      </c>
      <c r="Y15" s="16">
        <v>2</v>
      </c>
      <c r="Z15" s="16">
        <v>1</v>
      </c>
      <c r="AA15" s="16">
        <v>6</v>
      </c>
      <c r="AB15" s="16">
        <v>4</v>
      </c>
      <c r="AC15" s="16">
        <v>0</v>
      </c>
      <c r="AD15" s="16">
        <v>14</v>
      </c>
      <c r="AE15" s="16">
        <v>3</v>
      </c>
      <c r="AF15" s="16">
        <v>0</v>
      </c>
      <c r="AG15" s="16">
        <v>34</v>
      </c>
      <c r="AH15" s="16">
        <v>0</v>
      </c>
      <c r="AI15" s="16">
        <v>0</v>
      </c>
      <c r="AJ15" s="16">
        <v>2</v>
      </c>
      <c r="AK15" s="125"/>
      <c r="AL15" s="4"/>
      <c r="AM15" s="47" t="s">
        <v>76</v>
      </c>
      <c r="AN15" s="235"/>
      <c r="AO15" s="113">
        <v>0</v>
      </c>
      <c r="AP15" s="113">
        <v>0</v>
      </c>
      <c r="AQ15" s="113">
        <v>13</v>
      </c>
      <c r="AR15" s="113">
        <v>0</v>
      </c>
      <c r="AS15" s="113">
        <v>0</v>
      </c>
      <c r="AT15" s="113">
        <v>0</v>
      </c>
      <c r="AU15" s="113">
        <v>0</v>
      </c>
      <c r="AV15" s="113">
        <v>5</v>
      </c>
      <c r="AW15" s="113">
        <v>19</v>
      </c>
      <c r="AX15" s="113">
        <v>0</v>
      </c>
      <c r="AY15" s="113">
        <v>32</v>
      </c>
      <c r="AZ15" s="113">
        <v>1</v>
      </c>
      <c r="BA15" s="113">
        <v>0</v>
      </c>
      <c r="BB15" s="113">
        <v>0</v>
      </c>
      <c r="BC15" s="113">
        <v>2</v>
      </c>
      <c r="BD15" s="113">
        <v>0</v>
      </c>
      <c r="BE15" s="113">
        <v>0</v>
      </c>
      <c r="BF15" s="113">
        <v>0</v>
      </c>
      <c r="BG15" s="113">
        <v>1</v>
      </c>
      <c r="BH15" s="113">
        <v>0</v>
      </c>
      <c r="BI15" s="113">
        <v>1</v>
      </c>
      <c r="BJ15" s="113">
        <v>0</v>
      </c>
      <c r="BK15" s="113">
        <v>2</v>
      </c>
      <c r="BL15" s="113">
        <v>0</v>
      </c>
      <c r="BM15" s="113">
        <v>0</v>
      </c>
      <c r="BN15" s="113">
        <v>12</v>
      </c>
      <c r="BO15" s="113">
        <v>1</v>
      </c>
      <c r="BP15" s="113">
        <v>6</v>
      </c>
      <c r="BQ15" s="113">
        <v>0</v>
      </c>
      <c r="BR15" s="113">
        <v>0</v>
      </c>
      <c r="BS15" s="113">
        <v>1</v>
      </c>
    </row>
    <row r="16" spans="1:73" s="15" customFormat="1" ht="18.600000000000001" customHeight="1" x14ac:dyDescent="0.25">
      <c r="A16" s="125" t="s">
        <v>406</v>
      </c>
      <c r="B16" s="4"/>
      <c r="C16" s="47" t="s">
        <v>75</v>
      </c>
      <c r="D16" s="235"/>
      <c r="E16" s="16">
        <f>SUM(F16:BS16)</f>
        <v>62952</v>
      </c>
      <c r="F16" s="16">
        <v>363</v>
      </c>
      <c r="G16" s="16">
        <v>778</v>
      </c>
      <c r="H16" s="16">
        <v>829</v>
      </c>
      <c r="I16" s="16">
        <v>2</v>
      </c>
      <c r="J16" s="16">
        <v>19</v>
      </c>
      <c r="K16" s="16">
        <v>133</v>
      </c>
      <c r="L16" s="16">
        <v>5241</v>
      </c>
      <c r="M16" s="16">
        <v>1937</v>
      </c>
      <c r="N16" s="16">
        <v>54</v>
      </c>
      <c r="O16" s="16">
        <v>61</v>
      </c>
      <c r="P16" s="16">
        <v>62</v>
      </c>
      <c r="Q16" s="16">
        <v>0</v>
      </c>
      <c r="R16" s="16">
        <v>290</v>
      </c>
      <c r="S16" s="16">
        <v>190</v>
      </c>
      <c r="T16" s="16">
        <v>250</v>
      </c>
      <c r="U16" s="16">
        <v>183</v>
      </c>
      <c r="V16" s="16">
        <v>788</v>
      </c>
      <c r="W16" s="16">
        <v>36</v>
      </c>
      <c r="X16" s="16">
        <v>51</v>
      </c>
      <c r="Y16" s="16">
        <v>76</v>
      </c>
      <c r="Z16" s="16">
        <v>3819</v>
      </c>
      <c r="AA16" s="16">
        <v>217</v>
      </c>
      <c r="AB16" s="16">
        <v>115</v>
      </c>
      <c r="AC16" s="16">
        <v>504</v>
      </c>
      <c r="AD16" s="16">
        <v>12932</v>
      </c>
      <c r="AE16" s="16">
        <v>3686</v>
      </c>
      <c r="AF16" s="16">
        <v>0</v>
      </c>
      <c r="AG16" s="16">
        <v>1288</v>
      </c>
      <c r="AH16" s="16">
        <v>184</v>
      </c>
      <c r="AI16" s="16">
        <v>5</v>
      </c>
      <c r="AJ16" s="16">
        <v>164</v>
      </c>
      <c r="AK16" s="125" t="s">
        <v>406</v>
      </c>
      <c r="AL16" s="4"/>
      <c r="AM16" s="47" t="s">
        <v>75</v>
      </c>
      <c r="AN16" s="235"/>
      <c r="AO16" s="113">
        <v>68</v>
      </c>
      <c r="AP16" s="113">
        <v>0</v>
      </c>
      <c r="AQ16" s="113">
        <v>113</v>
      </c>
      <c r="AR16" s="113">
        <v>317</v>
      </c>
      <c r="AS16" s="113">
        <f>7+3+2</f>
        <v>12</v>
      </c>
      <c r="AT16" s="113">
        <f>1+2+1</f>
        <v>4</v>
      </c>
      <c r="AU16" s="113">
        <v>13</v>
      </c>
      <c r="AV16" s="113">
        <v>253</v>
      </c>
      <c r="AW16" s="113">
        <v>639</v>
      </c>
      <c r="AX16" s="113">
        <v>551</v>
      </c>
      <c r="AY16" s="113">
        <v>11703</v>
      </c>
      <c r="AZ16" s="113">
        <v>582</v>
      </c>
      <c r="BA16" s="113">
        <v>2</v>
      </c>
      <c r="BB16" s="113">
        <v>609</v>
      </c>
      <c r="BC16" s="113">
        <v>20</v>
      </c>
      <c r="BD16" s="113">
        <v>1</v>
      </c>
      <c r="BE16" s="113">
        <v>1</v>
      </c>
      <c r="BF16" s="113">
        <v>20</v>
      </c>
      <c r="BG16" s="113">
        <v>69</v>
      </c>
      <c r="BH16" s="113">
        <v>20</v>
      </c>
      <c r="BI16" s="113">
        <v>90</v>
      </c>
      <c r="BJ16" s="113">
        <v>539</v>
      </c>
      <c r="BK16" s="113">
        <v>1318</v>
      </c>
      <c r="BL16" s="113">
        <v>153</v>
      </c>
      <c r="BM16" s="113">
        <v>545</v>
      </c>
      <c r="BN16" s="113">
        <v>5929</v>
      </c>
      <c r="BO16" s="113">
        <v>140</v>
      </c>
      <c r="BP16" s="113">
        <v>2821</v>
      </c>
      <c r="BQ16" s="113">
        <v>12</v>
      </c>
      <c r="BR16" s="113">
        <v>0</v>
      </c>
      <c r="BS16" s="113">
        <v>2151</v>
      </c>
    </row>
    <row r="17" spans="1:71" s="15" customFormat="1" ht="18.600000000000001" customHeight="1" x14ac:dyDescent="0.25">
      <c r="A17" s="125"/>
      <c r="B17" s="4"/>
      <c r="C17" s="47" t="s">
        <v>76</v>
      </c>
      <c r="D17" s="235"/>
      <c r="E17" s="16">
        <f t="shared" si="0"/>
        <v>334</v>
      </c>
      <c r="F17" s="26">
        <v>3</v>
      </c>
      <c r="G17" s="26">
        <v>0</v>
      </c>
      <c r="H17" s="26">
        <v>0</v>
      </c>
      <c r="I17" s="26">
        <v>0</v>
      </c>
      <c r="J17" s="26">
        <v>0</v>
      </c>
      <c r="K17" s="26">
        <v>2</v>
      </c>
      <c r="L17" s="26">
        <v>7</v>
      </c>
      <c r="M17" s="26">
        <v>5</v>
      </c>
      <c r="N17" s="26">
        <v>0</v>
      </c>
      <c r="O17" s="26">
        <v>1</v>
      </c>
      <c r="P17" s="26">
        <v>3</v>
      </c>
      <c r="Q17" s="26">
        <v>0</v>
      </c>
      <c r="R17" s="26">
        <v>13</v>
      </c>
      <c r="S17" s="26">
        <v>15</v>
      </c>
      <c r="T17" s="26">
        <v>0</v>
      </c>
      <c r="U17" s="16">
        <v>1</v>
      </c>
      <c r="V17" s="16">
        <v>13</v>
      </c>
      <c r="W17" s="16">
        <v>0</v>
      </c>
      <c r="X17" s="16">
        <v>0</v>
      </c>
      <c r="Y17" s="16">
        <v>0</v>
      </c>
      <c r="Z17" s="16">
        <v>6</v>
      </c>
      <c r="AA17" s="16">
        <v>0</v>
      </c>
      <c r="AB17" s="16">
        <v>2</v>
      </c>
      <c r="AC17" s="16">
        <v>17</v>
      </c>
      <c r="AD17" s="16">
        <v>19</v>
      </c>
      <c r="AE17" s="16">
        <v>7</v>
      </c>
      <c r="AF17" s="16">
        <v>0</v>
      </c>
      <c r="AG17" s="16">
        <v>96</v>
      </c>
      <c r="AH17" s="16">
        <v>0</v>
      </c>
      <c r="AI17" s="16">
        <v>0</v>
      </c>
      <c r="AJ17" s="16">
        <v>7</v>
      </c>
      <c r="AK17" s="125"/>
      <c r="AL17" s="4"/>
      <c r="AM17" s="47" t="s">
        <v>76</v>
      </c>
      <c r="AN17" s="235"/>
      <c r="AO17" s="113">
        <v>1</v>
      </c>
      <c r="AP17" s="113">
        <v>0</v>
      </c>
      <c r="AQ17" s="113">
        <v>4</v>
      </c>
      <c r="AR17" s="113">
        <v>2</v>
      </c>
      <c r="AS17" s="113">
        <v>0</v>
      </c>
      <c r="AT17" s="113">
        <v>0</v>
      </c>
      <c r="AU17" s="113">
        <v>0</v>
      </c>
      <c r="AV17" s="113">
        <v>6</v>
      </c>
      <c r="AW17" s="113">
        <v>13</v>
      </c>
      <c r="AX17" s="113">
        <v>0</v>
      </c>
      <c r="AY17" s="113">
        <v>23</v>
      </c>
      <c r="AZ17" s="113">
        <v>3</v>
      </c>
      <c r="BA17" s="113">
        <v>0</v>
      </c>
      <c r="BB17" s="113">
        <v>4</v>
      </c>
      <c r="BC17" s="113">
        <v>0</v>
      </c>
      <c r="BD17" s="113">
        <v>0</v>
      </c>
      <c r="BE17" s="113">
        <v>0</v>
      </c>
      <c r="BF17" s="113">
        <v>1</v>
      </c>
      <c r="BG17" s="113">
        <v>4</v>
      </c>
      <c r="BH17" s="113">
        <v>1</v>
      </c>
      <c r="BI17" s="113">
        <v>4</v>
      </c>
      <c r="BJ17" s="113">
        <v>11</v>
      </c>
      <c r="BK17" s="113">
        <v>2</v>
      </c>
      <c r="BL17" s="113">
        <v>8</v>
      </c>
      <c r="BM17" s="113">
        <v>2</v>
      </c>
      <c r="BN17" s="113">
        <v>2</v>
      </c>
      <c r="BO17" s="113">
        <v>4</v>
      </c>
      <c r="BP17" s="113">
        <v>10</v>
      </c>
      <c r="BQ17" s="113">
        <v>1</v>
      </c>
      <c r="BR17" s="113">
        <v>0</v>
      </c>
      <c r="BS17" s="113">
        <v>11</v>
      </c>
    </row>
    <row r="18" spans="1:71" s="15" customFormat="1" ht="18.600000000000001" customHeight="1" x14ac:dyDescent="0.25">
      <c r="A18" s="125" t="s">
        <v>176</v>
      </c>
      <c r="B18" s="5"/>
      <c r="C18" s="47" t="s">
        <v>75</v>
      </c>
      <c r="D18" s="235"/>
      <c r="E18" s="16">
        <f t="shared" si="0"/>
        <v>67740</v>
      </c>
      <c r="F18" s="16">
        <v>230</v>
      </c>
      <c r="G18" s="16">
        <v>90</v>
      </c>
      <c r="H18" s="16">
        <v>31</v>
      </c>
      <c r="I18" s="16">
        <v>4</v>
      </c>
      <c r="J18" s="16">
        <v>34</v>
      </c>
      <c r="K18" s="16">
        <v>147</v>
      </c>
      <c r="L18" s="16">
        <v>18463</v>
      </c>
      <c r="M18" s="16">
        <v>5315</v>
      </c>
      <c r="N18" s="16">
        <v>65</v>
      </c>
      <c r="O18" s="16">
        <v>239</v>
      </c>
      <c r="P18" s="16">
        <v>120</v>
      </c>
      <c r="Q18" s="16">
        <v>0</v>
      </c>
      <c r="R18" s="16">
        <v>497</v>
      </c>
      <c r="S18" s="16">
        <v>426</v>
      </c>
      <c r="T18" s="16">
        <v>216</v>
      </c>
      <c r="U18" s="16">
        <v>416</v>
      </c>
      <c r="V18" s="16">
        <v>645</v>
      </c>
      <c r="W18" s="16">
        <v>74</v>
      </c>
      <c r="X18" s="16">
        <v>111</v>
      </c>
      <c r="Y18" s="16">
        <v>209</v>
      </c>
      <c r="Z18" s="16">
        <v>1249</v>
      </c>
      <c r="AA18" s="16">
        <v>400</v>
      </c>
      <c r="AB18" s="16">
        <v>123</v>
      </c>
      <c r="AC18" s="16">
        <v>890</v>
      </c>
      <c r="AD18" s="16">
        <v>6544</v>
      </c>
      <c r="AE18" s="16">
        <v>5142</v>
      </c>
      <c r="AF18" s="16">
        <v>0</v>
      </c>
      <c r="AG18" s="16">
        <v>2924</v>
      </c>
      <c r="AH18" s="16">
        <v>152</v>
      </c>
      <c r="AI18" s="16">
        <v>4</v>
      </c>
      <c r="AJ18" s="16">
        <v>242</v>
      </c>
      <c r="AK18" s="125" t="s">
        <v>176</v>
      </c>
      <c r="AL18" s="5"/>
      <c r="AM18" s="47" t="s">
        <v>75</v>
      </c>
      <c r="AN18" s="235"/>
      <c r="AO18" s="113">
        <v>94</v>
      </c>
      <c r="AP18" s="113">
        <v>0</v>
      </c>
      <c r="AQ18" s="113">
        <v>304</v>
      </c>
      <c r="AR18" s="113">
        <v>192</v>
      </c>
      <c r="AS18" s="113">
        <v>3</v>
      </c>
      <c r="AT18" s="113">
        <v>0</v>
      </c>
      <c r="AU18" s="113">
        <v>3</v>
      </c>
      <c r="AV18" s="113">
        <v>174</v>
      </c>
      <c r="AW18" s="113">
        <v>212</v>
      </c>
      <c r="AX18" s="113">
        <v>269</v>
      </c>
      <c r="AY18" s="113">
        <v>6859</v>
      </c>
      <c r="AZ18" s="113">
        <v>2123</v>
      </c>
      <c r="BA18" s="113">
        <v>21</v>
      </c>
      <c r="BB18" s="113">
        <v>356</v>
      </c>
      <c r="BC18" s="113">
        <v>89</v>
      </c>
      <c r="BD18" s="113">
        <v>22</v>
      </c>
      <c r="BE18" s="113">
        <v>13</v>
      </c>
      <c r="BF18" s="113">
        <v>28</v>
      </c>
      <c r="BG18" s="113">
        <v>15</v>
      </c>
      <c r="BH18" s="113">
        <v>0</v>
      </c>
      <c r="BI18" s="113">
        <v>246</v>
      </c>
      <c r="BJ18" s="113">
        <v>867</v>
      </c>
      <c r="BK18" s="113">
        <v>2595</v>
      </c>
      <c r="BL18" s="113">
        <v>75</v>
      </c>
      <c r="BM18" s="113">
        <f>4+5+4</f>
        <v>13</v>
      </c>
      <c r="BN18" s="113">
        <v>6271</v>
      </c>
      <c r="BO18" s="113">
        <v>823</v>
      </c>
      <c r="BP18" s="113">
        <v>932</v>
      </c>
      <c r="BQ18" s="113">
        <v>13</v>
      </c>
      <c r="BR18" s="113">
        <v>0</v>
      </c>
      <c r="BS18" s="113">
        <f>123+2+1</f>
        <v>126</v>
      </c>
    </row>
    <row r="19" spans="1:71" s="15" customFormat="1" ht="18.600000000000001" customHeight="1" x14ac:dyDescent="0.25">
      <c r="A19" s="125"/>
      <c r="B19" s="5"/>
      <c r="C19" s="47" t="s">
        <v>76</v>
      </c>
      <c r="D19" s="235"/>
      <c r="E19" s="16">
        <f t="shared" si="0"/>
        <v>111</v>
      </c>
      <c r="F19" s="26">
        <v>0</v>
      </c>
      <c r="G19" s="26">
        <v>0</v>
      </c>
      <c r="H19" s="26">
        <v>0</v>
      </c>
      <c r="I19" s="26">
        <v>0</v>
      </c>
      <c r="J19" s="26">
        <v>0</v>
      </c>
      <c r="K19" s="26">
        <v>0</v>
      </c>
      <c r="L19" s="26">
        <v>3</v>
      </c>
      <c r="M19" s="26">
        <v>5</v>
      </c>
      <c r="N19" s="26">
        <v>0</v>
      </c>
      <c r="O19" s="26">
        <v>0</v>
      </c>
      <c r="P19" s="26">
        <v>2</v>
      </c>
      <c r="Q19" s="26">
        <v>0</v>
      </c>
      <c r="R19" s="26">
        <v>0</v>
      </c>
      <c r="S19" s="26">
        <v>1</v>
      </c>
      <c r="T19" s="26">
        <v>2</v>
      </c>
      <c r="U19" s="16">
        <v>0</v>
      </c>
      <c r="V19" s="16">
        <v>8</v>
      </c>
      <c r="W19" s="16">
        <v>0</v>
      </c>
      <c r="X19" s="16">
        <v>0</v>
      </c>
      <c r="Y19" s="16">
        <v>2</v>
      </c>
      <c r="Z19" s="16">
        <v>0</v>
      </c>
      <c r="AA19" s="16">
        <v>0</v>
      </c>
      <c r="AB19" s="16">
        <v>0</v>
      </c>
      <c r="AC19" s="16">
        <v>1</v>
      </c>
      <c r="AD19" s="16">
        <v>3</v>
      </c>
      <c r="AE19" s="16">
        <v>3</v>
      </c>
      <c r="AF19" s="16">
        <v>0</v>
      </c>
      <c r="AG19" s="16">
        <v>18</v>
      </c>
      <c r="AH19" s="16">
        <v>0</v>
      </c>
      <c r="AI19" s="16">
        <v>0</v>
      </c>
      <c r="AJ19" s="16">
        <v>2</v>
      </c>
      <c r="AK19" s="125"/>
      <c r="AL19" s="5"/>
      <c r="AM19" s="47" t="s">
        <v>76</v>
      </c>
      <c r="AN19" s="235"/>
      <c r="AO19" s="113">
        <v>1</v>
      </c>
      <c r="AP19" s="113">
        <v>0</v>
      </c>
      <c r="AQ19" s="113">
        <v>4</v>
      </c>
      <c r="AR19" s="113">
        <v>1</v>
      </c>
      <c r="AS19" s="113">
        <v>0</v>
      </c>
      <c r="AT19" s="113">
        <v>0</v>
      </c>
      <c r="AU19" s="113">
        <v>0</v>
      </c>
      <c r="AV19" s="113">
        <v>1</v>
      </c>
      <c r="AW19" s="113">
        <v>18</v>
      </c>
      <c r="AX19" s="113">
        <v>0</v>
      </c>
      <c r="AY19" s="113">
        <v>7</v>
      </c>
      <c r="AZ19" s="113">
        <v>20</v>
      </c>
      <c r="BA19" s="113">
        <v>0</v>
      </c>
      <c r="BB19" s="113">
        <v>0</v>
      </c>
      <c r="BC19" s="113">
        <v>0</v>
      </c>
      <c r="BD19" s="113">
        <v>0</v>
      </c>
      <c r="BE19" s="113">
        <v>0</v>
      </c>
      <c r="BF19" s="113">
        <v>1</v>
      </c>
      <c r="BG19" s="113">
        <v>0</v>
      </c>
      <c r="BH19" s="113">
        <v>0</v>
      </c>
      <c r="BI19" s="113">
        <v>2</v>
      </c>
      <c r="BJ19" s="113">
        <v>1</v>
      </c>
      <c r="BK19" s="113">
        <v>0</v>
      </c>
      <c r="BL19" s="113">
        <v>0</v>
      </c>
      <c r="BM19" s="113">
        <v>0</v>
      </c>
      <c r="BN19" s="113">
        <v>1</v>
      </c>
      <c r="BO19" s="113">
        <v>0</v>
      </c>
      <c r="BP19" s="113">
        <v>1</v>
      </c>
      <c r="BQ19" s="113">
        <v>0</v>
      </c>
      <c r="BR19" s="113">
        <v>0</v>
      </c>
      <c r="BS19" s="113">
        <v>3</v>
      </c>
    </row>
    <row r="20" spans="1:71" s="15" customFormat="1" ht="18.600000000000001" customHeight="1" x14ac:dyDescent="0.25">
      <c r="A20" s="125" t="s">
        <v>77</v>
      </c>
      <c r="B20" s="4"/>
      <c r="C20" s="47" t="s">
        <v>75</v>
      </c>
      <c r="D20" s="235"/>
      <c r="E20" s="16">
        <f t="shared" si="0"/>
        <v>66133</v>
      </c>
      <c r="F20" s="16">
        <v>45</v>
      </c>
      <c r="G20" s="16">
        <v>24</v>
      </c>
      <c r="H20" s="16">
        <v>7</v>
      </c>
      <c r="I20" s="16">
        <v>5</v>
      </c>
      <c r="J20" s="16">
        <v>57</v>
      </c>
      <c r="K20" s="16">
        <v>124</v>
      </c>
      <c r="L20" s="16">
        <v>13635</v>
      </c>
      <c r="M20" s="16">
        <v>6764</v>
      </c>
      <c r="N20" s="16">
        <v>266</v>
      </c>
      <c r="O20" s="16">
        <v>165</v>
      </c>
      <c r="P20" s="16">
        <v>205</v>
      </c>
      <c r="Q20" s="16">
        <v>0</v>
      </c>
      <c r="R20" s="16">
        <v>690</v>
      </c>
      <c r="S20" s="16">
        <v>1004</v>
      </c>
      <c r="T20" s="16">
        <v>199</v>
      </c>
      <c r="U20" s="16">
        <v>844</v>
      </c>
      <c r="V20" s="16">
        <v>1084</v>
      </c>
      <c r="W20" s="16">
        <v>109</v>
      </c>
      <c r="X20" s="16">
        <v>104</v>
      </c>
      <c r="Y20" s="16">
        <v>271</v>
      </c>
      <c r="Z20" s="16">
        <v>1249</v>
      </c>
      <c r="AA20" s="16">
        <v>958</v>
      </c>
      <c r="AB20" s="16">
        <v>185</v>
      </c>
      <c r="AC20" s="16">
        <v>771</v>
      </c>
      <c r="AD20" s="16">
        <v>7963</v>
      </c>
      <c r="AE20" s="16">
        <v>4320</v>
      </c>
      <c r="AF20" s="16">
        <v>0</v>
      </c>
      <c r="AG20" s="16">
        <v>2667</v>
      </c>
      <c r="AH20" s="16">
        <v>310</v>
      </c>
      <c r="AI20" s="16">
        <v>2</v>
      </c>
      <c r="AJ20" s="16">
        <v>551</v>
      </c>
      <c r="AK20" s="125" t="s">
        <v>77</v>
      </c>
      <c r="AL20" s="4"/>
      <c r="AM20" s="47" t="s">
        <v>75</v>
      </c>
      <c r="AN20" s="235"/>
      <c r="AO20" s="113">
        <v>130</v>
      </c>
      <c r="AP20" s="113">
        <v>0</v>
      </c>
      <c r="AQ20" s="113">
        <v>591</v>
      </c>
      <c r="AR20" s="113">
        <v>189</v>
      </c>
      <c r="AS20" s="113">
        <v>1</v>
      </c>
      <c r="AT20" s="113">
        <v>18</v>
      </c>
      <c r="AU20" s="113">
        <v>42</v>
      </c>
      <c r="AV20" s="113">
        <v>275</v>
      </c>
      <c r="AW20" s="113">
        <v>246</v>
      </c>
      <c r="AX20" s="113">
        <v>526</v>
      </c>
      <c r="AY20" s="113">
        <v>1822</v>
      </c>
      <c r="AZ20" s="113">
        <v>783</v>
      </c>
      <c r="BA20" s="113">
        <v>1</v>
      </c>
      <c r="BB20" s="113">
        <v>479</v>
      </c>
      <c r="BC20" s="113">
        <v>94</v>
      </c>
      <c r="BD20" s="113">
        <v>6</v>
      </c>
      <c r="BE20" s="113">
        <v>35</v>
      </c>
      <c r="BF20" s="113">
        <v>34</v>
      </c>
      <c r="BG20" s="113">
        <v>14</v>
      </c>
      <c r="BH20" s="113">
        <v>0</v>
      </c>
      <c r="BI20" s="113">
        <v>636</v>
      </c>
      <c r="BJ20" s="113">
        <v>1069</v>
      </c>
      <c r="BK20" s="113">
        <v>1682</v>
      </c>
      <c r="BL20" s="113">
        <v>124</v>
      </c>
      <c r="BM20" s="113">
        <f>3+2+2</f>
        <v>7</v>
      </c>
      <c r="BN20" s="113">
        <v>8553</v>
      </c>
      <c r="BO20" s="113">
        <v>1025</v>
      </c>
      <c r="BP20" s="113">
        <v>1948</v>
      </c>
      <c r="BQ20" s="113">
        <v>12</v>
      </c>
      <c r="BR20" s="113">
        <v>0</v>
      </c>
      <c r="BS20" s="113">
        <f>1200+10+3</f>
        <v>1213</v>
      </c>
    </row>
    <row r="21" spans="1:71" s="15" customFormat="1" ht="18.600000000000001" customHeight="1" x14ac:dyDescent="0.25">
      <c r="A21" s="125"/>
      <c r="B21" s="4"/>
      <c r="C21" s="47" t="s">
        <v>76</v>
      </c>
      <c r="D21" s="235"/>
      <c r="E21" s="16">
        <f t="shared" si="0"/>
        <v>110</v>
      </c>
      <c r="F21" s="16">
        <v>0</v>
      </c>
      <c r="G21" s="16">
        <v>0</v>
      </c>
      <c r="H21" s="16">
        <v>0</v>
      </c>
      <c r="I21" s="16">
        <v>0</v>
      </c>
      <c r="J21" s="16">
        <v>0</v>
      </c>
      <c r="K21" s="16">
        <v>1</v>
      </c>
      <c r="L21" s="16">
        <v>1</v>
      </c>
      <c r="M21" s="16">
        <v>7</v>
      </c>
      <c r="N21" s="16">
        <v>0</v>
      </c>
      <c r="O21" s="16">
        <v>1</v>
      </c>
      <c r="P21" s="16">
        <v>1</v>
      </c>
      <c r="Q21" s="16">
        <v>0</v>
      </c>
      <c r="R21" s="16">
        <v>2</v>
      </c>
      <c r="S21" s="16">
        <v>0</v>
      </c>
      <c r="T21" s="16">
        <v>0</v>
      </c>
      <c r="U21" s="16">
        <v>1</v>
      </c>
      <c r="V21" s="16">
        <v>9</v>
      </c>
      <c r="W21" s="16">
        <v>0</v>
      </c>
      <c r="X21" s="16">
        <v>0</v>
      </c>
      <c r="Y21" s="16">
        <v>0</v>
      </c>
      <c r="Z21" s="16">
        <v>0</v>
      </c>
      <c r="AA21" s="16">
        <v>1</v>
      </c>
      <c r="AB21" s="16">
        <v>12</v>
      </c>
      <c r="AC21" s="16">
        <v>3</v>
      </c>
      <c r="AD21" s="16">
        <v>4</v>
      </c>
      <c r="AE21" s="16">
        <v>0</v>
      </c>
      <c r="AF21" s="16">
        <v>0</v>
      </c>
      <c r="AG21" s="16">
        <v>25</v>
      </c>
      <c r="AH21" s="16">
        <v>0</v>
      </c>
      <c r="AI21" s="16">
        <v>0</v>
      </c>
      <c r="AJ21" s="16">
        <v>1</v>
      </c>
      <c r="AK21" s="125"/>
      <c r="AL21" s="4"/>
      <c r="AM21" s="47" t="s">
        <v>76</v>
      </c>
      <c r="AN21" s="235"/>
      <c r="AO21" s="113">
        <v>0</v>
      </c>
      <c r="AP21" s="113">
        <v>0</v>
      </c>
      <c r="AQ21" s="113">
        <v>9</v>
      </c>
      <c r="AR21" s="113">
        <v>0</v>
      </c>
      <c r="AS21" s="113">
        <v>0</v>
      </c>
      <c r="AT21" s="113">
        <v>0</v>
      </c>
      <c r="AU21" s="113">
        <v>0</v>
      </c>
      <c r="AV21" s="113">
        <v>1</v>
      </c>
      <c r="AW21" s="113">
        <v>4</v>
      </c>
      <c r="AX21" s="113">
        <v>0</v>
      </c>
      <c r="AY21" s="113">
        <v>10</v>
      </c>
      <c r="AZ21" s="113">
        <v>1</v>
      </c>
      <c r="BA21" s="113">
        <v>0</v>
      </c>
      <c r="BB21" s="113">
        <v>0</v>
      </c>
      <c r="BC21" s="113">
        <v>0</v>
      </c>
      <c r="BD21" s="113">
        <v>0</v>
      </c>
      <c r="BE21" s="113">
        <v>0</v>
      </c>
      <c r="BF21" s="113">
        <v>6</v>
      </c>
      <c r="BG21" s="113">
        <v>0</v>
      </c>
      <c r="BH21" s="113">
        <v>0</v>
      </c>
      <c r="BI21" s="113">
        <v>0</v>
      </c>
      <c r="BJ21" s="113">
        <v>2</v>
      </c>
      <c r="BK21" s="113">
        <v>2</v>
      </c>
      <c r="BL21" s="113">
        <v>1</v>
      </c>
      <c r="BM21" s="113">
        <v>0</v>
      </c>
      <c r="BN21" s="113">
        <v>3</v>
      </c>
      <c r="BO21" s="113">
        <v>0</v>
      </c>
      <c r="BP21" s="113">
        <v>2</v>
      </c>
      <c r="BQ21" s="113">
        <v>0</v>
      </c>
      <c r="BR21" s="113">
        <v>0</v>
      </c>
      <c r="BS21" s="113">
        <v>0</v>
      </c>
    </row>
    <row r="22" spans="1:71" s="15" customFormat="1" ht="18.600000000000001" customHeight="1" x14ac:dyDescent="0.25">
      <c r="A22" s="125" t="s">
        <v>79</v>
      </c>
      <c r="B22" s="4"/>
      <c r="C22" s="47" t="s">
        <v>75</v>
      </c>
      <c r="D22" s="235"/>
      <c r="E22" s="16">
        <f t="shared" si="0"/>
        <v>27094</v>
      </c>
      <c r="F22" s="16">
        <v>248</v>
      </c>
      <c r="G22" s="16">
        <v>15</v>
      </c>
      <c r="H22" s="16">
        <v>17</v>
      </c>
      <c r="I22" s="16">
        <v>0</v>
      </c>
      <c r="J22" s="16">
        <v>11</v>
      </c>
      <c r="K22" s="16">
        <v>196</v>
      </c>
      <c r="L22" s="16">
        <v>1646</v>
      </c>
      <c r="M22" s="16">
        <v>489</v>
      </c>
      <c r="N22" s="16">
        <v>11</v>
      </c>
      <c r="O22" s="16">
        <v>92</v>
      </c>
      <c r="P22" s="16">
        <v>74</v>
      </c>
      <c r="Q22" s="16">
        <v>5</v>
      </c>
      <c r="R22" s="16">
        <v>279</v>
      </c>
      <c r="S22" s="16">
        <v>244</v>
      </c>
      <c r="T22" s="16">
        <v>6</v>
      </c>
      <c r="U22" s="16">
        <v>134</v>
      </c>
      <c r="V22" s="16">
        <v>1137</v>
      </c>
      <c r="W22" s="16">
        <v>8</v>
      </c>
      <c r="X22" s="16">
        <v>15</v>
      </c>
      <c r="Y22" s="16">
        <v>90</v>
      </c>
      <c r="Z22" s="16">
        <v>301</v>
      </c>
      <c r="AA22" s="16">
        <v>197</v>
      </c>
      <c r="AB22" s="16">
        <v>86</v>
      </c>
      <c r="AC22" s="16">
        <v>574</v>
      </c>
      <c r="AD22" s="16">
        <v>4234</v>
      </c>
      <c r="AE22" s="16">
        <v>1667</v>
      </c>
      <c r="AF22" s="16">
        <v>0</v>
      </c>
      <c r="AG22" s="16">
        <v>1343</v>
      </c>
      <c r="AH22" s="16">
        <v>97</v>
      </c>
      <c r="AI22" s="16">
        <v>1</v>
      </c>
      <c r="AJ22" s="16">
        <v>403</v>
      </c>
      <c r="AK22" s="125" t="s">
        <v>79</v>
      </c>
      <c r="AL22" s="4"/>
      <c r="AM22" s="47" t="s">
        <v>75</v>
      </c>
      <c r="AN22" s="235"/>
      <c r="AO22" s="113">
        <v>195</v>
      </c>
      <c r="AP22" s="113">
        <v>0</v>
      </c>
      <c r="AQ22" s="113">
        <v>438</v>
      </c>
      <c r="AR22" s="113">
        <v>151</v>
      </c>
      <c r="AS22" s="113">
        <v>11</v>
      </c>
      <c r="AT22" s="113">
        <v>0</v>
      </c>
      <c r="AU22" s="113">
        <v>2</v>
      </c>
      <c r="AV22" s="113">
        <v>149</v>
      </c>
      <c r="AW22" s="113">
        <v>93</v>
      </c>
      <c r="AX22" s="113">
        <v>44</v>
      </c>
      <c r="AY22" s="113">
        <v>2732</v>
      </c>
      <c r="AZ22" s="113">
        <v>332</v>
      </c>
      <c r="BA22" s="113">
        <v>9</v>
      </c>
      <c r="BB22" s="113">
        <v>213</v>
      </c>
      <c r="BC22" s="113">
        <v>53</v>
      </c>
      <c r="BD22" s="113">
        <v>22</v>
      </c>
      <c r="BE22" s="113">
        <v>23</v>
      </c>
      <c r="BF22" s="113">
        <v>48</v>
      </c>
      <c r="BG22" s="113">
        <v>42</v>
      </c>
      <c r="BH22" s="113">
        <v>49</v>
      </c>
      <c r="BI22" s="113">
        <v>375</v>
      </c>
      <c r="BJ22" s="113">
        <v>270</v>
      </c>
      <c r="BK22" s="113">
        <v>614</v>
      </c>
      <c r="BL22" s="113">
        <v>81</v>
      </c>
      <c r="BM22" s="113">
        <f>26+3+3</f>
        <v>32</v>
      </c>
      <c r="BN22" s="113">
        <v>5893</v>
      </c>
      <c r="BO22" s="113">
        <v>579</v>
      </c>
      <c r="BP22" s="113">
        <v>860</v>
      </c>
      <c r="BQ22" s="113">
        <v>4</v>
      </c>
      <c r="BR22" s="113">
        <v>0</v>
      </c>
      <c r="BS22" s="113">
        <f>152+5+3</f>
        <v>160</v>
      </c>
    </row>
    <row r="23" spans="1:71" s="15" customFormat="1" ht="18.600000000000001" customHeight="1" x14ac:dyDescent="0.25">
      <c r="A23" s="125"/>
      <c r="B23" s="4"/>
      <c r="C23" s="47" t="s">
        <v>76</v>
      </c>
      <c r="D23" s="235"/>
      <c r="E23" s="16">
        <f t="shared" si="0"/>
        <v>112</v>
      </c>
      <c r="F23" s="16">
        <v>0</v>
      </c>
      <c r="G23" s="16">
        <v>0</v>
      </c>
      <c r="H23" s="16">
        <v>0</v>
      </c>
      <c r="I23" s="16">
        <v>0</v>
      </c>
      <c r="J23" s="16">
        <v>0</v>
      </c>
      <c r="K23" s="16">
        <v>0</v>
      </c>
      <c r="L23" s="16">
        <v>5</v>
      </c>
      <c r="M23" s="16">
        <v>4</v>
      </c>
      <c r="N23" s="16">
        <v>0</v>
      </c>
      <c r="O23" s="16">
        <v>0</v>
      </c>
      <c r="P23" s="16">
        <v>0</v>
      </c>
      <c r="Q23" s="16">
        <v>0</v>
      </c>
      <c r="R23" s="16">
        <v>3</v>
      </c>
      <c r="S23" s="16">
        <v>3</v>
      </c>
      <c r="T23" s="16">
        <v>0</v>
      </c>
      <c r="U23" s="16">
        <v>0</v>
      </c>
      <c r="V23" s="16">
        <v>3</v>
      </c>
      <c r="W23" s="16">
        <v>0</v>
      </c>
      <c r="X23" s="16">
        <v>0</v>
      </c>
      <c r="Y23" s="16">
        <v>0</v>
      </c>
      <c r="Z23" s="16">
        <v>1</v>
      </c>
      <c r="AA23" s="16">
        <v>2</v>
      </c>
      <c r="AB23" s="16">
        <v>2</v>
      </c>
      <c r="AC23" s="16">
        <v>3</v>
      </c>
      <c r="AD23" s="16">
        <v>7</v>
      </c>
      <c r="AE23" s="16">
        <v>1</v>
      </c>
      <c r="AF23" s="16">
        <v>0</v>
      </c>
      <c r="AG23" s="16">
        <v>34</v>
      </c>
      <c r="AH23" s="16">
        <v>0</v>
      </c>
      <c r="AI23" s="16">
        <v>0</v>
      </c>
      <c r="AJ23" s="16">
        <v>4</v>
      </c>
      <c r="AK23" s="125"/>
      <c r="AL23" s="4"/>
      <c r="AM23" s="47" t="s">
        <v>76</v>
      </c>
      <c r="AN23" s="235"/>
      <c r="AO23" s="113">
        <v>0</v>
      </c>
      <c r="AP23" s="113">
        <v>0</v>
      </c>
      <c r="AQ23" s="113">
        <v>9</v>
      </c>
      <c r="AR23" s="113">
        <v>0</v>
      </c>
      <c r="AS23" s="113">
        <v>0</v>
      </c>
      <c r="AT23" s="113">
        <v>0</v>
      </c>
      <c r="AU23" s="113">
        <v>0</v>
      </c>
      <c r="AV23" s="113">
        <v>0</v>
      </c>
      <c r="AW23" s="113">
        <v>3</v>
      </c>
      <c r="AX23" s="113">
        <v>0</v>
      </c>
      <c r="AY23" s="113">
        <v>7</v>
      </c>
      <c r="AZ23" s="113">
        <v>2</v>
      </c>
      <c r="BA23" s="113">
        <v>0</v>
      </c>
      <c r="BB23" s="113">
        <v>0</v>
      </c>
      <c r="BC23" s="113">
        <v>0</v>
      </c>
      <c r="BD23" s="113">
        <v>0</v>
      </c>
      <c r="BE23" s="113">
        <v>0</v>
      </c>
      <c r="BF23" s="113">
        <v>1</v>
      </c>
      <c r="BG23" s="113">
        <v>0</v>
      </c>
      <c r="BH23" s="113">
        <v>0</v>
      </c>
      <c r="BI23" s="113">
        <v>1</v>
      </c>
      <c r="BJ23" s="113">
        <v>0</v>
      </c>
      <c r="BK23" s="113">
        <v>0</v>
      </c>
      <c r="BL23" s="113">
        <v>0</v>
      </c>
      <c r="BM23" s="113">
        <v>0</v>
      </c>
      <c r="BN23" s="113">
        <v>11</v>
      </c>
      <c r="BO23" s="113">
        <v>0</v>
      </c>
      <c r="BP23" s="113">
        <v>1</v>
      </c>
      <c r="BQ23" s="113">
        <v>0</v>
      </c>
      <c r="BR23" s="113">
        <v>0</v>
      </c>
      <c r="BS23" s="113">
        <f>4+1+0</f>
        <v>5</v>
      </c>
    </row>
    <row r="24" spans="1:71" s="15" customFormat="1" ht="18.600000000000001" customHeight="1" x14ac:dyDescent="0.25">
      <c r="A24" s="125" t="s">
        <v>407</v>
      </c>
      <c r="B24" s="4"/>
      <c r="C24" s="47" t="s">
        <v>75</v>
      </c>
      <c r="D24" s="235"/>
      <c r="E24" s="16">
        <f t="shared" si="0"/>
        <v>43346</v>
      </c>
      <c r="F24" s="16">
        <v>172</v>
      </c>
      <c r="G24" s="16">
        <v>41</v>
      </c>
      <c r="H24" s="16">
        <v>3</v>
      </c>
      <c r="I24" s="16">
        <v>27</v>
      </c>
      <c r="J24" s="16">
        <v>14</v>
      </c>
      <c r="K24" s="16">
        <v>190</v>
      </c>
      <c r="L24" s="16">
        <v>16409</v>
      </c>
      <c r="M24" s="16">
        <v>4879</v>
      </c>
      <c r="N24" s="16">
        <v>223</v>
      </c>
      <c r="O24" s="16">
        <v>224</v>
      </c>
      <c r="P24" s="16">
        <v>119</v>
      </c>
      <c r="Q24" s="16">
        <v>3</v>
      </c>
      <c r="R24" s="16">
        <v>448</v>
      </c>
      <c r="S24" s="16">
        <v>472</v>
      </c>
      <c r="T24" s="16">
        <v>139</v>
      </c>
      <c r="U24" s="16">
        <v>130</v>
      </c>
      <c r="V24" s="16">
        <v>769</v>
      </c>
      <c r="W24" s="16">
        <v>70</v>
      </c>
      <c r="X24" s="16">
        <v>33</v>
      </c>
      <c r="Y24" s="16">
        <v>178</v>
      </c>
      <c r="Z24" s="16">
        <v>800</v>
      </c>
      <c r="AA24" s="16">
        <v>226</v>
      </c>
      <c r="AB24" s="16">
        <v>74</v>
      </c>
      <c r="AC24" s="16">
        <v>328</v>
      </c>
      <c r="AD24" s="16">
        <v>3028</v>
      </c>
      <c r="AE24" s="16">
        <v>2942</v>
      </c>
      <c r="AF24" s="16">
        <v>0</v>
      </c>
      <c r="AG24" s="16">
        <v>1659</v>
      </c>
      <c r="AH24" s="16">
        <v>114</v>
      </c>
      <c r="AI24" s="16">
        <v>2</v>
      </c>
      <c r="AJ24" s="16">
        <v>183</v>
      </c>
      <c r="AK24" s="125" t="s">
        <v>407</v>
      </c>
      <c r="AL24" s="4"/>
      <c r="AM24" s="47" t="s">
        <v>75</v>
      </c>
      <c r="AN24" s="235"/>
      <c r="AO24" s="113">
        <v>45</v>
      </c>
      <c r="AP24" s="113">
        <v>0</v>
      </c>
      <c r="AQ24" s="113">
        <v>169</v>
      </c>
      <c r="AR24" s="113">
        <v>181</v>
      </c>
      <c r="AS24" s="113">
        <v>12</v>
      </c>
      <c r="AT24" s="113">
        <v>0</v>
      </c>
      <c r="AU24" s="113">
        <v>0</v>
      </c>
      <c r="AV24" s="113">
        <v>461</v>
      </c>
      <c r="AW24" s="113">
        <v>191</v>
      </c>
      <c r="AX24" s="113">
        <v>260</v>
      </c>
      <c r="AY24" s="113">
        <v>1355</v>
      </c>
      <c r="AZ24" s="113">
        <v>1729</v>
      </c>
      <c r="BA24" s="113">
        <v>28</v>
      </c>
      <c r="BB24" s="113">
        <v>247</v>
      </c>
      <c r="BC24" s="113">
        <v>30</v>
      </c>
      <c r="BD24" s="113">
        <v>23</v>
      </c>
      <c r="BE24" s="113">
        <v>132</v>
      </c>
      <c r="BF24" s="113">
        <v>86</v>
      </c>
      <c r="BG24" s="113">
        <v>50</v>
      </c>
      <c r="BH24" s="113">
        <v>24</v>
      </c>
      <c r="BI24" s="113">
        <v>342</v>
      </c>
      <c r="BJ24" s="113">
        <v>585</v>
      </c>
      <c r="BK24" s="113">
        <v>919</v>
      </c>
      <c r="BL24" s="113">
        <v>81</v>
      </c>
      <c r="BM24" s="113">
        <v>236</v>
      </c>
      <c r="BN24" s="113">
        <v>568</v>
      </c>
      <c r="BO24" s="113">
        <v>322</v>
      </c>
      <c r="BP24" s="113">
        <v>1009</v>
      </c>
      <c r="BQ24" s="113">
        <v>35</v>
      </c>
      <c r="BR24" s="113">
        <v>0</v>
      </c>
      <c r="BS24" s="113">
        <v>327</v>
      </c>
    </row>
    <row r="25" spans="1:71" s="15" customFormat="1" ht="18.600000000000001" customHeight="1" x14ac:dyDescent="0.25">
      <c r="A25" s="125"/>
      <c r="B25" s="4"/>
      <c r="C25" s="47" t="s">
        <v>76</v>
      </c>
      <c r="D25" s="235"/>
      <c r="E25" s="16">
        <f t="shared" si="0"/>
        <v>84</v>
      </c>
      <c r="F25" s="16">
        <v>0</v>
      </c>
      <c r="G25" s="16">
        <v>0</v>
      </c>
      <c r="H25" s="16">
        <v>1</v>
      </c>
      <c r="I25" s="16">
        <v>0</v>
      </c>
      <c r="J25" s="16">
        <v>0</v>
      </c>
      <c r="K25" s="16">
        <v>0</v>
      </c>
      <c r="L25" s="16">
        <v>2</v>
      </c>
      <c r="M25" s="16">
        <v>0</v>
      </c>
      <c r="N25" s="16">
        <v>0</v>
      </c>
      <c r="O25" s="16">
        <v>0</v>
      </c>
      <c r="P25" s="16">
        <v>1</v>
      </c>
      <c r="Q25" s="16">
        <v>0</v>
      </c>
      <c r="R25" s="16">
        <v>0</v>
      </c>
      <c r="S25" s="16">
        <v>0</v>
      </c>
      <c r="T25" s="16">
        <v>0</v>
      </c>
      <c r="U25" s="16">
        <v>0</v>
      </c>
      <c r="V25" s="16">
        <v>1</v>
      </c>
      <c r="W25" s="16">
        <v>0</v>
      </c>
      <c r="X25" s="16">
        <v>0</v>
      </c>
      <c r="Y25" s="16">
        <v>0</v>
      </c>
      <c r="Z25" s="16">
        <v>0</v>
      </c>
      <c r="AA25" s="16">
        <v>0</v>
      </c>
      <c r="AB25" s="16">
        <v>1</v>
      </c>
      <c r="AC25" s="16">
        <v>1</v>
      </c>
      <c r="AD25" s="16">
        <v>6</v>
      </c>
      <c r="AE25" s="16">
        <v>4</v>
      </c>
      <c r="AF25" s="16">
        <v>0</v>
      </c>
      <c r="AG25" s="16">
        <v>29</v>
      </c>
      <c r="AH25" s="16">
        <v>0</v>
      </c>
      <c r="AI25" s="16">
        <v>0</v>
      </c>
      <c r="AJ25" s="16">
        <v>1</v>
      </c>
      <c r="AK25" s="125"/>
      <c r="AL25" s="4"/>
      <c r="AM25" s="47" t="s">
        <v>76</v>
      </c>
      <c r="AN25" s="235"/>
      <c r="AO25" s="113">
        <v>0</v>
      </c>
      <c r="AP25" s="113">
        <v>0</v>
      </c>
      <c r="AQ25" s="113">
        <v>4</v>
      </c>
      <c r="AR25" s="113">
        <v>0</v>
      </c>
      <c r="AS25" s="113">
        <v>0</v>
      </c>
      <c r="AT25" s="113">
        <v>0</v>
      </c>
      <c r="AU25" s="113">
        <v>0</v>
      </c>
      <c r="AV25" s="113">
        <v>3</v>
      </c>
      <c r="AW25" s="113">
        <v>2</v>
      </c>
      <c r="AX25" s="113">
        <v>0</v>
      </c>
      <c r="AY25" s="113">
        <v>8</v>
      </c>
      <c r="AZ25" s="113">
        <v>0</v>
      </c>
      <c r="BA25" s="113">
        <v>0</v>
      </c>
      <c r="BB25" s="113">
        <v>0</v>
      </c>
      <c r="BC25" s="113">
        <v>0</v>
      </c>
      <c r="BD25" s="113">
        <v>0</v>
      </c>
      <c r="BE25" s="113">
        <v>0</v>
      </c>
      <c r="BF25" s="113">
        <v>2</v>
      </c>
      <c r="BG25" s="113">
        <v>1</v>
      </c>
      <c r="BH25" s="113">
        <v>0</v>
      </c>
      <c r="BI25" s="113">
        <v>0</v>
      </c>
      <c r="BJ25" s="113">
        <v>3</v>
      </c>
      <c r="BK25" s="113">
        <v>0</v>
      </c>
      <c r="BL25" s="113">
        <v>1</v>
      </c>
      <c r="BM25" s="113">
        <v>0</v>
      </c>
      <c r="BN25" s="113">
        <v>9</v>
      </c>
      <c r="BO25" s="113">
        <v>1</v>
      </c>
      <c r="BP25" s="113">
        <v>2</v>
      </c>
      <c r="BQ25" s="113">
        <v>0</v>
      </c>
      <c r="BR25" s="113">
        <v>0</v>
      </c>
      <c r="BS25" s="113">
        <v>1</v>
      </c>
    </row>
    <row r="26" spans="1:71" s="15" customFormat="1" ht="18.600000000000001" customHeight="1" x14ac:dyDescent="0.25">
      <c r="A26" s="125" t="s">
        <v>408</v>
      </c>
      <c r="B26" s="4"/>
      <c r="C26" s="47" t="s">
        <v>75</v>
      </c>
      <c r="D26" s="235"/>
      <c r="E26" s="16">
        <f t="shared" si="0"/>
        <v>18123</v>
      </c>
      <c r="F26" s="16">
        <v>8</v>
      </c>
      <c r="G26" s="16">
        <v>6</v>
      </c>
      <c r="H26" s="16">
        <v>13</v>
      </c>
      <c r="I26" s="16">
        <v>5</v>
      </c>
      <c r="J26" s="16">
        <v>12</v>
      </c>
      <c r="K26" s="16">
        <v>49</v>
      </c>
      <c r="L26" s="16">
        <v>1713</v>
      </c>
      <c r="M26" s="16">
        <v>1545</v>
      </c>
      <c r="N26" s="16">
        <v>81</v>
      </c>
      <c r="O26" s="16">
        <v>90</v>
      </c>
      <c r="P26" s="16">
        <v>118</v>
      </c>
      <c r="Q26" s="16">
        <v>0</v>
      </c>
      <c r="R26" s="16">
        <v>289</v>
      </c>
      <c r="S26" s="16">
        <v>348</v>
      </c>
      <c r="T26" s="16">
        <v>65</v>
      </c>
      <c r="U26" s="16">
        <v>160</v>
      </c>
      <c r="V26" s="16">
        <v>311</v>
      </c>
      <c r="W26" s="16">
        <v>2</v>
      </c>
      <c r="X26" s="16">
        <v>22</v>
      </c>
      <c r="Y26" s="16">
        <v>63</v>
      </c>
      <c r="Z26" s="16">
        <v>281</v>
      </c>
      <c r="AA26" s="16">
        <v>146</v>
      </c>
      <c r="AB26" s="16">
        <v>58</v>
      </c>
      <c r="AC26" s="16">
        <v>294</v>
      </c>
      <c r="AD26" s="16">
        <v>2376</v>
      </c>
      <c r="AE26" s="16">
        <v>1825</v>
      </c>
      <c r="AF26" s="16">
        <v>0</v>
      </c>
      <c r="AG26" s="16">
        <v>1064</v>
      </c>
      <c r="AH26" s="16">
        <v>13</v>
      </c>
      <c r="AI26" s="16">
        <v>4</v>
      </c>
      <c r="AJ26" s="16">
        <v>170</v>
      </c>
      <c r="AK26" s="125" t="s">
        <v>408</v>
      </c>
      <c r="AL26" s="4"/>
      <c r="AM26" s="47" t="s">
        <v>75</v>
      </c>
      <c r="AN26" s="235"/>
      <c r="AO26" s="113">
        <v>47</v>
      </c>
      <c r="AP26" s="113">
        <v>0</v>
      </c>
      <c r="AQ26" s="113">
        <v>256</v>
      </c>
      <c r="AR26" s="113">
        <v>111</v>
      </c>
      <c r="AS26" s="113">
        <v>2</v>
      </c>
      <c r="AT26" s="113">
        <v>0</v>
      </c>
      <c r="AU26" s="113">
        <v>1</v>
      </c>
      <c r="AV26" s="113">
        <v>129</v>
      </c>
      <c r="AW26" s="113">
        <v>313</v>
      </c>
      <c r="AX26" s="113">
        <v>38</v>
      </c>
      <c r="AY26" s="113">
        <v>774</v>
      </c>
      <c r="AZ26" s="113">
        <v>115</v>
      </c>
      <c r="BA26" s="113">
        <v>13</v>
      </c>
      <c r="BB26" s="113">
        <v>98</v>
      </c>
      <c r="BC26" s="113">
        <v>31</v>
      </c>
      <c r="BD26" s="113">
        <f>106+151+9</f>
        <v>266</v>
      </c>
      <c r="BE26" s="113">
        <v>137</v>
      </c>
      <c r="BF26" s="113">
        <v>25</v>
      </c>
      <c r="BG26" s="113">
        <v>49</v>
      </c>
      <c r="BH26" s="113">
        <v>0</v>
      </c>
      <c r="BI26" s="113">
        <v>68</v>
      </c>
      <c r="BJ26" s="113">
        <v>401</v>
      </c>
      <c r="BK26" s="113">
        <v>523</v>
      </c>
      <c r="BL26" s="113">
        <v>40</v>
      </c>
      <c r="BM26" s="113">
        <f>97+211+0</f>
        <v>308</v>
      </c>
      <c r="BN26" s="113">
        <v>2126</v>
      </c>
      <c r="BO26" s="113">
        <v>226</v>
      </c>
      <c r="BP26" s="113">
        <v>841</v>
      </c>
      <c r="BQ26" s="113">
        <v>30</v>
      </c>
      <c r="BR26" s="113">
        <v>0</v>
      </c>
      <c r="BS26" s="113">
        <v>24</v>
      </c>
    </row>
    <row r="27" spans="1:71" s="15" customFormat="1" ht="18.600000000000001" customHeight="1" x14ac:dyDescent="0.25">
      <c r="A27" s="125"/>
      <c r="B27" s="4"/>
      <c r="C27" s="47" t="s">
        <v>76</v>
      </c>
      <c r="D27" s="235"/>
      <c r="E27" s="16">
        <f t="shared" si="0"/>
        <v>71</v>
      </c>
      <c r="F27" s="26">
        <v>0</v>
      </c>
      <c r="G27" s="26">
        <v>0</v>
      </c>
      <c r="H27" s="26">
        <v>0</v>
      </c>
      <c r="I27" s="26">
        <v>0</v>
      </c>
      <c r="J27" s="26">
        <v>0</v>
      </c>
      <c r="K27" s="26">
        <v>0</v>
      </c>
      <c r="L27" s="26">
        <v>0</v>
      </c>
      <c r="M27" s="26">
        <v>1</v>
      </c>
      <c r="N27" s="26">
        <v>0</v>
      </c>
      <c r="O27" s="26">
        <v>0</v>
      </c>
      <c r="P27" s="26">
        <v>7</v>
      </c>
      <c r="Q27" s="26">
        <v>0</v>
      </c>
      <c r="R27" s="26">
        <v>0</v>
      </c>
      <c r="S27" s="26">
        <v>0</v>
      </c>
      <c r="T27" s="26">
        <v>0</v>
      </c>
      <c r="U27" s="16">
        <v>1</v>
      </c>
      <c r="V27" s="16">
        <v>1</v>
      </c>
      <c r="W27" s="16">
        <v>0</v>
      </c>
      <c r="X27" s="16">
        <v>0</v>
      </c>
      <c r="Y27" s="16">
        <v>0</v>
      </c>
      <c r="Z27" s="16">
        <v>0</v>
      </c>
      <c r="AA27" s="16">
        <v>0</v>
      </c>
      <c r="AB27" s="16">
        <v>0</v>
      </c>
      <c r="AC27" s="16">
        <v>1</v>
      </c>
      <c r="AD27" s="16">
        <v>10</v>
      </c>
      <c r="AE27" s="16">
        <v>3</v>
      </c>
      <c r="AF27" s="16">
        <v>0</v>
      </c>
      <c r="AG27" s="16">
        <v>10</v>
      </c>
      <c r="AH27" s="16">
        <v>2</v>
      </c>
      <c r="AI27" s="16">
        <v>0</v>
      </c>
      <c r="AJ27" s="16">
        <v>2</v>
      </c>
      <c r="AK27" s="125"/>
      <c r="AL27" s="4"/>
      <c r="AM27" s="47" t="s">
        <v>76</v>
      </c>
      <c r="AN27" s="235"/>
      <c r="AO27" s="113">
        <v>0</v>
      </c>
      <c r="AP27" s="113">
        <v>0</v>
      </c>
      <c r="AQ27" s="113">
        <v>9</v>
      </c>
      <c r="AR27" s="113">
        <v>0</v>
      </c>
      <c r="AS27" s="113">
        <v>0</v>
      </c>
      <c r="AT27" s="113">
        <v>0</v>
      </c>
      <c r="AU27" s="113">
        <v>0</v>
      </c>
      <c r="AV27" s="113">
        <v>0</v>
      </c>
      <c r="AW27" s="113">
        <v>11</v>
      </c>
      <c r="AX27" s="113">
        <v>0</v>
      </c>
      <c r="AY27" s="113">
        <v>10</v>
      </c>
      <c r="AZ27" s="113">
        <v>0</v>
      </c>
      <c r="BA27" s="113">
        <v>0</v>
      </c>
      <c r="BB27" s="113">
        <v>3</v>
      </c>
      <c r="BC27" s="113">
        <v>0</v>
      </c>
      <c r="BD27" s="113">
        <v>0</v>
      </c>
      <c r="BE27" s="113">
        <v>0</v>
      </c>
      <c r="BF27" s="113">
        <v>0</v>
      </c>
      <c r="BG27" s="113">
        <v>0</v>
      </c>
      <c r="BH27" s="113">
        <v>0</v>
      </c>
      <c r="BI27" s="113">
        <v>0</v>
      </c>
      <c r="BJ27" s="113">
        <v>0</v>
      </c>
      <c r="BK27" s="113">
        <v>0</v>
      </c>
      <c r="BL27" s="113">
        <v>0</v>
      </c>
      <c r="BM27" s="113">
        <v>0</v>
      </c>
      <c r="BN27" s="113">
        <v>0</v>
      </c>
      <c r="BO27" s="113">
        <v>0</v>
      </c>
      <c r="BP27" s="113">
        <v>0</v>
      </c>
      <c r="BQ27" s="113">
        <v>0</v>
      </c>
      <c r="BR27" s="113">
        <v>0</v>
      </c>
      <c r="BS27" s="113">
        <v>0</v>
      </c>
    </row>
    <row r="28" spans="1:71" s="15" customFormat="1" ht="18.600000000000001" customHeight="1" x14ac:dyDescent="0.25">
      <c r="A28" s="125" t="s">
        <v>82</v>
      </c>
      <c r="B28" s="4"/>
      <c r="C28" s="47" t="s">
        <v>75</v>
      </c>
      <c r="D28" s="235"/>
      <c r="E28" s="16">
        <f t="shared" si="0"/>
        <v>5310</v>
      </c>
      <c r="F28" s="16">
        <v>3</v>
      </c>
      <c r="G28" s="16">
        <v>0</v>
      </c>
      <c r="H28" s="16">
        <v>0</v>
      </c>
      <c r="I28" s="16">
        <v>1</v>
      </c>
      <c r="J28" s="16">
        <v>8</v>
      </c>
      <c r="K28" s="16">
        <v>19</v>
      </c>
      <c r="L28" s="16">
        <v>2093</v>
      </c>
      <c r="M28" s="16">
        <v>702</v>
      </c>
      <c r="N28" s="16">
        <v>22</v>
      </c>
      <c r="O28" s="16">
        <v>22</v>
      </c>
      <c r="P28" s="16">
        <v>4</v>
      </c>
      <c r="Q28" s="16">
        <v>0</v>
      </c>
      <c r="R28" s="16">
        <v>61</v>
      </c>
      <c r="S28" s="16">
        <v>60</v>
      </c>
      <c r="T28" s="16">
        <v>12</v>
      </c>
      <c r="U28" s="16">
        <v>45</v>
      </c>
      <c r="V28" s="16">
        <v>67</v>
      </c>
      <c r="W28" s="16">
        <v>0</v>
      </c>
      <c r="X28" s="16">
        <v>1</v>
      </c>
      <c r="Y28" s="16">
        <v>42</v>
      </c>
      <c r="Z28" s="16">
        <v>48</v>
      </c>
      <c r="AA28" s="16">
        <v>15</v>
      </c>
      <c r="AB28" s="16">
        <v>14</v>
      </c>
      <c r="AC28" s="16">
        <v>53</v>
      </c>
      <c r="AD28" s="16">
        <v>458</v>
      </c>
      <c r="AE28" s="16">
        <v>221</v>
      </c>
      <c r="AF28" s="16">
        <v>0</v>
      </c>
      <c r="AG28" s="16">
        <v>314</v>
      </c>
      <c r="AH28" s="16">
        <v>1</v>
      </c>
      <c r="AI28" s="16">
        <v>0</v>
      </c>
      <c r="AJ28" s="16">
        <v>27</v>
      </c>
      <c r="AK28" s="125" t="s">
        <v>82</v>
      </c>
      <c r="AL28" s="4"/>
      <c r="AM28" s="47" t="s">
        <v>75</v>
      </c>
      <c r="AN28" s="235"/>
      <c r="AO28" s="113">
        <v>21</v>
      </c>
      <c r="AP28" s="113">
        <v>0</v>
      </c>
      <c r="AQ28" s="113">
        <v>40</v>
      </c>
      <c r="AR28" s="113">
        <v>9</v>
      </c>
      <c r="AS28" s="113">
        <v>0</v>
      </c>
      <c r="AT28" s="113">
        <v>0</v>
      </c>
      <c r="AU28" s="113">
        <f>3+3+0</f>
        <v>6</v>
      </c>
      <c r="AV28" s="113">
        <v>46</v>
      </c>
      <c r="AW28" s="113">
        <v>28</v>
      </c>
      <c r="AX28" s="113">
        <v>7</v>
      </c>
      <c r="AY28" s="113">
        <v>54</v>
      </c>
      <c r="AZ28" s="113">
        <v>27</v>
      </c>
      <c r="BA28" s="113">
        <v>5</v>
      </c>
      <c r="BB28" s="113">
        <v>7</v>
      </c>
      <c r="BC28" s="113">
        <v>6</v>
      </c>
      <c r="BD28" s="113">
        <v>0</v>
      </c>
      <c r="BE28" s="113">
        <v>0</v>
      </c>
      <c r="BF28" s="113">
        <v>17</v>
      </c>
      <c r="BG28" s="113">
        <v>7</v>
      </c>
      <c r="BH28" s="113">
        <v>0</v>
      </c>
      <c r="BI28" s="113">
        <v>16</v>
      </c>
      <c r="BJ28" s="113">
        <v>70</v>
      </c>
      <c r="BK28" s="113">
        <v>83</v>
      </c>
      <c r="BL28" s="113">
        <v>0</v>
      </c>
      <c r="BM28" s="113">
        <v>0</v>
      </c>
      <c r="BN28" s="113">
        <v>198</v>
      </c>
      <c r="BO28" s="113">
        <v>228</v>
      </c>
      <c r="BP28" s="113">
        <v>53</v>
      </c>
      <c r="BQ28" s="113">
        <v>0</v>
      </c>
      <c r="BR28" s="113">
        <v>0</v>
      </c>
      <c r="BS28" s="113">
        <v>69</v>
      </c>
    </row>
    <row r="29" spans="1:71" s="15" customFormat="1" ht="18.600000000000001" customHeight="1" x14ac:dyDescent="0.25">
      <c r="A29" s="125"/>
      <c r="B29" s="4"/>
      <c r="C29" s="47" t="s">
        <v>76</v>
      </c>
      <c r="D29" s="235"/>
      <c r="E29" s="16">
        <f t="shared" si="0"/>
        <v>31</v>
      </c>
      <c r="F29" s="26">
        <v>0</v>
      </c>
      <c r="G29" s="26">
        <v>0</v>
      </c>
      <c r="H29" s="26">
        <v>0</v>
      </c>
      <c r="I29" s="26">
        <v>0</v>
      </c>
      <c r="J29" s="26">
        <v>0</v>
      </c>
      <c r="K29" s="26">
        <v>0</v>
      </c>
      <c r="L29" s="26">
        <v>2</v>
      </c>
      <c r="M29" s="26">
        <v>0</v>
      </c>
      <c r="N29" s="26">
        <v>0</v>
      </c>
      <c r="O29" s="26">
        <v>1</v>
      </c>
      <c r="P29" s="26">
        <v>0</v>
      </c>
      <c r="Q29" s="26">
        <v>0</v>
      </c>
      <c r="R29" s="26">
        <v>4</v>
      </c>
      <c r="S29" s="26">
        <v>2</v>
      </c>
      <c r="T29" s="26">
        <v>0</v>
      </c>
      <c r="U29" s="16">
        <v>0</v>
      </c>
      <c r="V29" s="16">
        <v>0</v>
      </c>
      <c r="W29" s="16">
        <v>0</v>
      </c>
      <c r="X29" s="16">
        <v>0</v>
      </c>
      <c r="Y29" s="16">
        <v>0</v>
      </c>
      <c r="Z29" s="16">
        <v>0</v>
      </c>
      <c r="AA29" s="16">
        <v>0</v>
      </c>
      <c r="AB29" s="16">
        <v>1</v>
      </c>
      <c r="AC29" s="16">
        <v>0</v>
      </c>
      <c r="AD29" s="16">
        <v>0</v>
      </c>
      <c r="AE29" s="16">
        <v>0</v>
      </c>
      <c r="AF29" s="16">
        <v>0</v>
      </c>
      <c r="AG29" s="16">
        <v>9</v>
      </c>
      <c r="AH29" s="16">
        <v>0</v>
      </c>
      <c r="AI29" s="16">
        <v>0</v>
      </c>
      <c r="AJ29" s="16">
        <v>0</v>
      </c>
      <c r="AK29" s="125"/>
      <c r="AL29" s="4"/>
      <c r="AM29" s="47" t="s">
        <v>76</v>
      </c>
      <c r="AN29" s="235"/>
      <c r="AO29" s="113">
        <v>0</v>
      </c>
      <c r="AP29" s="113">
        <v>0</v>
      </c>
      <c r="AQ29" s="113">
        <v>1</v>
      </c>
      <c r="AR29" s="113">
        <v>0</v>
      </c>
      <c r="AS29" s="113">
        <v>0</v>
      </c>
      <c r="AT29" s="113">
        <v>0</v>
      </c>
      <c r="AU29" s="113">
        <v>0</v>
      </c>
      <c r="AV29" s="113">
        <v>2</v>
      </c>
      <c r="AW29" s="113">
        <v>3</v>
      </c>
      <c r="AX29" s="113">
        <v>0</v>
      </c>
      <c r="AY29" s="113">
        <v>3</v>
      </c>
      <c r="AZ29" s="113">
        <v>0</v>
      </c>
      <c r="BA29" s="113">
        <v>0</v>
      </c>
      <c r="BB29" s="113">
        <v>0</v>
      </c>
      <c r="BC29" s="113">
        <v>1</v>
      </c>
      <c r="BD29" s="113">
        <v>0</v>
      </c>
      <c r="BE29" s="113">
        <v>0</v>
      </c>
      <c r="BF29" s="113">
        <v>0</v>
      </c>
      <c r="BG29" s="113">
        <v>0</v>
      </c>
      <c r="BH29" s="113">
        <v>0</v>
      </c>
      <c r="BI29" s="113">
        <v>0</v>
      </c>
      <c r="BJ29" s="113">
        <v>0</v>
      </c>
      <c r="BK29" s="113">
        <v>0</v>
      </c>
      <c r="BL29" s="113">
        <v>0</v>
      </c>
      <c r="BM29" s="113">
        <v>0</v>
      </c>
      <c r="BN29" s="113">
        <v>1</v>
      </c>
      <c r="BO29" s="113">
        <v>0</v>
      </c>
      <c r="BP29" s="113">
        <v>1</v>
      </c>
      <c r="BQ29" s="113">
        <v>0</v>
      </c>
      <c r="BR29" s="113">
        <v>0</v>
      </c>
      <c r="BS29" s="113">
        <v>0</v>
      </c>
    </row>
    <row r="30" spans="1:71" s="15" customFormat="1" ht="18.600000000000001" customHeight="1" x14ac:dyDescent="0.25">
      <c r="A30" s="125" t="s">
        <v>83</v>
      </c>
      <c r="B30" s="4"/>
      <c r="C30" s="47" t="s">
        <v>75</v>
      </c>
      <c r="D30" s="235"/>
      <c r="E30" s="16">
        <f t="shared" si="0"/>
        <v>5427</v>
      </c>
      <c r="F30" s="16">
        <v>6</v>
      </c>
      <c r="G30" s="16">
        <v>1</v>
      </c>
      <c r="H30" s="16">
        <v>0</v>
      </c>
      <c r="I30" s="16">
        <v>2</v>
      </c>
      <c r="J30" s="16">
        <v>3</v>
      </c>
      <c r="K30" s="16">
        <v>2</v>
      </c>
      <c r="L30" s="16">
        <v>1209</v>
      </c>
      <c r="M30" s="16">
        <v>431</v>
      </c>
      <c r="N30" s="16">
        <v>9</v>
      </c>
      <c r="O30" s="16">
        <v>20</v>
      </c>
      <c r="P30" s="16">
        <v>15</v>
      </c>
      <c r="Q30" s="16">
        <v>0</v>
      </c>
      <c r="R30" s="16">
        <v>87</v>
      </c>
      <c r="S30" s="16">
        <v>69</v>
      </c>
      <c r="T30" s="16">
        <v>0</v>
      </c>
      <c r="U30" s="16">
        <v>62</v>
      </c>
      <c r="V30" s="16">
        <v>82</v>
      </c>
      <c r="W30" s="16">
        <v>0</v>
      </c>
      <c r="X30" s="16">
        <v>12</v>
      </c>
      <c r="Y30" s="16">
        <v>24</v>
      </c>
      <c r="Z30" s="16">
        <v>44</v>
      </c>
      <c r="AA30" s="16">
        <v>37</v>
      </c>
      <c r="AB30" s="16">
        <v>47</v>
      </c>
      <c r="AC30" s="16">
        <v>42</v>
      </c>
      <c r="AD30" s="16">
        <v>595</v>
      </c>
      <c r="AE30" s="16">
        <v>431</v>
      </c>
      <c r="AF30" s="16">
        <v>0</v>
      </c>
      <c r="AG30" s="16">
        <v>459</v>
      </c>
      <c r="AH30" s="16">
        <v>4</v>
      </c>
      <c r="AI30" s="16">
        <v>2</v>
      </c>
      <c r="AJ30" s="16">
        <v>38</v>
      </c>
      <c r="AK30" s="125" t="s">
        <v>83</v>
      </c>
      <c r="AL30" s="4"/>
      <c r="AM30" s="47" t="s">
        <v>75</v>
      </c>
      <c r="AN30" s="235"/>
      <c r="AO30" s="113">
        <v>10</v>
      </c>
      <c r="AP30" s="113">
        <v>0</v>
      </c>
      <c r="AQ30" s="113">
        <v>118</v>
      </c>
      <c r="AR30" s="113">
        <v>28</v>
      </c>
      <c r="AS30" s="113">
        <v>0</v>
      </c>
      <c r="AT30" s="113">
        <v>2</v>
      </c>
      <c r="AU30" s="113">
        <v>0</v>
      </c>
      <c r="AV30" s="113">
        <v>26</v>
      </c>
      <c r="AW30" s="113">
        <v>50</v>
      </c>
      <c r="AX30" s="113">
        <v>20</v>
      </c>
      <c r="AY30" s="113">
        <v>80</v>
      </c>
      <c r="AZ30" s="113">
        <v>263</v>
      </c>
      <c r="BA30" s="113">
        <v>4</v>
      </c>
      <c r="BB30" s="113">
        <v>15</v>
      </c>
      <c r="BC30" s="113">
        <v>10</v>
      </c>
      <c r="BD30" s="113">
        <v>0</v>
      </c>
      <c r="BE30" s="113">
        <v>3</v>
      </c>
      <c r="BF30" s="113">
        <v>20</v>
      </c>
      <c r="BG30" s="113">
        <v>4</v>
      </c>
      <c r="BH30" s="113">
        <v>0</v>
      </c>
      <c r="BI30" s="113">
        <v>19</v>
      </c>
      <c r="BJ30" s="113">
        <v>81</v>
      </c>
      <c r="BK30" s="113">
        <v>36</v>
      </c>
      <c r="BL30" s="113">
        <v>13</v>
      </c>
      <c r="BM30" s="113">
        <v>6</v>
      </c>
      <c r="BN30" s="113">
        <v>645</v>
      </c>
      <c r="BO30" s="113">
        <v>153</v>
      </c>
      <c r="BP30" s="113">
        <v>75</v>
      </c>
      <c r="BQ30" s="113">
        <v>1</v>
      </c>
      <c r="BR30" s="113">
        <v>0</v>
      </c>
      <c r="BS30" s="113">
        <v>12</v>
      </c>
    </row>
    <row r="31" spans="1:71" s="15" customFormat="1" ht="18.600000000000001" customHeight="1" x14ac:dyDescent="0.25">
      <c r="A31" s="125"/>
      <c r="B31" s="4"/>
      <c r="C31" s="47" t="s">
        <v>76</v>
      </c>
      <c r="D31" s="235"/>
      <c r="E31" s="16">
        <f t="shared" si="0"/>
        <v>18</v>
      </c>
      <c r="F31" s="26">
        <v>0</v>
      </c>
      <c r="G31" s="26">
        <v>0</v>
      </c>
      <c r="H31" s="26">
        <v>0</v>
      </c>
      <c r="I31" s="26">
        <v>0</v>
      </c>
      <c r="J31" s="26">
        <v>0</v>
      </c>
      <c r="K31" s="26">
        <v>0</v>
      </c>
      <c r="L31" s="26">
        <v>0</v>
      </c>
      <c r="M31" s="26">
        <v>1</v>
      </c>
      <c r="N31" s="26">
        <v>0</v>
      </c>
      <c r="O31" s="26">
        <v>0</v>
      </c>
      <c r="P31" s="26">
        <v>0</v>
      </c>
      <c r="Q31" s="26">
        <v>0</v>
      </c>
      <c r="R31" s="26">
        <v>0</v>
      </c>
      <c r="S31" s="26">
        <v>0</v>
      </c>
      <c r="T31" s="26">
        <v>0</v>
      </c>
      <c r="U31" s="16">
        <v>2</v>
      </c>
      <c r="V31" s="16">
        <v>0</v>
      </c>
      <c r="W31" s="16">
        <v>0</v>
      </c>
      <c r="X31" s="16">
        <v>0</v>
      </c>
      <c r="Y31" s="16">
        <v>0</v>
      </c>
      <c r="Z31" s="16">
        <v>0</v>
      </c>
      <c r="AA31" s="16">
        <v>0</v>
      </c>
      <c r="AB31" s="16">
        <v>2</v>
      </c>
      <c r="AC31" s="16">
        <v>1</v>
      </c>
      <c r="AD31" s="16">
        <v>0</v>
      </c>
      <c r="AE31" s="16">
        <v>0</v>
      </c>
      <c r="AF31" s="16">
        <v>0</v>
      </c>
      <c r="AG31" s="16">
        <v>9</v>
      </c>
      <c r="AH31" s="16">
        <v>0</v>
      </c>
      <c r="AI31" s="16">
        <v>0</v>
      </c>
      <c r="AJ31" s="16">
        <v>1</v>
      </c>
      <c r="AK31" s="125"/>
      <c r="AL31" s="4"/>
      <c r="AM31" s="47" t="s">
        <v>76</v>
      </c>
      <c r="AN31" s="235"/>
      <c r="AO31" s="113">
        <v>1</v>
      </c>
      <c r="AP31" s="113">
        <v>0</v>
      </c>
      <c r="AQ31" s="113">
        <v>0</v>
      </c>
      <c r="AR31" s="113">
        <v>0</v>
      </c>
      <c r="AS31" s="113">
        <v>0</v>
      </c>
      <c r="AT31" s="113">
        <v>0</v>
      </c>
      <c r="AU31" s="113">
        <v>0</v>
      </c>
      <c r="AV31" s="113">
        <v>0</v>
      </c>
      <c r="AW31" s="113">
        <v>0</v>
      </c>
      <c r="AX31" s="113">
        <v>0</v>
      </c>
      <c r="AY31" s="113">
        <v>0</v>
      </c>
      <c r="AZ31" s="113">
        <v>1</v>
      </c>
      <c r="BA31" s="113">
        <v>0</v>
      </c>
      <c r="BB31" s="113">
        <v>0</v>
      </c>
      <c r="BC31" s="113">
        <v>0</v>
      </c>
      <c r="BD31" s="113">
        <v>0</v>
      </c>
      <c r="BE31" s="113">
        <v>0</v>
      </c>
      <c r="BF31" s="113">
        <v>0</v>
      </c>
      <c r="BG31" s="113">
        <v>0</v>
      </c>
      <c r="BH31" s="113">
        <v>0</v>
      </c>
      <c r="BI31" s="113">
        <v>0</v>
      </c>
      <c r="BJ31" s="113">
        <v>0</v>
      </c>
      <c r="BK31" s="113">
        <v>0</v>
      </c>
      <c r="BL31" s="113">
        <v>0</v>
      </c>
      <c r="BM31" s="113">
        <v>0</v>
      </c>
      <c r="BN31" s="113">
        <v>0</v>
      </c>
      <c r="BO31" s="113">
        <v>0</v>
      </c>
      <c r="BP31" s="113">
        <v>0</v>
      </c>
      <c r="BQ31" s="113">
        <v>0</v>
      </c>
      <c r="BR31" s="113">
        <v>0</v>
      </c>
      <c r="BS31" s="113">
        <v>0</v>
      </c>
    </row>
    <row r="32" spans="1:71" s="15" customFormat="1" ht="18.600000000000001" customHeight="1" x14ac:dyDescent="0.25">
      <c r="A32" s="125" t="s">
        <v>84</v>
      </c>
      <c r="B32" s="4"/>
      <c r="C32" s="47" t="s">
        <v>75</v>
      </c>
      <c r="D32" s="235"/>
      <c r="E32" s="16">
        <f t="shared" si="0"/>
        <v>26195</v>
      </c>
      <c r="F32" s="16">
        <v>105</v>
      </c>
      <c r="G32" s="16">
        <v>28</v>
      </c>
      <c r="H32" s="16">
        <v>16</v>
      </c>
      <c r="I32" s="16">
        <v>2</v>
      </c>
      <c r="J32" s="16">
        <v>54</v>
      </c>
      <c r="K32" s="16">
        <v>76</v>
      </c>
      <c r="L32" s="16">
        <v>2322</v>
      </c>
      <c r="M32" s="16">
        <v>1852</v>
      </c>
      <c r="N32" s="16">
        <v>54</v>
      </c>
      <c r="O32" s="16">
        <v>252</v>
      </c>
      <c r="P32" s="16">
        <v>207</v>
      </c>
      <c r="Q32" s="16">
        <v>0</v>
      </c>
      <c r="R32" s="16">
        <v>487</v>
      </c>
      <c r="S32" s="16">
        <v>322</v>
      </c>
      <c r="T32" s="16">
        <v>39</v>
      </c>
      <c r="U32" s="16">
        <v>314</v>
      </c>
      <c r="V32" s="16">
        <v>993</v>
      </c>
      <c r="W32" s="16">
        <v>0</v>
      </c>
      <c r="X32" s="16">
        <v>13</v>
      </c>
      <c r="Y32" s="16">
        <v>138</v>
      </c>
      <c r="Z32" s="16">
        <v>447</v>
      </c>
      <c r="AA32" s="16">
        <v>112</v>
      </c>
      <c r="AB32" s="16">
        <v>144</v>
      </c>
      <c r="AC32" s="16">
        <v>373</v>
      </c>
      <c r="AD32" s="16">
        <v>2182</v>
      </c>
      <c r="AE32" s="16">
        <v>1402</v>
      </c>
      <c r="AF32" s="16">
        <v>0</v>
      </c>
      <c r="AG32" s="16">
        <v>1430</v>
      </c>
      <c r="AH32" s="16">
        <v>113</v>
      </c>
      <c r="AI32" s="16">
        <v>0</v>
      </c>
      <c r="AJ32" s="16">
        <v>177</v>
      </c>
      <c r="AK32" s="125" t="s">
        <v>84</v>
      </c>
      <c r="AL32" s="4"/>
      <c r="AM32" s="47" t="s">
        <v>75</v>
      </c>
      <c r="AN32" s="235"/>
      <c r="AO32" s="113">
        <v>24</v>
      </c>
      <c r="AP32" s="113">
        <v>0</v>
      </c>
      <c r="AQ32" s="113">
        <v>516</v>
      </c>
      <c r="AR32" s="113">
        <v>99</v>
      </c>
      <c r="AS32" s="113">
        <f>52+103+0</f>
        <v>155</v>
      </c>
      <c r="AT32" s="113">
        <f>16+5+0</f>
        <v>21</v>
      </c>
      <c r="AU32" s="113">
        <f>320+152+0</f>
        <v>472</v>
      </c>
      <c r="AV32" s="113">
        <v>428</v>
      </c>
      <c r="AW32" s="113">
        <v>240</v>
      </c>
      <c r="AX32" s="113">
        <v>39</v>
      </c>
      <c r="AY32" s="113">
        <v>1388</v>
      </c>
      <c r="AZ32" s="113">
        <v>1044</v>
      </c>
      <c r="BA32" s="113">
        <v>12</v>
      </c>
      <c r="BB32" s="113">
        <v>678</v>
      </c>
      <c r="BC32" s="113">
        <v>58</v>
      </c>
      <c r="BD32" s="113">
        <v>481</v>
      </c>
      <c r="BE32" s="113">
        <v>300</v>
      </c>
      <c r="BF32" s="113">
        <v>171</v>
      </c>
      <c r="BG32" s="113">
        <v>39</v>
      </c>
      <c r="BH32" s="113">
        <v>90</v>
      </c>
      <c r="BI32" s="113">
        <v>448</v>
      </c>
      <c r="BJ32" s="113">
        <v>320</v>
      </c>
      <c r="BK32" s="113">
        <v>536</v>
      </c>
      <c r="BL32" s="113">
        <v>992</v>
      </c>
      <c r="BM32" s="113">
        <f>408+209+0</f>
        <v>617</v>
      </c>
      <c r="BN32" s="113">
        <v>1941</v>
      </c>
      <c r="BO32" s="113">
        <v>739</v>
      </c>
      <c r="BP32" s="113">
        <v>385</v>
      </c>
      <c r="BQ32" s="113">
        <v>0</v>
      </c>
      <c r="BR32" s="113">
        <v>12</v>
      </c>
      <c r="BS32" s="113">
        <f>21+275+0</f>
        <v>296</v>
      </c>
    </row>
    <row r="33" spans="1:71" s="15" customFormat="1" ht="18.600000000000001" customHeight="1" x14ac:dyDescent="0.25">
      <c r="A33" s="125"/>
      <c r="B33" s="4"/>
      <c r="C33" s="47" t="s">
        <v>76</v>
      </c>
      <c r="D33" s="235"/>
      <c r="E33" s="16">
        <f t="shared" si="0"/>
        <v>88</v>
      </c>
      <c r="F33" s="26">
        <v>0</v>
      </c>
      <c r="G33" s="26">
        <v>0</v>
      </c>
      <c r="H33" s="26">
        <v>0</v>
      </c>
      <c r="I33" s="26">
        <v>0</v>
      </c>
      <c r="J33" s="26">
        <v>0</v>
      </c>
      <c r="K33" s="26">
        <v>1</v>
      </c>
      <c r="L33" s="26">
        <v>1</v>
      </c>
      <c r="M33" s="26">
        <v>3</v>
      </c>
      <c r="N33" s="26">
        <v>0</v>
      </c>
      <c r="O33" s="26">
        <v>2</v>
      </c>
      <c r="P33" s="26">
        <v>0</v>
      </c>
      <c r="Q33" s="26">
        <v>0</v>
      </c>
      <c r="R33" s="26">
        <v>2</v>
      </c>
      <c r="S33" s="26">
        <v>0</v>
      </c>
      <c r="T33" s="26">
        <v>0</v>
      </c>
      <c r="U33" s="26">
        <v>2</v>
      </c>
      <c r="V33" s="26">
        <v>4</v>
      </c>
      <c r="W33" s="26">
        <v>0</v>
      </c>
      <c r="X33" s="26">
        <v>0</v>
      </c>
      <c r="Y33" s="26">
        <v>0</v>
      </c>
      <c r="Z33" s="26">
        <v>0</v>
      </c>
      <c r="AA33" s="26">
        <v>2</v>
      </c>
      <c r="AB33" s="26">
        <v>4</v>
      </c>
      <c r="AC33" s="26">
        <v>2</v>
      </c>
      <c r="AD33" s="26">
        <v>9</v>
      </c>
      <c r="AE33" s="26">
        <v>2</v>
      </c>
      <c r="AF33" s="26">
        <v>0</v>
      </c>
      <c r="AG33" s="26">
        <v>20</v>
      </c>
      <c r="AH33" s="26">
        <v>0</v>
      </c>
      <c r="AI33" s="26">
        <v>0</v>
      </c>
      <c r="AJ33" s="26">
        <v>1</v>
      </c>
      <c r="AK33" s="125"/>
      <c r="AL33" s="4"/>
      <c r="AM33" s="47" t="s">
        <v>76</v>
      </c>
      <c r="AN33" s="235"/>
      <c r="AO33" s="113">
        <v>0</v>
      </c>
      <c r="AP33" s="113">
        <v>0</v>
      </c>
      <c r="AQ33" s="113">
        <v>9</v>
      </c>
      <c r="AR33" s="113">
        <v>0</v>
      </c>
      <c r="AS33" s="113">
        <v>0</v>
      </c>
      <c r="AT33" s="113">
        <v>0</v>
      </c>
      <c r="AU33" s="113">
        <v>0</v>
      </c>
      <c r="AV33" s="113">
        <v>0</v>
      </c>
      <c r="AW33" s="113">
        <v>1</v>
      </c>
      <c r="AX33" s="113">
        <v>0</v>
      </c>
      <c r="AY33" s="113">
        <v>7</v>
      </c>
      <c r="AZ33" s="113">
        <v>3</v>
      </c>
      <c r="BA33" s="113">
        <v>0</v>
      </c>
      <c r="BB33" s="113">
        <v>1</v>
      </c>
      <c r="BC33" s="113">
        <v>0</v>
      </c>
      <c r="BD33" s="113">
        <v>0</v>
      </c>
      <c r="BE33" s="113">
        <v>0</v>
      </c>
      <c r="BF33" s="113">
        <v>7</v>
      </c>
      <c r="BG33" s="113">
        <v>1</v>
      </c>
      <c r="BH33" s="113">
        <v>0</v>
      </c>
      <c r="BI33" s="113">
        <v>0</v>
      </c>
      <c r="BJ33" s="113">
        <v>0</v>
      </c>
      <c r="BK33" s="113">
        <v>0</v>
      </c>
      <c r="BL33" s="113">
        <v>0</v>
      </c>
      <c r="BM33" s="113">
        <v>0</v>
      </c>
      <c r="BN33" s="113">
        <v>4</v>
      </c>
      <c r="BO33" s="113">
        <v>0</v>
      </c>
      <c r="BP33" s="113">
        <v>0</v>
      </c>
      <c r="BQ33" s="113">
        <v>0</v>
      </c>
      <c r="BR33" s="113">
        <v>0</v>
      </c>
      <c r="BS33" s="113">
        <v>0</v>
      </c>
    </row>
    <row r="34" spans="1:71" s="15" customFormat="1" ht="18.600000000000001" customHeight="1" x14ac:dyDescent="0.25">
      <c r="A34" s="125" t="s">
        <v>85</v>
      </c>
      <c r="B34" s="5"/>
      <c r="C34" s="47" t="s">
        <v>75</v>
      </c>
      <c r="D34" s="235"/>
      <c r="E34" s="16">
        <f t="shared" si="0"/>
        <v>9045</v>
      </c>
      <c r="F34" s="16">
        <v>12</v>
      </c>
      <c r="G34" s="16">
        <v>1</v>
      </c>
      <c r="H34" s="16">
        <v>0</v>
      </c>
      <c r="I34" s="16">
        <v>3</v>
      </c>
      <c r="J34" s="16">
        <v>0</v>
      </c>
      <c r="K34" s="16">
        <v>17</v>
      </c>
      <c r="L34" s="26">
        <v>2869</v>
      </c>
      <c r="M34" s="26">
        <v>935</v>
      </c>
      <c r="N34" s="26">
        <v>6</v>
      </c>
      <c r="O34" s="26">
        <v>26</v>
      </c>
      <c r="P34" s="26">
        <v>19</v>
      </c>
      <c r="Q34" s="26">
        <v>0</v>
      </c>
      <c r="R34" s="26">
        <v>100</v>
      </c>
      <c r="S34" s="26">
        <v>87</v>
      </c>
      <c r="T34" s="26">
        <v>19</v>
      </c>
      <c r="U34" s="26">
        <v>44</v>
      </c>
      <c r="V34" s="26">
        <v>292</v>
      </c>
      <c r="W34" s="26">
        <v>8</v>
      </c>
      <c r="X34" s="26">
        <v>5</v>
      </c>
      <c r="Y34" s="26">
        <v>72</v>
      </c>
      <c r="Z34" s="26">
        <v>132</v>
      </c>
      <c r="AA34" s="26">
        <v>75</v>
      </c>
      <c r="AB34" s="26">
        <v>38</v>
      </c>
      <c r="AC34" s="26">
        <v>55</v>
      </c>
      <c r="AD34" s="26">
        <v>646</v>
      </c>
      <c r="AE34" s="26">
        <v>701</v>
      </c>
      <c r="AF34" s="26">
        <v>0</v>
      </c>
      <c r="AG34" s="26">
        <v>477</v>
      </c>
      <c r="AH34" s="26">
        <v>11</v>
      </c>
      <c r="AI34" s="26">
        <v>2</v>
      </c>
      <c r="AJ34" s="26">
        <v>40</v>
      </c>
      <c r="AK34" s="125" t="s">
        <v>85</v>
      </c>
      <c r="AL34" s="5"/>
      <c r="AM34" s="47" t="s">
        <v>75</v>
      </c>
      <c r="AN34" s="235"/>
      <c r="AO34" s="113">
        <v>21</v>
      </c>
      <c r="AP34" s="113">
        <v>0</v>
      </c>
      <c r="AQ34" s="113">
        <v>142</v>
      </c>
      <c r="AR34" s="113">
        <v>40</v>
      </c>
      <c r="AS34" s="113">
        <v>6</v>
      </c>
      <c r="AT34" s="113">
        <v>0</v>
      </c>
      <c r="AU34" s="113">
        <v>0</v>
      </c>
      <c r="AV34" s="113">
        <v>31</v>
      </c>
      <c r="AW34" s="113">
        <v>92</v>
      </c>
      <c r="AX34" s="113">
        <v>2</v>
      </c>
      <c r="AY34" s="113">
        <v>162</v>
      </c>
      <c r="AZ34" s="113">
        <v>161</v>
      </c>
      <c r="BA34" s="113">
        <v>4</v>
      </c>
      <c r="BB34" s="113">
        <v>27</v>
      </c>
      <c r="BC34" s="113">
        <v>11</v>
      </c>
      <c r="BD34" s="113">
        <v>26</v>
      </c>
      <c r="BE34" s="113">
        <v>19</v>
      </c>
      <c r="BF34" s="113">
        <v>17</v>
      </c>
      <c r="BG34" s="113">
        <v>4</v>
      </c>
      <c r="BH34" s="113">
        <v>0</v>
      </c>
      <c r="BI34" s="113">
        <v>23</v>
      </c>
      <c r="BJ34" s="113">
        <v>59</v>
      </c>
      <c r="BK34" s="113">
        <v>154</v>
      </c>
      <c r="BL34" s="113">
        <v>18</v>
      </c>
      <c r="BM34" s="113">
        <f>12+1+1</f>
        <v>14</v>
      </c>
      <c r="BN34" s="113">
        <v>666</v>
      </c>
      <c r="BO34" s="113">
        <v>383</v>
      </c>
      <c r="BP34" s="113">
        <v>134</v>
      </c>
      <c r="BQ34" s="113">
        <v>1</v>
      </c>
      <c r="BR34" s="113">
        <v>0</v>
      </c>
      <c r="BS34" s="113">
        <v>136</v>
      </c>
    </row>
    <row r="35" spans="1:71" s="15" customFormat="1" ht="18.600000000000001" customHeight="1" x14ac:dyDescent="0.25">
      <c r="A35" s="125"/>
      <c r="B35" s="5"/>
      <c r="C35" s="47" t="s">
        <v>76</v>
      </c>
      <c r="D35" s="235"/>
      <c r="E35" s="16">
        <f t="shared" si="0"/>
        <v>44</v>
      </c>
      <c r="F35" s="26">
        <v>0</v>
      </c>
      <c r="G35" s="26">
        <v>0</v>
      </c>
      <c r="H35" s="26">
        <v>0</v>
      </c>
      <c r="I35" s="26">
        <v>0</v>
      </c>
      <c r="J35" s="26">
        <v>0</v>
      </c>
      <c r="K35" s="26">
        <v>0</v>
      </c>
      <c r="L35" s="26">
        <v>2</v>
      </c>
      <c r="M35" s="26">
        <v>4</v>
      </c>
      <c r="N35" s="26">
        <v>0</v>
      </c>
      <c r="O35" s="26">
        <v>0</v>
      </c>
      <c r="P35" s="26">
        <v>0</v>
      </c>
      <c r="Q35" s="26">
        <v>0</v>
      </c>
      <c r="R35" s="26">
        <v>0</v>
      </c>
      <c r="S35" s="26">
        <v>0</v>
      </c>
      <c r="T35" s="26">
        <v>0</v>
      </c>
      <c r="U35" s="26">
        <v>0</v>
      </c>
      <c r="V35" s="26">
        <v>1</v>
      </c>
      <c r="W35" s="26">
        <v>0</v>
      </c>
      <c r="X35" s="26">
        <v>0</v>
      </c>
      <c r="Y35" s="26">
        <v>0</v>
      </c>
      <c r="Z35" s="26">
        <v>0</v>
      </c>
      <c r="AA35" s="26">
        <v>0</v>
      </c>
      <c r="AB35" s="26">
        <v>1</v>
      </c>
      <c r="AC35" s="26">
        <v>1</v>
      </c>
      <c r="AD35" s="26">
        <v>7</v>
      </c>
      <c r="AE35" s="26">
        <v>3</v>
      </c>
      <c r="AF35" s="26">
        <v>0</v>
      </c>
      <c r="AG35" s="26">
        <v>4</v>
      </c>
      <c r="AH35" s="26">
        <v>0</v>
      </c>
      <c r="AI35" s="26">
        <v>0</v>
      </c>
      <c r="AJ35" s="26">
        <v>0</v>
      </c>
      <c r="AK35" s="125"/>
      <c r="AL35" s="5"/>
      <c r="AM35" s="47" t="s">
        <v>76</v>
      </c>
      <c r="AN35" s="235"/>
      <c r="AO35" s="113">
        <v>0</v>
      </c>
      <c r="AP35" s="113">
        <v>0</v>
      </c>
      <c r="AQ35" s="113">
        <v>3</v>
      </c>
      <c r="AR35" s="113">
        <v>0</v>
      </c>
      <c r="AS35" s="113">
        <v>0</v>
      </c>
      <c r="AT35" s="113">
        <v>0</v>
      </c>
      <c r="AU35" s="113">
        <v>0</v>
      </c>
      <c r="AV35" s="113">
        <v>0</v>
      </c>
      <c r="AW35" s="113">
        <v>1</v>
      </c>
      <c r="AX35" s="113">
        <v>0</v>
      </c>
      <c r="AY35" s="113">
        <v>2</v>
      </c>
      <c r="AZ35" s="113">
        <v>11</v>
      </c>
      <c r="BA35" s="113">
        <v>0</v>
      </c>
      <c r="BB35" s="113">
        <v>1</v>
      </c>
      <c r="BC35" s="113">
        <v>0</v>
      </c>
      <c r="BD35" s="113">
        <v>0</v>
      </c>
      <c r="BE35" s="113">
        <v>0</v>
      </c>
      <c r="BF35" s="113">
        <v>1</v>
      </c>
      <c r="BG35" s="113">
        <v>0</v>
      </c>
      <c r="BH35" s="113">
        <v>0</v>
      </c>
      <c r="BI35" s="113">
        <v>2</v>
      </c>
      <c r="BJ35" s="113">
        <v>0</v>
      </c>
      <c r="BK35" s="113">
        <v>0</v>
      </c>
      <c r="BL35" s="113">
        <v>0</v>
      </c>
      <c r="BM35" s="113">
        <v>0</v>
      </c>
      <c r="BN35" s="113">
        <v>0</v>
      </c>
      <c r="BO35" s="113">
        <v>0</v>
      </c>
      <c r="BP35" s="113">
        <v>0</v>
      </c>
      <c r="BQ35" s="113">
        <v>0</v>
      </c>
      <c r="BR35" s="113">
        <v>0</v>
      </c>
      <c r="BS35" s="113">
        <v>0</v>
      </c>
    </row>
    <row r="36" spans="1:71" s="15" customFormat="1" ht="18.600000000000001" customHeight="1" x14ac:dyDescent="0.25">
      <c r="A36" s="125" t="s">
        <v>86</v>
      </c>
      <c r="B36" s="4"/>
      <c r="C36" s="47" t="s">
        <v>75</v>
      </c>
      <c r="D36" s="235"/>
      <c r="E36" s="16">
        <f t="shared" si="0"/>
        <v>9036</v>
      </c>
      <c r="F36" s="16">
        <v>37</v>
      </c>
      <c r="G36" s="16">
        <v>60</v>
      </c>
      <c r="H36" s="16">
        <v>2</v>
      </c>
      <c r="I36" s="16">
        <v>0</v>
      </c>
      <c r="J36" s="16">
        <v>9</v>
      </c>
      <c r="K36" s="16">
        <v>18</v>
      </c>
      <c r="L36" s="26">
        <v>849</v>
      </c>
      <c r="M36" s="26">
        <v>368</v>
      </c>
      <c r="N36" s="26">
        <v>17</v>
      </c>
      <c r="O36" s="26">
        <v>20</v>
      </c>
      <c r="P36" s="26">
        <v>22</v>
      </c>
      <c r="Q36" s="26">
        <v>0</v>
      </c>
      <c r="R36" s="26">
        <v>68</v>
      </c>
      <c r="S36" s="26">
        <v>69</v>
      </c>
      <c r="T36" s="26">
        <v>17</v>
      </c>
      <c r="U36" s="26">
        <v>51</v>
      </c>
      <c r="V36" s="26">
        <v>228</v>
      </c>
      <c r="W36" s="26">
        <v>53</v>
      </c>
      <c r="X36" s="26">
        <v>8</v>
      </c>
      <c r="Y36" s="26">
        <v>39</v>
      </c>
      <c r="Z36" s="26">
        <v>336</v>
      </c>
      <c r="AA36" s="26">
        <v>53</v>
      </c>
      <c r="AB36" s="26">
        <v>51</v>
      </c>
      <c r="AC36" s="26">
        <v>83</v>
      </c>
      <c r="AD36" s="26">
        <v>2010</v>
      </c>
      <c r="AE36" s="26">
        <v>400</v>
      </c>
      <c r="AF36" s="26">
        <v>0</v>
      </c>
      <c r="AG36" s="26">
        <v>350</v>
      </c>
      <c r="AH36" s="26">
        <v>29</v>
      </c>
      <c r="AI36" s="26">
        <v>0</v>
      </c>
      <c r="AJ36" s="26">
        <v>63</v>
      </c>
      <c r="AK36" s="125" t="s">
        <v>86</v>
      </c>
      <c r="AL36" s="4"/>
      <c r="AM36" s="47" t="s">
        <v>75</v>
      </c>
      <c r="AN36" s="235"/>
      <c r="AO36" s="113">
        <v>10</v>
      </c>
      <c r="AP36" s="113">
        <v>0</v>
      </c>
      <c r="AQ36" s="113">
        <v>102</v>
      </c>
      <c r="AR36" s="113">
        <v>21</v>
      </c>
      <c r="AS36" s="113">
        <f>2+25+0</f>
        <v>27</v>
      </c>
      <c r="AT36" s="113">
        <v>0</v>
      </c>
      <c r="AU36" s="113">
        <f>3+24+3</f>
        <v>30</v>
      </c>
      <c r="AV36" s="113">
        <v>26</v>
      </c>
      <c r="AW36" s="113">
        <v>44</v>
      </c>
      <c r="AX36" s="113">
        <v>21</v>
      </c>
      <c r="AY36" s="113">
        <v>1059</v>
      </c>
      <c r="AZ36" s="113">
        <v>569</v>
      </c>
      <c r="BA36" s="113">
        <v>5</v>
      </c>
      <c r="BB36" s="113">
        <v>131</v>
      </c>
      <c r="BC36" s="113">
        <v>16</v>
      </c>
      <c r="BD36" s="113">
        <f>37+115+2</f>
        <v>154</v>
      </c>
      <c r="BE36" s="113">
        <v>39</v>
      </c>
      <c r="BF36" s="113">
        <v>17</v>
      </c>
      <c r="BG36" s="113">
        <v>2</v>
      </c>
      <c r="BH36" s="113">
        <v>0</v>
      </c>
      <c r="BI36" s="113">
        <v>101</v>
      </c>
      <c r="BJ36" s="113">
        <v>70</v>
      </c>
      <c r="BK36" s="113">
        <v>64</v>
      </c>
      <c r="BL36" s="113">
        <v>10</v>
      </c>
      <c r="BM36" s="113">
        <f>1+151+0</f>
        <v>152</v>
      </c>
      <c r="BN36" s="113">
        <v>490</v>
      </c>
      <c r="BO36" s="113">
        <v>248</v>
      </c>
      <c r="BP36" s="113">
        <v>289</v>
      </c>
      <c r="BQ36" s="113">
        <v>3</v>
      </c>
      <c r="BR36" s="113">
        <v>0</v>
      </c>
      <c r="BS36" s="113">
        <v>26</v>
      </c>
    </row>
    <row r="37" spans="1:71" s="15" customFormat="1" ht="18.600000000000001" customHeight="1" x14ac:dyDescent="0.25">
      <c r="A37" s="125"/>
      <c r="B37" s="4"/>
      <c r="C37" s="47" t="s">
        <v>76</v>
      </c>
      <c r="D37" s="235"/>
      <c r="E37" s="16">
        <f t="shared" si="0"/>
        <v>30</v>
      </c>
      <c r="F37" s="26">
        <v>0</v>
      </c>
      <c r="G37" s="26">
        <v>0</v>
      </c>
      <c r="H37" s="26">
        <v>0</v>
      </c>
      <c r="I37" s="26">
        <v>0</v>
      </c>
      <c r="J37" s="26">
        <v>0</v>
      </c>
      <c r="K37" s="26">
        <v>0</v>
      </c>
      <c r="L37" s="26">
        <v>0</v>
      </c>
      <c r="M37" s="26">
        <v>4</v>
      </c>
      <c r="N37" s="26">
        <v>0</v>
      </c>
      <c r="O37" s="26">
        <v>1</v>
      </c>
      <c r="P37" s="26">
        <v>0</v>
      </c>
      <c r="Q37" s="26">
        <v>0</v>
      </c>
      <c r="R37" s="26">
        <v>0</v>
      </c>
      <c r="S37" s="26">
        <v>0</v>
      </c>
      <c r="T37" s="26">
        <v>0</v>
      </c>
      <c r="U37" s="26">
        <v>0</v>
      </c>
      <c r="V37" s="26">
        <v>4</v>
      </c>
      <c r="W37" s="26">
        <v>0</v>
      </c>
      <c r="X37" s="26">
        <v>0</v>
      </c>
      <c r="Y37" s="26">
        <v>0</v>
      </c>
      <c r="Z37" s="26">
        <v>0</v>
      </c>
      <c r="AA37" s="26">
        <v>0</v>
      </c>
      <c r="AB37" s="26">
        <v>2</v>
      </c>
      <c r="AC37" s="26">
        <v>0</v>
      </c>
      <c r="AD37" s="26">
        <v>0</v>
      </c>
      <c r="AE37" s="26">
        <v>0</v>
      </c>
      <c r="AF37" s="26">
        <v>0</v>
      </c>
      <c r="AG37" s="26">
        <v>0</v>
      </c>
      <c r="AH37" s="26">
        <v>0</v>
      </c>
      <c r="AI37" s="26">
        <v>0</v>
      </c>
      <c r="AJ37" s="26">
        <v>0</v>
      </c>
      <c r="AK37" s="125"/>
      <c r="AL37" s="4"/>
      <c r="AM37" s="47" t="s">
        <v>76</v>
      </c>
      <c r="AN37" s="235"/>
      <c r="AO37" s="113">
        <v>0</v>
      </c>
      <c r="AP37" s="113">
        <v>0</v>
      </c>
      <c r="AQ37" s="113">
        <v>3</v>
      </c>
      <c r="AR37" s="113">
        <v>0</v>
      </c>
      <c r="AS37" s="113">
        <v>0</v>
      </c>
      <c r="AT37" s="113">
        <v>0</v>
      </c>
      <c r="AU37" s="113">
        <v>0</v>
      </c>
      <c r="AV37" s="113">
        <v>0</v>
      </c>
      <c r="AW37" s="113">
        <v>0</v>
      </c>
      <c r="AX37" s="113">
        <v>0</v>
      </c>
      <c r="AY37" s="113">
        <v>2</v>
      </c>
      <c r="AZ37" s="113">
        <v>4</v>
      </c>
      <c r="BA37" s="113">
        <v>0</v>
      </c>
      <c r="BB37" s="113">
        <v>3</v>
      </c>
      <c r="BC37" s="113">
        <v>0</v>
      </c>
      <c r="BD37" s="113">
        <v>0</v>
      </c>
      <c r="BE37" s="113">
        <v>0</v>
      </c>
      <c r="BF37" s="113">
        <v>0</v>
      </c>
      <c r="BG37" s="113">
        <v>0</v>
      </c>
      <c r="BH37" s="113">
        <v>0</v>
      </c>
      <c r="BI37" s="113">
        <v>0</v>
      </c>
      <c r="BJ37" s="113">
        <v>2</v>
      </c>
      <c r="BK37" s="113">
        <v>1</v>
      </c>
      <c r="BL37" s="113">
        <v>0</v>
      </c>
      <c r="BM37" s="113">
        <v>0</v>
      </c>
      <c r="BN37" s="113">
        <v>1</v>
      </c>
      <c r="BO37" s="113">
        <v>0</v>
      </c>
      <c r="BP37" s="113">
        <v>2</v>
      </c>
      <c r="BQ37" s="113">
        <v>0</v>
      </c>
      <c r="BR37" s="113">
        <v>0</v>
      </c>
      <c r="BS37" s="113">
        <v>1</v>
      </c>
    </row>
    <row r="38" spans="1:71" s="15" customFormat="1" ht="18.600000000000001" customHeight="1" x14ac:dyDescent="0.25">
      <c r="A38" s="125" t="s">
        <v>87</v>
      </c>
      <c r="B38" s="4"/>
      <c r="C38" s="47" t="s">
        <v>75</v>
      </c>
      <c r="D38" s="235"/>
      <c r="E38" s="16">
        <f t="shared" si="0"/>
        <v>9878</v>
      </c>
      <c r="F38" s="16">
        <v>6</v>
      </c>
      <c r="G38" s="16">
        <v>0</v>
      </c>
      <c r="H38" s="16">
        <v>9</v>
      </c>
      <c r="I38" s="16">
        <v>0</v>
      </c>
      <c r="J38" s="16">
        <v>3</v>
      </c>
      <c r="K38" s="16">
        <v>2</v>
      </c>
      <c r="L38" s="26">
        <v>1706</v>
      </c>
      <c r="M38" s="26">
        <v>1516</v>
      </c>
      <c r="N38" s="26">
        <v>67</v>
      </c>
      <c r="O38" s="26">
        <v>33</v>
      </c>
      <c r="P38" s="26">
        <v>31</v>
      </c>
      <c r="Q38" s="26">
        <v>0</v>
      </c>
      <c r="R38" s="26">
        <v>127</v>
      </c>
      <c r="S38" s="26">
        <v>140</v>
      </c>
      <c r="T38" s="26">
        <v>10</v>
      </c>
      <c r="U38" s="26">
        <v>23</v>
      </c>
      <c r="V38" s="26">
        <v>184</v>
      </c>
      <c r="W38" s="26">
        <v>17</v>
      </c>
      <c r="X38" s="26">
        <v>2</v>
      </c>
      <c r="Y38" s="26">
        <v>75</v>
      </c>
      <c r="Z38" s="26">
        <v>274</v>
      </c>
      <c r="AA38" s="26">
        <v>130</v>
      </c>
      <c r="AB38" s="26">
        <v>57</v>
      </c>
      <c r="AC38" s="26">
        <v>72</v>
      </c>
      <c r="AD38" s="26">
        <v>780</v>
      </c>
      <c r="AE38" s="26">
        <v>754</v>
      </c>
      <c r="AF38" s="26">
        <v>0</v>
      </c>
      <c r="AG38" s="26">
        <v>337</v>
      </c>
      <c r="AH38" s="26">
        <v>9</v>
      </c>
      <c r="AI38" s="26">
        <v>2</v>
      </c>
      <c r="AJ38" s="26">
        <v>26</v>
      </c>
      <c r="AK38" s="125" t="s">
        <v>87</v>
      </c>
      <c r="AL38" s="4"/>
      <c r="AM38" s="47" t="s">
        <v>75</v>
      </c>
      <c r="AN38" s="235"/>
      <c r="AO38" s="113">
        <v>4</v>
      </c>
      <c r="AP38" s="113">
        <v>0</v>
      </c>
      <c r="AQ38" s="113">
        <v>235</v>
      </c>
      <c r="AR38" s="113">
        <v>81</v>
      </c>
      <c r="AS38" s="113">
        <v>7</v>
      </c>
      <c r="AT38" s="113">
        <v>1</v>
      </c>
      <c r="AU38" s="113">
        <v>1</v>
      </c>
      <c r="AV38" s="113">
        <v>122</v>
      </c>
      <c r="AW38" s="113">
        <v>148</v>
      </c>
      <c r="AX38" s="113">
        <v>21</v>
      </c>
      <c r="AY38" s="113">
        <v>440</v>
      </c>
      <c r="AZ38" s="113">
        <v>207</v>
      </c>
      <c r="BA38" s="113">
        <v>3</v>
      </c>
      <c r="BB38" s="113">
        <v>26</v>
      </c>
      <c r="BC38" s="113">
        <v>4</v>
      </c>
      <c r="BD38" s="113">
        <f>0+1+0</f>
        <v>1</v>
      </c>
      <c r="BE38" s="113">
        <v>2</v>
      </c>
      <c r="BF38" s="113">
        <v>13</v>
      </c>
      <c r="BG38" s="113">
        <v>18</v>
      </c>
      <c r="BH38" s="113">
        <v>0</v>
      </c>
      <c r="BI38" s="113">
        <v>29</v>
      </c>
      <c r="BJ38" s="113">
        <v>59</v>
      </c>
      <c r="BK38" s="113">
        <v>54</v>
      </c>
      <c r="BL38" s="113">
        <v>2</v>
      </c>
      <c r="BM38" s="113">
        <v>3</v>
      </c>
      <c r="BN38" s="113">
        <v>1139</v>
      </c>
      <c r="BO38" s="113">
        <v>559</v>
      </c>
      <c r="BP38" s="113">
        <v>292</v>
      </c>
      <c r="BQ38" s="113">
        <v>5</v>
      </c>
      <c r="BR38" s="113">
        <v>0</v>
      </c>
      <c r="BS38" s="113">
        <v>10</v>
      </c>
    </row>
    <row r="39" spans="1:71" s="15" customFormat="1" ht="18.600000000000001" customHeight="1" x14ac:dyDescent="0.25">
      <c r="A39" s="125"/>
      <c r="B39" s="4"/>
      <c r="C39" s="47" t="s">
        <v>76</v>
      </c>
      <c r="D39" s="235"/>
      <c r="E39" s="16">
        <f t="shared" si="0"/>
        <v>15</v>
      </c>
      <c r="F39" s="26">
        <v>0</v>
      </c>
      <c r="G39" s="26">
        <v>0</v>
      </c>
      <c r="H39" s="26">
        <v>0</v>
      </c>
      <c r="I39" s="26">
        <v>0</v>
      </c>
      <c r="J39" s="26">
        <v>0</v>
      </c>
      <c r="K39" s="26">
        <v>0</v>
      </c>
      <c r="L39" s="26">
        <v>0</v>
      </c>
      <c r="M39" s="26">
        <v>0</v>
      </c>
      <c r="N39" s="26">
        <v>0</v>
      </c>
      <c r="O39" s="26">
        <v>0</v>
      </c>
      <c r="P39" s="26">
        <v>0</v>
      </c>
      <c r="Q39" s="26">
        <v>0</v>
      </c>
      <c r="R39" s="26">
        <v>1</v>
      </c>
      <c r="S39" s="26">
        <v>0</v>
      </c>
      <c r="T39" s="26">
        <v>0</v>
      </c>
      <c r="U39" s="26">
        <v>0</v>
      </c>
      <c r="V39" s="26">
        <v>0</v>
      </c>
      <c r="W39" s="26">
        <v>0</v>
      </c>
      <c r="X39" s="26">
        <v>0</v>
      </c>
      <c r="Y39" s="26">
        <v>0</v>
      </c>
      <c r="Z39" s="26">
        <v>0</v>
      </c>
      <c r="AA39" s="26">
        <v>0</v>
      </c>
      <c r="AB39" s="26">
        <v>0</v>
      </c>
      <c r="AC39" s="26">
        <v>0</v>
      </c>
      <c r="AD39" s="26">
        <v>1</v>
      </c>
      <c r="AE39" s="26">
        <v>0</v>
      </c>
      <c r="AF39" s="26">
        <v>0</v>
      </c>
      <c r="AG39" s="26">
        <v>10</v>
      </c>
      <c r="AH39" s="26">
        <v>0</v>
      </c>
      <c r="AI39" s="26">
        <v>1</v>
      </c>
      <c r="AJ39" s="26">
        <v>0</v>
      </c>
      <c r="AK39" s="125"/>
      <c r="AL39" s="4"/>
      <c r="AM39" s="47" t="s">
        <v>76</v>
      </c>
      <c r="AN39" s="235"/>
      <c r="AO39" s="113">
        <v>0</v>
      </c>
      <c r="AP39" s="113">
        <v>0</v>
      </c>
      <c r="AQ39" s="113">
        <v>0</v>
      </c>
      <c r="AR39" s="113">
        <v>0</v>
      </c>
      <c r="AS39" s="113">
        <v>0</v>
      </c>
      <c r="AT39" s="113">
        <v>0</v>
      </c>
      <c r="AU39" s="113">
        <v>0</v>
      </c>
      <c r="AV39" s="113">
        <v>1</v>
      </c>
      <c r="AW39" s="113">
        <v>0</v>
      </c>
      <c r="AX39" s="113">
        <v>0</v>
      </c>
      <c r="AY39" s="113">
        <v>0</v>
      </c>
      <c r="AZ39" s="113">
        <v>1</v>
      </c>
      <c r="BA39" s="113">
        <v>0</v>
      </c>
      <c r="BB39" s="113">
        <v>0</v>
      </c>
      <c r="BC39" s="113">
        <v>0</v>
      </c>
      <c r="BD39" s="113">
        <v>0</v>
      </c>
      <c r="BE39" s="113">
        <v>0</v>
      </c>
      <c r="BF39" s="113">
        <v>0</v>
      </c>
      <c r="BG39" s="113">
        <v>0</v>
      </c>
      <c r="BH39" s="113">
        <v>0</v>
      </c>
      <c r="BI39" s="113">
        <v>0</v>
      </c>
      <c r="BJ39" s="113">
        <v>0</v>
      </c>
      <c r="BK39" s="113">
        <v>0</v>
      </c>
      <c r="BL39" s="113">
        <v>0</v>
      </c>
      <c r="BM39" s="113">
        <v>0</v>
      </c>
      <c r="BN39" s="113">
        <v>0</v>
      </c>
      <c r="BO39" s="113">
        <v>0</v>
      </c>
      <c r="BP39" s="113">
        <v>0</v>
      </c>
      <c r="BQ39" s="113">
        <v>0</v>
      </c>
      <c r="BR39" s="113">
        <v>0</v>
      </c>
      <c r="BS39" s="113">
        <v>0</v>
      </c>
    </row>
    <row r="40" spans="1:71" s="15" customFormat="1" ht="18.600000000000001" customHeight="1" x14ac:dyDescent="0.25">
      <c r="A40" s="125" t="s">
        <v>88</v>
      </c>
      <c r="B40" s="5"/>
      <c r="C40" s="47" t="s">
        <v>75</v>
      </c>
      <c r="D40" s="235"/>
      <c r="E40" s="16">
        <f t="shared" si="0"/>
        <v>7011</v>
      </c>
      <c r="F40" s="16">
        <v>14</v>
      </c>
      <c r="G40" s="16">
        <v>4</v>
      </c>
      <c r="H40" s="16">
        <v>3</v>
      </c>
      <c r="I40" s="16">
        <v>0</v>
      </c>
      <c r="J40" s="16">
        <v>4</v>
      </c>
      <c r="K40" s="16">
        <v>45</v>
      </c>
      <c r="L40" s="26">
        <v>1386</v>
      </c>
      <c r="M40" s="26">
        <v>731</v>
      </c>
      <c r="N40" s="26">
        <v>28</v>
      </c>
      <c r="O40" s="26">
        <v>41</v>
      </c>
      <c r="P40" s="26">
        <v>33</v>
      </c>
      <c r="Q40" s="26">
        <v>0</v>
      </c>
      <c r="R40" s="26">
        <v>116</v>
      </c>
      <c r="S40" s="26">
        <v>91</v>
      </c>
      <c r="T40" s="26">
        <v>8</v>
      </c>
      <c r="U40" s="26">
        <v>29</v>
      </c>
      <c r="V40" s="26">
        <v>175</v>
      </c>
      <c r="W40" s="26">
        <v>16</v>
      </c>
      <c r="X40" s="26">
        <v>12</v>
      </c>
      <c r="Y40" s="26">
        <v>100</v>
      </c>
      <c r="Z40" s="26">
        <v>111</v>
      </c>
      <c r="AA40" s="26">
        <v>91</v>
      </c>
      <c r="AB40" s="26">
        <v>46</v>
      </c>
      <c r="AC40" s="26">
        <v>46</v>
      </c>
      <c r="AD40" s="26">
        <v>777</v>
      </c>
      <c r="AE40" s="26">
        <v>726</v>
      </c>
      <c r="AF40" s="26">
        <v>0</v>
      </c>
      <c r="AG40" s="26">
        <v>505</v>
      </c>
      <c r="AH40" s="26">
        <v>3</v>
      </c>
      <c r="AI40" s="26">
        <v>0</v>
      </c>
      <c r="AJ40" s="26">
        <v>65</v>
      </c>
      <c r="AK40" s="125" t="s">
        <v>88</v>
      </c>
      <c r="AL40" s="5"/>
      <c r="AM40" s="47" t="s">
        <v>75</v>
      </c>
      <c r="AN40" s="235"/>
      <c r="AO40" s="113">
        <v>16</v>
      </c>
      <c r="AP40" s="113">
        <v>0</v>
      </c>
      <c r="AQ40" s="113">
        <v>151</v>
      </c>
      <c r="AR40" s="113">
        <v>49</v>
      </c>
      <c r="AS40" s="113">
        <v>4</v>
      </c>
      <c r="AT40" s="113">
        <v>2</v>
      </c>
      <c r="AU40" s="113">
        <v>0</v>
      </c>
      <c r="AV40" s="113">
        <v>19</v>
      </c>
      <c r="AW40" s="113">
        <v>91</v>
      </c>
      <c r="AX40" s="113">
        <v>17</v>
      </c>
      <c r="AY40" s="113">
        <v>195</v>
      </c>
      <c r="AZ40" s="113">
        <v>331</v>
      </c>
      <c r="BA40" s="113">
        <v>1</v>
      </c>
      <c r="BB40" s="113">
        <v>28</v>
      </c>
      <c r="BC40" s="113">
        <v>9</v>
      </c>
      <c r="BD40" s="113">
        <v>5</v>
      </c>
      <c r="BE40" s="113">
        <v>3</v>
      </c>
      <c r="BF40" s="113">
        <v>13</v>
      </c>
      <c r="BG40" s="113">
        <v>10</v>
      </c>
      <c r="BH40" s="113">
        <v>0</v>
      </c>
      <c r="BI40" s="113">
        <v>42</v>
      </c>
      <c r="BJ40" s="113">
        <v>169</v>
      </c>
      <c r="BK40" s="113">
        <v>149</v>
      </c>
      <c r="BL40" s="113">
        <v>0</v>
      </c>
      <c r="BM40" s="113">
        <v>3</v>
      </c>
      <c r="BN40" s="113">
        <v>226</v>
      </c>
      <c r="BO40" s="113">
        <v>164</v>
      </c>
      <c r="BP40" s="113">
        <v>74</v>
      </c>
      <c r="BQ40" s="113">
        <v>0</v>
      </c>
      <c r="BR40" s="113">
        <v>0</v>
      </c>
      <c r="BS40" s="113">
        <f>31+3+0</f>
        <v>34</v>
      </c>
    </row>
    <row r="41" spans="1:71" s="15" customFormat="1" ht="18.600000000000001" customHeight="1" x14ac:dyDescent="0.25">
      <c r="A41" s="125"/>
      <c r="B41" s="5"/>
      <c r="C41" s="47" t="s">
        <v>76</v>
      </c>
      <c r="D41" s="235"/>
      <c r="E41" s="16">
        <f t="shared" si="0"/>
        <v>20</v>
      </c>
      <c r="F41" s="26">
        <v>0</v>
      </c>
      <c r="G41" s="26">
        <v>0</v>
      </c>
      <c r="H41" s="26">
        <v>0</v>
      </c>
      <c r="I41" s="26">
        <v>0</v>
      </c>
      <c r="J41" s="26">
        <v>0</v>
      </c>
      <c r="K41" s="26">
        <v>0</v>
      </c>
      <c r="L41" s="26">
        <v>0</v>
      </c>
      <c r="M41" s="26">
        <v>0</v>
      </c>
      <c r="N41" s="26">
        <v>0</v>
      </c>
      <c r="O41" s="26">
        <v>0</v>
      </c>
      <c r="P41" s="26">
        <v>0</v>
      </c>
      <c r="Q41" s="26">
        <v>0</v>
      </c>
      <c r="R41" s="26">
        <v>0</v>
      </c>
      <c r="S41" s="26">
        <v>0</v>
      </c>
      <c r="T41" s="26">
        <v>0</v>
      </c>
      <c r="U41" s="26">
        <v>0</v>
      </c>
      <c r="V41" s="26">
        <v>1</v>
      </c>
      <c r="W41" s="26">
        <v>0</v>
      </c>
      <c r="X41" s="26">
        <v>0</v>
      </c>
      <c r="Y41" s="26">
        <v>1</v>
      </c>
      <c r="Z41" s="26">
        <v>0</v>
      </c>
      <c r="AA41" s="26">
        <v>2</v>
      </c>
      <c r="AB41" s="26">
        <v>0</v>
      </c>
      <c r="AC41" s="26">
        <v>0</v>
      </c>
      <c r="AD41" s="26">
        <v>2</v>
      </c>
      <c r="AE41" s="26">
        <v>0</v>
      </c>
      <c r="AF41" s="26">
        <v>0</v>
      </c>
      <c r="AG41" s="26">
        <v>7</v>
      </c>
      <c r="AH41" s="26">
        <v>0</v>
      </c>
      <c r="AI41" s="26">
        <v>0</v>
      </c>
      <c r="AJ41" s="26">
        <v>0</v>
      </c>
      <c r="AK41" s="125"/>
      <c r="AL41" s="5"/>
      <c r="AM41" s="47" t="s">
        <v>76</v>
      </c>
      <c r="AN41" s="235"/>
      <c r="AO41" s="113">
        <v>0</v>
      </c>
      <c r="AP41" s="113">
        <v>0</v>
      </c>
      <c r="AQ41" s="113">
        <v>2</v>
      </c>
      <c r="AR41" s="113">
        <v>0</v>
      </c>
      <c r="AS41" s="113">
        <v>0</v>
      </c>
      <c r="AT41" s="113">
        <v>0</v>
      </c>
      <c r="AU41" s="113">
        <v>0</v>
      </c>
      <c r="AV41" s="113">
        <v>0</v>
      </c>
      <c r="AW41" s="113">
        <v>3</v>
      </c>
      <c r="AX41" s="113">
        <v>0</v>
      </c>
      <c r="AY41" s="113">
        <v>0</v>
      </c>
      <c r="AZ41" s="113">
        <v>1</v>
      </c>
      <c r="BA41" s="113">
        <v>0</v>
      </c>
      <c r="BB41" s="113">
        <v>0</v>
      </c>
      <c r="BC41" s="113">
        <v>0</v>
      </c>
      <c r="BD41" s="113">
        <v>0</v>
      </c>
      <c r="BE41" s="113">
        <v>0</v>
      </c>
      <c r="BF41" s="113">
        <v>0</v>
      </c>
      <c r="BG41" s="113">
        <v>0</v>
      </c>
      <c r="BH41" s="113">
        <v>0</v>
      </c>
      <c r="BI41" s="113">
        <v>0</v>
      </c>
      <c r="BJ41" s="113">
        <v>1</v>
      </c>
      <c r="BK41" s="113">
        <v>0</v>
      </c>
      <c r="BL41" s="113">
        <v>0</v>
      </c>
      <c r="BM41" s="113">
        <v>0</v>
      </c>
      <c r="BN41" s="113">
        <v>0</v>
      </c>
      <c r="BO41" s="113">
        <v>0</v>
      </c>
      <c r="BP41" s="113">
        <v>0</v>
      </c>
      <c r="BQ41" s="113">
        <v>0</v>
      </c>
      <c r="BR41" s="113">
        <v>0</v>
      </c>
      <c r="BS41" s="113">
        <v>0</v>
      </c>
    </row>
    <row r="42" spans="1:71" s="15" customFormat="1" ht="18.600000000000001" customHeight="1" x14ac:dyDescent="0.25">
      <c r="A42" s="125" t="s">
        <v>89</v>
      </c>
      <c r="B42" s="4"/>
      <c r="C42" s="47" t="s">
        <v>75</v>
      </c>
      <c r="D42" s="235"/>
      <c r="E42" s="16">
        <f t="shared" si="0"/>
        <v>11376</v>
      </c>
      <c r="F42" s="16">
        <v>33</v>
      </c>
      <c r="G42" s="16">
        <v>21</v>
      </c>
      <c r="H42" s="16">
        <v>11</v>
      </c>
      <c r="I42" s="16">
        <v>1</v>
      </c>
      <c r="J42" s="16">
        <v>2</v>
      </c>
      <c r="K42" s="16">
        <v>8</v>
      </c>
      <c r="L42" s="26">
        <v>2658</v>
      </c>
      <c r="M42" s="26">
        <v>1140</v>
      </c>
      <c r="N42" s="26">
        <v>96</v>
      </c>
      <c r="O42" s="26">
        <v>43</v>
      </c>
      <c r="P42" s="26">
        <v>20</v>
      </c>
      <c r="Q42" s="26">
        <v>0</v>
      </c>
      <c r="R42" s="26">
        <v>72</v>
      </c>
      <c r="S42" s="26">
        <v>118</v>
      </c>
      <c r="T42" s="26">
        <v>53</v>
      </c>
      <c r="U42" s="26">
        <v>56</v>
      </c>
      <c r="V42" s="26">
        <v>247</v>
      </c>
      <c r="W42" s="26">
        <v>43</v>
      </c>
      <c r="X42" s="26">
        <v>26</v>
      </c>
      <c r="Y42" s="26">
        <v>49</v>
      </c>
      <c r="Z42" s="26">
        <v>535</v>
      </c>
      <c r="AA42" s="26">
        <v>217</v>
      </c>
      <c r="AB42" s="26">
        <v>30</v>
      </c>
      <c r="AC42" s="26">
        <v>151</v>
      </c>
      <c r="AD42" s="26">
        <v>1595</v>
      </c>
      <c r="AE42" s="26">
        <v>440</v>
      </c>
      <c r="AF42" s="26">
        <v>0</v>
      </c>
      <c r="AG42" s="26">
        <v>724</v>
      </c>
      <c r="AH42" s="26">
        <v>86</v>
      </c>
      <c r="AI42" s="26">
        <v>4</v>
      </c>
      <c r="AJ42" s="26">
        <v>110</v>
      </c>
      <c r="AK42" s="125" t="s">
        <v>89</v>
      </c>
      <c r="AL42" s="4"/>
      <c r="AM42" s="47" t="s">
        <v>75</v>
      </c>
      <c r="AN42" s="235"/>
      <c r="AO42" s="113">
        <v>13</v>
      </c>
      <c r="AP42" s="113">
        <v>0</v>
      </c>
      <c r="AQ42" s="113">
        <v>65</v>
      </c>
      <c r="AR42" s="113">
        <v>52</v>
      </c>
      <c r="AS42" s="113">
        <v>2</v>
      </c>
      <c r="AT42" s="113">
        <v>1</v>
      </c>
      <c r="AU42" s="113">
        <v>0</v>
      </c>
      <c r="AV42" s="113">
        <v>58</v>
      </c>
      <c r="AW42" s="113">
        <v>71</v>
      </c>
      <c r="AX42" s="113">
        <v>84</v>
      </c>
      <c r="AY42" s="113">
        <v>1167</v>
      </c>
      <c r="AZ42" s="113">
        <v>53</v>
      </c>
      <c r="BA42" s="113">
        <v>1</v>
      </c>
      <c r="BB42" s="113">
        <v>38</v>
      </c>
      <c r="BC42" s="113">
        <v>3</v>
      </c>
      <c r="BD42" s="113">
        <v>13</v>
      </c>
      <c r="BE42" s="113">
        <v>66</v>
      </c>
      <c r="BF42" s="113">
        <v>11</v>
      </c>
      <c r="BG42" s="113">
        <v>8</v>
      </c>
      <c r="BH42" s="113">
        <v>0</v>
      </c>
      <c r="BI42" s="113">
        <v>82</v>
      </c>
      <c r="BJ42" s="113">
        <v>114</v>
      </c>
      <c r="BK42" s="113">
        <v>152</v>
      </c>
      <c r="BL42" s="113">
        <v>2</v>
      </c>
      <c r="BM42" s="113">
        <v>3</v>
      </c>
      <c r="BN42" s="113">
        <v>151</v>
      </c>
      <c r="BO42" s="113">
        <v>136</v>
      </c>
      <c r="BP42" s="113">
        <v>308</v>
      </c>
      <c r="BQ42" s="113">
        <v>0</v>
      </c>
      <c r="BR42" s="113">
        <v>0</v>
      </c>
      <c r="BS42" s="113">
        <v>133</v>
      </c>
    </row>
    <row r="43" spans="1:71" s="15" customFormat="1" ht="18.600000000000001" customHeight="1" x14ac:dyDescent="0.25">
      <c r="A43" s="125"/>
      <c r="B43" s="4"/>
      <c r="C43" s="47" t="s">
        <v>76</v>
      </c>
      <c r="D43" s="235"/>
      <c r="E43" s="16">
        <f t="shared" si="0"/>
        <v>28</v>
      </c>
      <c r="F43" s="26">
        <v>0</v>
      </c>
      <c r="G43" s="26">
        <v>0</v>
      </c>
      <c r="H43" s="26">
        <v>0</v>
      </c>
      <c r="I43" s="26">
        <v>0</v>
      </c>
      <c r="J43" s="26">
        <v>0</v>
      </c>
      <c r="K43" s="26">
        <v>0</v>
      </c>
      <c r="L43" s="26">
        <v>0</v>
      </c>
      <c r="M43" s="26">
        <v>2</v>
      </c>
      <c r="N43" s="26">
        <v>0</v>
      </c>
      <c r="O43" s="26">
        <v>0</v>
      </c>
      <c r="P43" s="26">
        <v>0</v>
      </c>
      <c r="Q43" s="26">
        <v>0</v>
      </c>
      <c r="R43" s="26">
        <v>1</v>
      </c>
      <c r="S43" s="26">
        <v>0</v>
      </c>
      <c r="T43" s="26">
        <v>0</v>
      </c>
      <c r="U43" s="26">
        <v>0</v>
      </c>
      <c r="V43" s="26">
        <v>0</v>
      </c>
      <c r="W43" s="26">
        <v>0</v>
      </c>
      <c r="X43" s="26">
        <v>0</v>
      </c>
      <c r="Y43" s="26">
        <v>0</v>
      </c>
      <c r="Z43" s="26">
        <v>0</v>
      </c>
      <c r="AA43" s="26">
        <v>0</v>
      </c>
      <c r="AB43" s="26">
        <v>0</v>
      </c>
      <c r="AC43" s="26">
        <v>0</v>
      </c>
      <c r="AD43" s="26">
        <v>0</v>
      </c>
      <c r="AE43" s="26">
        <v>0</v>
      </c>
      <c r="AF43" s="26">
        <v>0</v>
      </c>
      <c r="AG43" s="26">
        <v>13</v>
      </c>
      <c r="AH43" s="26">
        <v>0</v>
      </c>
      <c r="AI43" s="26">
        <v>0</v>
      </c>
      <c r="AJ43" s="26">
        <v>1</v>
      </c>
      <c r="AK43" s="125"/>
      <c r="AL43" s="4"/>
      <c r="AM43" s="47" t="s">
        <v>76</v>
      </c>
      <c r="AN43" s="235"/>
      <c r="AO43" s="113">
        <v>0</v>
      </c>
      <c r="AP43" s="113">
        <v>0</v>
      </c>
      <c r="AQ43" s="113">
        <v>3</v>
      </c>
      <c r="AR43" s="113">
        <v>0</v>
      </c>
      <c r="AS43" s="113">
        <v>0</v>
      </c>
      <c r="AT43" s="113">
        <v>0</v>
      </c>
      <c r="AU43" s="113">
        <v>0</v>
      </c>
      <c r="AV43" s="113">
        <v>0</v>
      </c>
      <c r="AW43" s="113">
        <v>1</v>
      </c>
      <c r="AX43" s="113">
        <v>0</v>
      </c>
      <c r="AY43" s="113">
        <v>3</v>
      </c>
      <c r="AZ43" s="113">
        <v>0</v>
      </c>
      <c r="BA43" s="113">
        <v>0</v>
      </c>
      <c r="BB43" s="113">
        <v>1</v>
      </c>
      <c r="BC43" s="113">
        <v>1</v>
      </c>
      <c r="BD43" s="113">
        <v>0</v>
      </c>
      <c r="BE43" s="113">
        <v>0</v>
      </c>
      <c r="BF43" s="113">
        <v>0</v>
      </c>
      <c r="BG43" s="113">
        <v>0</v>
      </c>
      <c r="BH43" s="113">
        <v>0</v>
      </c>
      <c r="BI43" s="113">
        <v>1</v>
      </c>
      <c r="BJ43" s="113">
        <v>1</v>
      </c>
      <c r="BK43" s="113">
        <v>0</v>
      </c>
      <c r="BL43" s="113">
        <v>0</v>
      </c>
      <c r="BM43" s="113">
        <v>0</v>
      </c>
      <c r="BN43" s="113">
        <v>0</v>
      </c>
      <c r="BO43" s="113">
        <v>0</v>
      </c>
      <c r="BP43" s="113">
        <v>0</v>
      </c>
      <c r="BQ43" s="113">
        <v>0</v>
      </c>
      <c r="BR43" s="113">
        <v>0</v>
      </c>
      <c r="BS43" s="113">
        <v>0</v>
      </c>
    </row>
    <row r="44" spans="1:71" s="15" customFormat="1" ht="18.600000000000001" customHeight="1" x14ac:dyDescent="0.25">
      <c r="A44" s="125" t="s">
        <v>90</v>
      </c>
      <c r="B44" s="4"/>
      <c r="C44" s="47" t="s">
        <v>75</v>
      </c>
      <c r="D44" s="235"/>
      <c r="E44" s="16">
        <f t="shared" si="0"/>
        <v>6770</v>
      </c>
      <c r="F44" s="16">
        <v>46</v>
      </c>
      <c r="G44" s="16">
        <v>0</v>
      </c>
      <c r="H44" s="16">
        <v>3</v>
      </c>
      <c r="I44" s="16">
        <v>4</v>
      </c>
      <c r="J44" s="16">
        <v>22</v>
      </c>
      <c r="K44" s="16">
        <v>12</v>
      </c>
      <c r="L44" s="26">
        <v>2160</v>
      </c>
      <c r="M44" s="26">
        <v>986</v>
      </c>
      <c r="N44" s="26">
        <v>79</v>
      </c>
      <c r="O44" s="26">
        <v>26</v>
      </c>
      <c r="P44" s="26">
        <v>9</v>
      </c>
      <c r="Q44" s="26">
        <v>0</v>
      </c>
      <c r="R44" s="26">
        <v>55</v>
      </c>
      <c r="S44" s="26">
        <v>111</v>
      </c>
      <c r="T44" s="26">
        <v>3</v>
      </c>
      <c r="U44" s="26">
        <v>49</v>
      </c>
      <c r="V44" s="26">
        <v>91</v>
      </c>
      <c r="W44" s="26">
        <v>8</v>
      </c>
      <c r="X44" s="26">
        <v>4</v>
      </c>
      <c r="Y44" s="26">
        <v>56</v>
      </c>
      <c r="Z44" s="26">
        <v>141</v>
      </c>
      <c r="AA44" s="26">
        <v>14</v>
      </c>
      <c r="AB44" s="26">
        <v>26</v>
      </c>
      <c r="AC44" s="26">
        <v>125</v>
      </c>
      <c r="AD44" s="26">
        <v>630</v>
      </c>
      <c r="AE44" s="26">
        <v>540</v>
      </c>
      <c r="AF44" s="26">
        <v>0</v>
      </c>
      <c r="AG44" s="26">
        <v>281</v>
      </c>
      <c r="AH44" s="26">
        <v>10</v>
      </c>
      <c r="AI44" s="26">
        <v>0</v>
      </c>
      <c r="AJ44" s="26">
        <v>75</v>
      </c>
      <c r="AK44" s="125" t="s">
        <v>90</v>
      </c>
      <c r="AL44" s="4"/>
      <c r="AM44" s="47" t="s">
        <v>75</v>
      </c>
      <c r="AN44" s="235"/>
      <c r="AO44" s="113">
        <v>4</v>
      </c>
      <c r="AP44" s="113">
        <v>0</v>
      </c>
      <c r="AQ44" s="113">
        <v>62</v>
      </c>
      <c r="AR44" s="113">
        <v>22</v>
      </c>
      <c r="AS44" s="113">
        <v>0</v>
      </c>
      <c r="AT44" s="113">
        <v>0</v>
      </c>
      <c r="AU44" s="113">
        <v>0</v>
      </c>
      <c r="AV44" s="113">
        <v>37</v>
      </c>
      <c r="AW44" s="113">
        <v>48</v>
      </c>
      <c r="AX44" s="113">
        <v>2</v>
      </c>
      <c r="AY44" s="113">
        <v>84</v>
      </c>
      <c r="AZ44" s="113">
        <v>41</v>
      </c>
      <c r="BA44" s="113">
        <v>4</v>
      </c>
      <c r="BB44" s="113">
        <v>36</v>
      </c>
      <c r="BC44" s="113">
        <v>16</v>
      </c>
      <c r="BD44" s="113">
        <v>3</v>
      </c>
      <c r="BE44" s="113">
        <v>2</v>
      </c>
      <c r="BF44" s="113">
        <v>14</v>
      </c>
      <c r="BG44" s="113">
        <v>1</v>
      </c>
      <c r="BH44" s="113">
        <v>0</v>
      </c>
      <c r="BI44" s="113">
        <v>99</v>
      </c>
      <c r="BJ44" s="113">
        <v>77</v>
      </c>
      <c r="BK44" s="113">
        <v>96</v>
      </c>
      <c r="BL44" s="113">
        <v>6</v>
      </c>
      <c r="BM44" s="113">
        <v>6</v>
      </c>
      <c r="BN44" s="113">
        <v>382</v>
      </c>
      <c r="BO44" s="113">
        <v>70</v>
      </c>
      <c r="BP44" s="113">
        <v>46</v>
      </c>
      <c r="BQ44" s="113">
        <v>0</v>
      </c>
      <c r="BR44" s="113">
        <v>0</v>
      </c>
      <c r="BS44" s="113">
        <v>46</v>
      </c>
    </row>
    <row r="45" spans="1:71" s="15" customFormat="1" ht="18.600000000000001" customHeight="1" x14ac:dyDescent="0.25">
      <c r="A45" s="125"/>
      <c r="B45" s="4"/>
      <c r="C45" s="47" t="s">
        <v>76</v>
      </c>
      <c r="D45" s="235"/>
      <c r="E45" s="16">
        <f t="shared" si="0"/>
        <v>9</v>
      </c>
      <c r="F45" s="26">
        <v>0</v>
      </c>
      <c r="G45" s="26">
        <v>0</v>
      </c>
      <c r="H45" s="26">
        <v>0</v>
      </c>
      <c r="I45" s="26">
        <v>0</v>
      </c>
      <c r="J45" s="26">
        <v>0</v>
      </c>
      <c r="K45" s="26">
        <v>0</v>
      </c>
      <c r="L45" s="26">
        <v>0</v>
      </c>
      <c r="M45" s="26">
        <v>0</v>
      </c>
      <c r="N45" s="26">
        <v>0</v>
      </c>
      <c r="O45" s="26">
        <v>0</v>
      </c>
      <c r="P45" s="26">
        <v>0</v>
      </c>
      <c r="Q45" s="26">
        <v>0</v>
      </c>
      <c r="R45" s="26">
        <v>1</v>
      </c>
      <c r="S45" s="26">
        <v>0</v>
      </c>
      <c r="T45" s="26">
        <v>0</v>
      </c>
      <c r="U45" s="26">
        <v>0</v>
      </c>
      <c r="V45" s="26">
        <v>1</v>
      </c>
      <c r="W45" s="26">
        <v>0</v>
      </c>
      <c r="X45" s="26">
        <v>0</v>
      </c>
      <c r="Y45" s="26">
        <v>0</v>
      </c>
      <c r="Z45" s="26">
        <v>0</v>
      </c>
      <c r="AA45" s="26">
        <v>0</v>
      </c>
      <c r="AB45" s="26">
        <v>0</v>
      </c>
      <c r="AC45" s="26">
        <v>0</v>
      </c>
      <c r="AD45" s="26">
        <v>0</v>
      </c>
      <c r="AE45" s="26">
        <v>0</v>
      </c>
      <c r="AF45" s="26">
        <v>0</v>
      </c>
      <c r="AG45" s="26">
        <v>6</v>
      </c>
      <c r="AH45" s="26">
        <v>0</v>
      </c>
      <c r="AI45" s="26">
        <v>0</v>
      </c>
      <c r="AJ45" s="26">
        <v>0</v>
      </c>
      <c r="AK45" s="125"/>
      <c r="AL45" s="4"/>
      <c r="AM45" s="47" t="s">
        <v>76</v>
      </c>
      <c r="AN45" s="235"/>
      <c r="AO45" s="113">
        <v>0</v>
      </c>
      <c r="AP45" s="113">
        <v>0</v>
      </c>
      <c r="AQ45" s="113">
        <v>0</v>
      </c>
      <c r="AR45" s="113">
        <v>0</v>
      </c>
      <c r="AS45" s="113">
        <v>0</v>
      </c>
      <c r="AT45" s="113">
        <v>0</v>
      </c>
      <c r="AU45" s="113">
        <v>0</v>
      </c>
      <c r="AV45" s="113">
        <v>0</v>
      </c>
      <c r="AW45" s="113">
        <v>0</v>
      </c>
      <c r="AX45" s="113">
        <v>0</v>
      </c>
      <c r="AY45" s="113">
        <v>0</v>
      </c>
      <c r="AZ45" s="113">
        <v>0</v>
      </c>
      <c r="BA45" s="113">
        <v>0</v>
      </c>
      <c r="BB45" s="113">
        <v>1</v>
      </c>
      <c r="BC45" s="113">
        <v>0</v>
      </c>
      <c r="BD45" s="113">
        <v>0</v>
      </c>
      <c r="BE45" s="113">
        <v>0</v>
      </c>
      <c r="BF45" s="113">
        <v>0</v>
      </c>
      <c r="BG45" s="113">
        <v>0</v>
      </c>
      <c r="BH45" s="113">
        <v>0</v>
      </c>
      <c r="BI45" s="113">
        <v>0</v>
      </c>
      <c r="BJ45" s="113">
        <v>0</v>
      </c>
      <c r="BK45" s="113">
        <v>0</v>
      </c>
      <c r="BL45" s="113">
        <v>0</v>
      </c>
      <c r="BM45" s="113">
        <v>0</v>
      </c>
      <c r="BN45" s="113">
        <v>0</v>
      </c>
      <c r="BO45" s="113">
        <v>0</v>
      </c>
      <c r="BP45" s="113">
        <v>0</v>
      </c>
      <c r="BQ45" s="113">
        <v>0</v>
      </c>
      <c r="BR45" s="113">
        <v>0</v>
      </c>
      <c r="BS45" s="113">
        <v>0</v>
      </c>
    </row>
    <row r="46" spans="1:71" s="15" customFormat="1" ht="18.600000000000001" customHeight="1" x14ac:dyDescent="0.25">
      <c r="A46" s="125" t="s">
        <v>91</v>
      </c>
      <c r="B46" s="4"/>
      <c r="C46" s="47" t="s">
        <v>75</v>
      </c>
      <c r="D46" s="235"/>
      <c r="E46" s="16">
        <f t="shared" si="0"/>
        <v>3173</v>
      </c>
      <c r="F46" s="16">
        <v>5</v>
      </c>
      <c r="G46" s="16">
        <v>0</v>
      </c>
      <c r="H46" s="16">
        <v>0</v>
      </c>
      <c r="I46" s="16">
        <v>0</v>
      </c>
      <c r="J46" s="16">
        <v>0</v>
      </c>
      <c r="K46" s="16">
        <v>4</v>
      </c>
      <c r="L46" s="26">
        <v>298</v>
      </c>
      <c r="M46" s="26">
        <v>303</v>
      </c>
      <c r="N46" s="26">
        <v>39</v>
      </c>
      <c r="O46" s="26">
        <v>20</v>
      </c>
      <c r="P46" s="26">
        <v>2</v>
      </c>
      <c r="Q46" s="26">
        <v>0</v>
      </c>
      <c r="R46" s="26">
        <v>38</v>
      </c>
      <c r="S46" s="26">
        <v>90</v>
      </c>
      <c r="T46" s="26">
        <v>13</v>
      </c>
      <c r="U46" s="26">
        <v>33</v>
      </c>
      <c r="V46" s="26">
        <v>30</v>
      </c>
      <c r="W46" s="26">
        <v>3</v>
      </c>
      <c r="X46" s="26">
        <v>5</v>
      </c>
      <c r="Y46" s="26">
        <v>5</v>
      </c>
      <c r="Z46" s="26">
        <v>206</v>
      </c>
      <c r="AA46" s="26">
        <v>30</v>
      </c>
      <c r="AB46" s="26">
        <v>6</v>
      </c>
      <c r="AC46" s="26">
        <v>13</v>
      </c>
      <c r="AD46" s="26">
        <v>246</v>
      </c>
      <c r="AE46" s="26">
        <v>169</v>
      </c>
      <c r="AF46" s="26">
        <v>0</v>
      </c>
      <c r="AG46" s="26">
        <v>146</v>
      </c>
      <c r="AH46" s="26">
        <v>0</v>
      </c>
      <c r="AI46" s="26">
        <v>0</v>
      </c>
      <c r="AJ46" s="26">
        <v>9</v>
      </c>
      <c r="AK46" s="125" t="s">
        <v>91</v>
      </c>
      <c r="AL46" s="4"/>
      <c r="AM46" s="47" t="s">
        <v>75</v>
      </c>
      <c r="AN46" s="235"/>
      <c r="AO46" s="113">
        <v>4</v>
      </c>
      <c r="AP46" s="113">
        <v>0</v>
      </c>
      <c r="AQ46" s="113">
        <v>26</v>
      </c>
      <c r="AR46" s="113">
        <v>3</v>
      </c>
      <c r="AS46" s="113">
        <v>1</v>
      </c>
      <c r="AT46" s="113">
        <v>0</v>
      </c>
      <c r="AU46" s="113">
        <v>0</v>
      </c>
      <c r="AV46" s="113">
        <v>18</v>
      </c>
      <c r="AW46" s="113">
        <v>24</v>
      </c>
      <c r="AX46" s="113">
        <v>14</v>
      </c>
      <c r="AY46" s="113">
        <v>141</v>
      </c>
      <c r="AZ46" s="113">
        <v>70</v>
      </c>
      <c r="BA46" s="113">
        <v>4</v>
      </c>
      <c r="BB46" s="113">
        <v>6</v>
      </c>
      <c r="BC46" s="113">
        <v>0</v>
      </c>
      <c r="BD46" s="113">
        <v>0</v>
      </c>
      <c r="BE46" s="113">
        <v>0</v>
      </c>
      <c r="BF46" s="113">
        <v>8</v>
      </c>
      <c r="BG46" s="113">
        <v>5</v>
      </c>
      <c r="BH46" s="113">
        <v>0</v>
      </c>
      <c r="BI46" s="113">
        <v>9</v>
      </c>
      <c r="BJ46" s="113">
        <v>25</v>
      </c>
      <c r="BK46" s="113">
        <v>37</v>
      </c>
      <c r="BL46" s="113">
        <v>3</v>
      </c>
      <c r="BM46" s="113">
        <v>0</v>
      </c>
      <c r="BN46" s="113">
        <v>878</v>
      </c>
      <c r="BO46" s="113">
        <v>123</v>
      </c>
      <c r="BP46" s="113">
        <v>58</v>
      </c>
      <c r="BQ46" s="113">
        <v>0</v>
      </c>
      <c r="BR46" s="113">
        <v>0</v>
      </c>
      <c r="BS46" s="113">
        <v>3</v>
      </c>
    </row>
    <row r="47" spans="1:71" s="15" customFormat="1" ht="18.600000000000001" customHeight="1" x14ac:dyDescent="0.25">
      <c r="A47" s="125"/>
      <c r="B47" s="4"/>
      <c r="C47" s="47" t="s">
        <v>76</v>
      </c>
      <c r="D47" s="235"/>
      <c r="E47" s="16">
        <f t="shared" si="0"/>
        <v>24</v>
      </c>
      <c r="F47" s="26">
        <v>0</v>
      </c>
      <c r="G47" s="26">
        <v>0</v>
      </c>
      <c r="H47" s="26">
        <v>0</v>
      </c>
      <c r="I47" s="26">
        <v>0</v>
      </c>
      <c r="J47" s="26">
        <v>0</v>
      </c>
      <c r="K47" s="26">
        <v>0</v>
      </c>
      <c r="L47" s="26">
        <v>0</v>
      </c>
      <c r="M47" s="26">
        <v>0</v>
      </c>
      <c r="N47" s="26">
        <v>0</v>
      </c>
      <c r="O47" s="26">
        <v>0</v>
      </c>
      <c r="P47" s="26">
        <v>0</v>
      </c>
      <c r="Q47" s="26">
        <v>0</v>
      </c>
      <c r="R47" s="26">
        <v>0</v>
      </c>
      <c r="S47" s="26">
        <v>0</v>
      </c>
      <c r="T47" s="26">
        <v>0</v>
      </c>
      <c r="U47" s="26">
        <v>0</v>
      </c>
      <c r="V47" s="26">
        <v>0</v>
      </c>
      <c r="W47" s="26">
        <v>0</v>
      </c>
      <c r="X47" s="26">
        <v>0</v>
      </c>
      <c r="Y47" s="26">
        <v>0</v>
      </c>
      <c r="Z47" s="26">
        <v>0</v>
      </c>
      <c r="AA47" s="26">
        <v>0</v>
      </c>
      <c r="AB47" s="26">
        <v>0</v>
      </c>
      <c r="AC47" s="26">
        <v>0</v>
      </c>
      <c r="AD47" s="26">
        <v>1</v>
      </c>
      <c r="AE47" s="26">
        <v>0</v>
      </c>
      <c r="AF47" s="26">
        <v>0</v>
      </c>
      <c r="AG47" s="26">
        <v>14</v>
      </c>
      <c r="AH47" s="26">
        <v>0</v>
      </c>
      <c r="AI47" s="26">
        <v>0</v>
      </c>
      <c r="AJ47" s="26">
        <v>0</v>
      </c>
      <c r="AK47" s="125"/>
      <c r="AL47" s="4"/>
      <c r="AM47" s="47" t="s">
        <v>76</v>
      </c>
      <c r="AN47" s="235"/>
      <c r="AO47" s="113">
        <v>0</v>
      </c>
      <c r="AP47" s="113">
        <v>0</v>
      </c>
      <c r="AQ47" s="113">
        <v>0</v>
      </c>
      <c r="AR47" s="113">
        <v>0</v>
      </c>
      <c r="AS47" s="113">
        <v>0</v>
      </c>
      <c r="AT47" s="113">
        <v>0</v>
      </c>
      <c r="AU47" s="113">
        <v>0</v>
      </c>
      <c r="AV47" s="113">
        <v>0</v>
      </c>
      <c r="AW47" s="113">
        <v>1</v>
      </c>
      <c r="AX47" s="113">
        <v>0</v>
      </c>
      <c r="AY47" s="113">
        <v>5</v>
      </c>
      <c r="AZ47" s="113">
        <v>0</v>
      </c>
      <c r="BA47" s="113">
        <v>0</v>
      </c>
      <c r="BB47" s="113">
        <v>0</v>
      </c>
      <c r="BC47" s="113">
        <v>0</v>
      </c>
      <c r="BD47" s="113">
        <v>0</v>
      </c>
      <c r="BE47" s="113">
        <v>0</v>
      </c>
      <c r="BF47" s="113">
        <v>0</v>
      </c>
      <c r="BG47" s="113">
        <v>0</v>
      </c>
      <c r="BH47" s="113">
        <v>0</v>
      </c>
      <c r="BI47" s="113">
        <v>0</v>
      </c>
      <c r="BJ47" s="113">
        <v>0</v>
      </c>
      <c r="BK47" s="113">
        <v>0</v>
      </c>
      <c r="BL47" s="113">
        <v>0</v>
      </c>
      <c r="BM47" s="113">
        <v>0</v>
      </c>
      <c r="BN47" s="113">
        <v>0</v>
      </c>
      <c r="BO47" s="113">
        <v>0</v>
      </c>
      <c r="BP47" s="113">
        <v>0</v>
      </c>
      <c r="BQ47" s="113">
        <v>0</v>
      </c>
      <c r="BR47" s="113">
        <v>0</v>
      </c>
      <c r="BS47" s="113">
        <v>3</v>
      </c>
    </row>
    <row r="48" spans="1:71" s="15" customFormat="1" ht="18.600000000000001" customHeight="1" x14ac:dyDescent="0.25">
      <c r="A48" s="125" t="s">
        <v>92</v>
      </c>
      <c r="B48" s="4"/>
      <c r="C48" s="47" t="s">
        <v>75</v>
      </c>
      <c r="D48" s="235"/>
      <c r="E48" s="16">
        <f t="shared" si="0"/>
        <v>6000</v>
      </c>
      <c r="F48" s="16">
        <v>1</v>
      </c>
      <c r="G48" s="16">
        <v>0</v>
      </c>
      <c r="H48" s="16">
        <v>0</v>
      </c>
      <c r="I48" s="16">
        <v>0</v>
      </c>
      <c r="J48" s="16">
        <v>4</v>
      </c>
      <c r="K48" s="16">
        <v>1</v>
      </c>
      <c r="L48" s="26">
        <v>1467</v>
      </c>
      <c r="M48" s="26">
        <v>539</v>
      </c>
      <c r="N48" s="26">
        <v>22</v>
      </c>
      <c r="O48" s="26">
        <v>27</v>
      </c>
      <c r="P48" s="26">
        <v>14</v>
      </c>
      <c r="Q48" s="26">
        <v>0</v>
      </c>
      <c r="R48" s="26">
        <v>55</v>
      </c>
      <c r="S48" s="26">
        <v>147</v>
      </c>
      <c r="T48" s="26">
        <v>12</v>
      </c>
      <c r="U48" s="26">
        <v>34</v>
      </c>
      <c r="V48" s="26">
        <v>70</v>
      </c>
      <c r="W48" s="26">
        <v>13</v>
      </c>
      <c r="X48" s="26">
        <v>0</v>
      </c>
      <c r="Y48" s="26">
        <v>30</v>
      </c>
      <c r="Z48" s="26">
        <v>244</v>
      </c>
      <c r="AA48" s="26">
        <v>19</v>
      </c>
      <c r="AB48" s="26">
        <v>19</v>
      </c>
      <c r="AC48" s="26">
        <v>47</v>
      </c>
      <c r="AD48" s="26">
        <v>553</v>
      </c>
      <c r="AE48" s="26">
        <v>438</v>
      </c>
      <c r="AF48" s="26">
        <v>0</v>
      </c>
      <c r="AG48" s="26">
        <v>236</v>
      </c>
      <c r="AH48" s="26">
        <v>9</v>
      </c>
      <c r="AI48" s="26">
        <v>0</v>
      </c>
      <c r="AJ48" s="26">
        <v>9</v>
      </c>
      <c r="AK48" s="125" t="s">
        <v>92</v>
      </c>
      <c r="AL48" s="4"/>
      <c r="AM48" s="47" t="s">
        <v>75</v>
      </c>
      <c r="AN48" s="235"/>
      <c r="AO48" s="113">
        <v>8</v>
      </c>
      <c r="AP48" s="113">
        <v>0</v>
      </c>
      <c r="AQ48" s="113">
        <v>99</v>
      </c>
      <c r="AR48" s="113">
        <v>37</v>
      </c>
      <c r="AS48" s="113">
        <v>1</v>
      </c>
      <c r="AT48" s="113">
        <v>0</v>
      </c>
      <c r="AU48" s="113">
        <v>0</v>
      </c>
      <c r="AV48" s="113">
        <v>34</v>
      </c>
      <c r="AW48" s="113">
        <v>36</v>
      </c>
      <c r="AX48" s="113">
        <v>6</v>
      </c>
      <c r="AY48" s="113">
        <v>127</v>
      </c>
      <c r="AZ48" s="113">
        <v>24</v>
      </c>
      <c r="BA48" s="113">
        <v>7</v>
      </c>
      <c r="BB48" s="113">
        <v>39</v>
      </c>
      <c r="BC48" s="113">
        <v>21</v>
      </c>
      <c r="BD48" s="113">
        <v>1</v>
      </c>
      <c r="BE48" s="113">
        <v>7</v>
      </c>
      <c r="BF48" s="113">
        <v>20</v>
      </c>
      <c r="BG48" s="113">
        <v>5</v>
      </c>
      <c r="BH48" s="113">
        <v>0</v>
      </c>
      <c r="BI48" s="113">
        <v>19</v>
      </c>
      <c r="BJ48" s="113">
        <v>68</v>
      </c>
      <c r="BK48" s="113">
        <v>67</v>
      </c>
      <c r="BL48" s="113">
        <v>0</v>
      </c>
      <c r="BM48" s="113">
        <v>1</v>
      </c>
      <c r="BN48" s="113">
        <v>1074</v>
      </c>
      <c r="BO48" s="113">
        <v>123</v>
      </c>
      <c r="BP48" s="113">
        <v>107</v>
      </c>
      <c r="BQ48" s="113">
        <v>0</v>
      </c>
      <c r="BR48" s="113">
        <v>0</v>
      </c>
      <c r="BS48" s="113">
        <v>59</v>
      </c>
    </row>
    <row r="49" spans="1:195" s="15" customFormat="1" ht="18.600000000000001" customHeight="1" x14ac:dyDescent="0.25">
      <c r="A49" s="125"/>
      <c r="B49" s="4"/>
      <c r="C49" s="47" t="s">
        <v>76</v>
      </c>
      <c r="D49" s="235"/>
      <c r="E49" s="16">
        <f t="shared" si="0"/>
        <v>36</v>
      </c>
      <c r="F49" s="26">
        <v>0</v>
      </c>
      <c r="G49" s="26">
        <v>0</v>
      </c>
      <c r="H49" s="26">
        <v>0</v>
      </c>
      <c r="I49" s="26">
        <v>0</v>
      </c>
      <c r="J49" s="26">
        <v>1</v>
      </c>
      <c r="K49" s="26">
        <v>0</v>
      </c>
      <c r="L49" s="26">
        <v>2</v>
      </c>
      <c r="M49" s="26">
        <v>2</v>
      </c>
      <c r="N49" s="26">
        <v>0</v>
      </c>
      <c r="O49" s="26">
        <v>0</v>
      </c>
      <c r="P49" s="26">
        <v>0</v>
      </c>
      <c r="Q49" s="26">
        <v>0</v>
      </c>
      <c r="R49" s="26">
        <v>1</v>
      </c>
      <c r="S49" s="26">
        <v>1</v>
      </c>
      <c r="T49" s="26">
        <v>0</v>
      </c>
      <c r="U49" s="26">
        <v>0</v>
      </c>
      <c r="V49" s="26">
        <v>0</v>
      </c>
      <c r="W49" s="26">
        <v>3</v>
      </c>
      <c r="X49" s="26">
        <v>0</v>
      </c>
      <c r="Y49" s="26">
        <v>0</v>
      </c>
      <c r="Z49" s="26">
        <v>4</v>
      </c>
      <c r="AA49" s="26">
        <v>3</v>
      </c>
      <c r="AB49" s="26">
        <v>1</v>
      </c>
      <c r="AC49" s="26">
        <v>0</v>
      </c>
      <c r="AD49" s="26">
        <v>5</v>
      </c>
      <c r="AE49" s="26">
        <v>1</v>
      </c>
      <c r="AF49" s="26">
        <v>0</v>
      </c>
      <c r="AG49" s="26">
        <v>4</v>
      </c>
      <c r="AH49" s="26">
        <v>0</v>
      </c>
      <c r="AI49" s="26">
        <v>0</v>
      </c>
      <c r="AJ49" s="26">
        <v>1</v>
      </c>
      <c r="AK49" s="125"/>
      <c r="AL49" s="4"/>
      <c r="AM49" s="47" t="s">
        <v>76</v>
      </c>
      <c r="AN49" s="235"/>
      <c r="AO49" s="113">
        <v>0</v>
      </c>
      <c r="AP49" s="113">
        <v>0</v>
      </c>
      <c r="AQ49" s="113">
        <v>0</v>
      </c>
      <c r="AR49" s="113">
        <v>0</v>
      </c>
      <c r="AS49" s="113">
        <v>0</v>
      </c>
      <c r="AT49" s="113">
        <v>0</v>
      </c>
      <c r="AU49" s="113">
        <v>0</v>
      </c>
      <c r="AV49" s="113">
        <v>0</v>
      </c>
      <c r="AW49" s="113">
        <v>0</v>
      </c>
      <c r="AX49" s="113">
        <v>0</v>
      </c>
      <c r="AY49" s="113">
        <v>4</v>
      </c>
      <c r="AZ49" s="113">
        <v>0</v>
      </c>
      <c r="BA49" s="113">
        <v>0</v>
      </c>
      <c r="BB49" s="113">
        <v>0</v>
      </c>
      <c r="BC49" s="113">
        <v>0</v>
      </c>
      <c r="BD49" s="113">
        <v>0</v>
      </c>
      <c r="BE49" s="113">
        <v>0</v>
      </c>
      <c r="BF49" s="113">
        <v>1</v>
      </c>
      <c r="BG49" s="113">
        <v>0</v>
      </c>
      <c r="BH49" s="113">
        <v>0</v>
      </c>
      <c r="BI49" s="113">
        <v>0</v>
      </c>
      <c r="BJ49" s="113">
        <v>0</v>
      </c>
      <c r="BK49" s="113">
        <v>0</v>
      </c>
      <c r="BL49" s="113">
        <v>0</v>
      </c>
      <c r="BM49" s="113">
        <v>0</v>
      </c>
      <c r="BN49" s="113">
        <v>0</v>
      </c>
      <c r="BO49" s="113">
        <v>0</v>
      </c>
      <c r="BP49" s="113">
        <v>1</v>
      </c>
      <c r="BQ49" s="113">
        <v>0</v>
      </c>
      <c r="BR49" s="113">
        <v>0</v>
      </c>
      <c r="BS49" s="113">
        <v>1</v>
      </c>
    </row>
    <row r="50" spans="1:195" s="15" customFormat="1" ht="18.600000000000001" customHeight="1" x14ac:dyDescent="0.25">
      <c r="A50" s="125" t="s">
        <v>93</v>
      </c>
      <c r="B50" s="5"/>
      <c r="C50" s="47" t="s">
        <v>75</v>
      </c>
      <c r="D50" s="235"/>
      <c r="E50" s="16">
        <f t="shared" si="0"/>
        <v>3814</v>
      </c>
      <c r="F50" s="16">
        <v>4</v>
      </c>
      <c r="G50" s="16">
        <v>0</v>
      </c>
      <c r="H50" s="16">
        <v>0</v>
      </c>
      <c r="I50" s="16">
        <v>0</v>
      </c>
      <c r="J50" s="16">
        <v>5</v>
      </c>
      <c r="K50" s="16">
        <v>4</v>
      </c>
      <c r="L50" s="26">
        <v>1250</v>
      </c>
      <c r="M50" s="26">
        <v>255</v>
      </c>
      <c r="N50" s="26">
        <v>17</v>
      </c>
      <c r="O50" s="26">
        <v>27</v>
      </c>
      <c r="P50" s="26">
        <v>10</v>
      </c>
      <c r="Q50" s="26">
        <v>0</v>
      </c>
      <c r="R50" s="26">
        <v>39</v>
      </c>
      <c r="S50" s="26">
        <v>55</v>
      </c>
      <c r="T50" s="26">
        <v>6</v>
      </c>
      <c r="U50" s="26">
        <v>21</v>
      </c>
      <c r="V50" s="26">
        <v>78</v>
      </c>
      <c r="W50" s="26">
        <v>5</v>
      </c>
      <c r="X50" s="26">
        <v>10</v>
      </c>
      <c r="Y50" s="26">
        <v>8</v>
      </c>
      <c r="Z50" s="26">
        <v>46</v>
      </c>
      <c r="AA50" s="26">
        <v>24</v>
      </c>
      <c r="AB50" s="26">
        <v>23</v>
      </c>
      <c r="AC50" s="26">
        <v>36</v>
      </c>
      <c r="AD50" s="26">
        <v>256</v>
      </c>
      <c r="AE50" s="26">
        <v>146</v>
      </c>
      <c r="AF50" s="26">
        <v>0</v>
      </c>
      <c r="AG50" s="26">
        <v>353</v>
      </c>
      <c r="AH50" s="26">
        <v>0</v>
      </c>
      <c r="AI50" s="26">
        <v>1</v>
      </c>
      <c r="AJ50" s="26">
        <v>10</v>
      </c>
      <c r="AK50" s="125" t="s">
        <v>93</v>
      </c>
      <c r="AL50" s="5"/>
      <c r="AM50" s="47" t="s">
        <v>75</v>
      </c>
      <c r="AN50" s="235"/>
      <c r="AO50" s="113">
        <v>5</v>
      </c>
      <c r="AP50" s="113">
        <v>0</v>
      </c>
      <c r="AQ50" s="113">
        <v>42</v>
      </c>
      <c r="AR50" s="113">
        <v>9</v>
      </c>
      <c r="AS50" s="113">
        <v>19</v>
      </c>
      <c r="AT50" s="113">
        <v>0</v>
      </c>
      <c r="AU50" s="113">
        <v>0</v>
      </c>
      <c r="AV50" s="113">
        <v>8</v>
      </c>
      <c r="AW50" s="113">
        <v>34</v>
      </c>
      <c r="AX50" s="113">
        <v>14</v>
      </c>
      <c r="AY50" s="113">
        <v>59</v>
      </c>
      <c r="AZ50" s="113">
        <v>128</v>
      </c>
      <c r="BA50" s="113">
        <v>1</v>
      </c>
      <c r="BB50" s="113">
        <v>12</v>
      </c>
      <c r="BC50" s="113">
        <v>2</v>
      </c>
      <c r="BD50" s="113">
        <v>1</v>
      </c>
      <c r="BE50" s="113">
        <v>0</v>
      </c>
      <c r="BF50" s="113">
        <v>13</v>
      </c>
      <c r="BG50" s="113">
        <v>3</v>
      </c>
      <c r="BH50" s="113">
        <v>0</v>
      </c>
      <c r="BI50" s="113">
        <v>36</v>
      </c>
      <c r="BJ50" s="113">
        <v>56</v>
      </c>
      <c r="BK50" s="113">
        <v>24</v>
      </c>
      <c r="BL50" s="113">
        <v>4</v>
      </c>
      <c r="BM50" s="113">
        <v>0</v>
      </c>
      <c r="BN50" s="113">
        <v>326</v>
      </c>
      <c r="BO50" s="113">
        <v>34</v>
      </c>
      <c r="BP50" s="113">
        <v>52</v>
      </c>
      <c r="BQ50" s="113">
        <v>0</v>
      </c>
      <c r="BR50" s="113">
        <v>0</v>
      </c>
      <c r="BS50" s="113">
        <v>243</v>
      </c>
    </row>
    <row r="51" spans="1:195" s="15" customFormat="1" ht="18.600000000000001" customHeight="1" x14ac:dyDescent="0.25">
      <c r="A51" s="125"/>
      <c r="B51" s="5"/>
      <c r="C51" s="47" t="s">
        <v>76</v>
      </c>
      <c r="D51" s="235"/>
      <c r="E51" s="16">
        <f t="shared" si="0"/>
        <v>20</v>
      </c>
      <c r="F51" s="26">
        <v>0</v>
      </c>
      <c r="G51" s="26">
        <v>0</v>
      </c>
      <c r="H51" s="26">
        <v>0</v>
      </c>
      <c r="I51" s="26">
        <v>0</v>
      </c>
      <c r="J51" s="26">
        <v>0</v>
      </c>
      <c r="K51" s="26">
        <v>0</v>
      </c>
      <c r="L51" s="26">
        <v>4</v>
      </c>
      <c r="M51" s="26">
        <v>0</v>
      </c>
      <c r="N51" s="26">
        <v>0</v>
      </c>
      <c r="O51" s="26">
        <v>0</v>
      </c>
      <c r="P51" s="26">
        <v>0</v>
      </c>
      <c r="Q51" s="26">
        <v>0</v>
      </c>
      <c r="R51" s="26">
        <v>4</v>
      </c>
      <c r="S51" s="26">
        <v>3</v>
      </c>
      <c r="T51" s="26">
        <v>0</v>
      </c>
      <c r="U51" s="26">
        <v>0</v>
      </c>
      <c r="V51" s="26">
        <v>4</v>
      </c>
      <c r="W51" s="26">
        <v>0</v>
      </c>
      <c r="X51" s="26">
        <v>0</v>
      </c>
      <c r="Y51" s="26">
        <v>0</v>
      </c>
      <c r="Z51" s="26">
        <v>0</v>
      </c>
      <c r="AA51" s="26">
        <v>0</v>
      </c>
      <c r="AB51" s="26">
        <v>0</v>
      </c>
      <c r="AC51" s="26">
        <v>0</v>
      </c>
      <c r="AD51" s="26">
        <v>0</v>
      </c>
      <c r="AE51" s="26">
        <v>0</v>
      </c>
      <c r="AF51" s="26">
        <v>0</v>
      </c>
      <c r="AG51" s="26">
        <v>5</v>
      </c>
      <c r="AH51" s="26">
        <v>0</v>
      </c>
      <c r="AI51" s="26">
        <v>0</v>
      </c>
      <c r="AJ51" s="26">
        <v>0</v>
      </c>
      <c r="AK51" s="125"/>
      <c r="AL51" s="5"/>
      <c r="AM51" s="47" t="s">
        <v>76</v>
      </c>
      <c r="AN51" s="235"/>
      <c r="AO51" s="113">
        <v>0</v>
      </c>
      <c r="AP51" s="113">
        <v>0</v>
      </c>
      <c r="AQ51" s="113">
        <v>0</v>
      </c>
      <c r="AR51" s="113">
        <v>0</v>
      </c>
      <c r="AS51" s="113">
        <v>0</v>
      </c>
      <c r="AT51" s="113">
        <v>0</v>
      </c>
      <c r="AU51" s="113">
        <v>0</v>
      </c>
      <c r="AV51" s="113">
        <v>0</v>
      </c>
      <c r="AW51" s="113">
        <v>0</v>
      </c>
      <c r="AX51" s="113">
        <v>0</v>
      </c>
      <c r="AY51" s="113">
        <v>0</v>
      </c>
      <c r="AZ51" s="113">
        <v>0</v>
      </c>
      <c r="BA51" s="113">
        <v>0</v>
      </c>
      <c r="BB51" s="113">
        <v>0</v>
      </c>
      <c r="BC51" s="113">
        <v>0</v>
      </c>
      <c r="BD51" s="113">
        <v>0</v>
      </c>
      <c r="BE51" s="113">
        <v>0</v>
      </c>
      <c r="BF51" s="113">
        <v>0</v>
      </c>
      <c r="BG51" s="113">
        <v>0</v>
      </c>
      <c r="BH51" s="113">
        <v>0</v>
      </c>
      <c r="BI51" s="113">
        <v>0</v>
      </c>
      <c r="BJ51" s="113">
        <v>0</v>
      </c>
      <c r="BK51" s="113">
        <v>0</v>
      </c>
      <c r="BL51" s="113">
        <v>0</v>
      </c>
      <c r="BM51" s="113">
        <v>0</v>
      </c>
      <c r="BN51" s="113">
        <v>0</v>
      </c>
      <c r="BO51" s="113">
        <v>0</v>
      </c>
      <c r="BP51" s="113">
        <v>0</v>
      </c>
      <c r="BQ51" s="113">
        <v>0</v>
      </c>
      <c r="BR51" s="113">
        <v>0</v>
      </c>
      <c r="BS51" s="113">
        <v>0</v>
      </c>
    </row>
    <row r="52" spans="1:195" s="15" customFormat="1" ht="18.600000000000001" customHeight="1" x14ac:dyDescent="0.25">
      <c r="A52" s="125" t="s">
        <v>94</v>
      </c>
      <c r="B52" s="4"/>
      <c r="C52" s="47" t="s">
        <v>75</v>
      </c>
      <c r="D52" s="235"/>
      <c r="E52" s="16">
        <f t="shared" si="0"/>
        <v>4421</v>
      </c>
      <c r="F52" s="16">
        <v>2</v>
      </c>
      <c r="G52" s="16">
        <v>0</v>
      </c>
      <c r="H52" s="16">
        <v>0</v>
      </c>
      <c r="I52" s="16">
        <v>0</v>
      </c>
      <c r="J52" s="16">
        <v>16</v>
      </c>
      <c r="K52" s="16">
        <v>0</v>
      </c>
      <c r="L52" s="26">
        <v>780</v>
      </c>
      <c r="M52" s="26">
        <v>1152</v>
      </c>
      <c r="N52" s="26">
        <v>5</v>
      </c>
      <c r="O52" s="26">
        <v>31</v>
      </c>
      <c r="P52" s="26">
        <v>27</v>
      </c>
      <c r="Q52" s="26">
        <v>0</v>
      </c>
      <c r="R52" s="26">
        <v>50</v>
      </c>
      <c r="S52" s="26">
        <v>118</v>
      </c>
      <c r="T52" s="26">
        <v>8</v>
      </c>
      <c r="U52" s="26">
        <v>25</v>
      </c>
      <c r="V52" s="26">
        <v>155</v>
      </c>
      <c r="W52" s="26">
        <v>7</v>
      </c>
      <c r="X52" s="26">
        <v>3</v>
      </c>
      <c r="Y52" s="26">
        <v>18</v>
      </c>
      <c r="Z52" s="26">
        <v>46</v>
      </c>
      <c r="AA52" s="26">
        <v>59</v>
      </c>
      <c r="AB52" s="26">
        <v>26</v>
      </c>
      <c r="AC52" s="26">
        <v>49</v>
      </c>
      <c r="AD52" s="26">
        <v>478</v>
      </c>
      <c r="AE52" s="26">
        <v>260</v>
      </c>
      <c r="AF52" s="26">
        <v>0</v>
      </c>
      <c r="AG52" s="26">
        <v>252</v>
      </c>
      <c r="AH52" s="26">
        <v>2</v>
      </c>
      <c r="AI52" s="26">
        <v>0</v>
      </c>
      <c r="AJ52" s="26">
        <v>7</v>
      </c>
      <c r="AK52" s="125" t="s">
        <v>94</v>
      </c>
      <c r="AL52" s="4"/>
      <c r="AM52" s="47" t="s">
        <v>75</v>
      </c>
      <c r="AN52" s="235"/>
      <c r="AO52" s="113">
        <v>9</v>
      </c>
      <c r="AP52" s="113">
        <v>0</v>
      </c>
      <c r="AQ52" s="113">
        <v>68</v>
      </c>
      <c r="AR52" s="113">
        <v>57</v>
      </c>
      <c r="AS52" s="113">
        <v>3</v>
      </c>
      <c r="AT52" s="113">
        <v>0</v>
      </c>
      <c r="AU52" s="113">
        <v>0</v>
      </c>
      <c r="AV52" s="113">
        <v>9</v>
      </c>
      <c r="AW52" s="113">
        <v>31</v>
      </c>
      <c r="AX52" s="113">
        <v>12</v>
      </c>
      <c r="AY52" s="113">
        <v>124</v>
      </c>
      <c r="AZ52" s="113">
        <v>74</v>
      </c>
      <c r="BA52" s="113">
        <v>5</v>
      </c>
      <c r="BB52" s="113">
        <v>15</v>
      </c>
      <c r="BC52" s="113">
        <v>3</v>
      </c>
      <c r="BD52" s="113">
        <f>0+5+0</f>
        <v>5</v>
      </c>
      <c r="BE52" s="113">
        <v>6</v>
      </c>
      <c r="BF52" s="113">
        <v>14</v>
      </c>
      <c r="BG52" s="113">
        <v>2</v>
      </c>
      <c r="BH52" s="113">
        <v>0</v>
      </c>
      <c r="BI52" s="113">
        <v>37</v>
      </c>
      <c r="BJ52" s="113">
        <v>25</v>
      </c>
      <c r="BK52" s="113">
        <v>44</v>
      </c>
      <c r="BL52" s="113">
        <v>1</v>
      </c>
      <c r="BM52" s="113">
        <v>0</v>
      </c>
      <c r="BN52" s="113">
        <v>87</v>
      </c>
      <c r="BO52" s="113">
        <v>112</v>
      </c>
      <c r="BP52" s="113">
        <v>100</v>
      </c>
      <c r="BQ52" s="113">
        <v>0</v>
      </c>
      <c r="BR52" s="113">
        <v>0</v>
      </c>
      <c r="BS52" s="113">
        <v>2</v>
      </c>
    </row>
    <row r="53" spans="1:195" s="15" customFormat="1" ht="18.600000000000001" customHeight="1" x14ac:dyDescent="0.25">
      <c r="A53" s="125"/>
      <c r="B53" s="4"/>
      <c r="C53" s="47" t="s">
        <v>76</v>
      </c>
      <c r="D53" s="235"/>
      <c r="E53" s="16">
        <f t="shared" si="0"/>
        <v>36</v>
      </c>
      <c r="F53" s="26">
        <v>0</v>
      </c>
      <c r="G53" s="26">
        <v>0</v>
      </c>
      <c r="H53" s="26">
        <v>0</v>
      </c>
      <c r="I53" s="26">
        <v>0</v>
      </c>
      <c r="J53" s="26">
        <v>0</v>
      </c>
      <c r="K53" s="26">
        <v>0</v>
      </c>
      <c r="L53" s="26">
        <v>0</v>
      </c>
      <c r="M53" s="26">
        <v>2</v>
      </c>
      <c r="N53" s="26">
        <v>0</v>
      </c>
      <c r="O53" s="26">
        <v>0</v>
      </c>
      <c r="P53" s="26">
        <v>1</v>
      </c>
      <c r="Q53" s="26">
        <v>0</v>
      </c>
      <c r="R53" s="26">
        <v>0</v>
      </c>
      <c r="S53" s="26">
        <v>1</v>
      </c>
      <c r="T53" s="26">
        <v>0</v>
      </c>
      <c r="U53" s="26">
        <v>1</v>
      </c>
      <c r="V53" s="26">
        <v>2</v>
      </c>
      <c r="W53" s="26">
        <v>0</v>
      </c>
      <c r="X53" s="26">
        <v>0</v>
      </c>
      <c r="Y53" s="26">
        <v>0</v>
      </c>
      <c r="Z53" s="26">
        <v>0</v>
      </c>
      <c r="AA53" s="26">
        <v>0</v>
      </c>
      <c r="AB53" s="26">
        <v>1</v>
      </c>
      <c r="AC53" s="26">
        <v>0</v>
      </c>
      <c r="AD53" s="26">
        <v>0</v>
      </c>
      <c r="AE53" s="26">
        <v>1</v>
      </c>
      <c r="AF53" s="26">
        <v>0</v>
      </c>
      <c r="AG53" s="26">
        <v>6</v>
      </c>
      <c r="AH53" s="26">
        <v>0</v>
      </c>
      <c r="AI53" s="26">
        <v>0</v>
      </c>
      <c r="AJ53" s="26">
        <v>0</v>
      </c>
      <c r="AK53" s="125"/>
      <c r="AL53" s="4"/>
      <c r="AM53" s="47" t="s">
        <v>76</v>
      </c>
      <c r="AN53" s="235"/>
      <c r="AO53" s="113">
        <v>0</v>
      </c>
      <c r="AP53" s="113">
        <v>0</v>
      </c>
      <c r="AQ53" s="113">
        <v>3</v>
      </c>
      <c r="AR53" s="113">
        <v>0</v>
      </c>
      <c r="AS53" s="113">
        <v>0</v>
      </c>
      <c r="AT53" s="113">
        <v>0</v>
      </c>
      <c r="AU53" s="113">
        <v>0</v>
      </c>
      <c r="AV53" s="113">
        <v>1</v>
      </c>
      <c r="AW53" s="113">
        <v>4</v>
      </c>
      <c r="AX53" s="113">
        <v>0</v>
      </c>
      <c r="AY53" s="113">
        <v>10</v>
      </c>
      <c r="AZ53" s="113">
        <v>0</v>
      </c>
      <c r="BA53" s="113">
        <v>0</v>
      </c>
      <c r="BB53" s="113">
        <v>0</v>
      </c>
      <c r="BC53" s="113">
        <v>0</v>
      </c>
      <c r="BD53" s="113">
        <v>0</v>
      </c>
      <c r="BE53" s="113">
        <v>0</v>
      </c>
      <c r="BF53" s="113">
        <v>1</v>
      </c>
      <c r="BG53" s="113">
        <v>0</v>
      </c>
      <c r="BH53" s="113">
        <v>0</v>
      </c>
      <c r="BI53" s="113">
        <v>0</v>
      </c>
      <c r="BJ53" s="113">
        <v>0</v>
      </c>
      <c r="BK53" s="113">
        <v>0</v>
      </c>
      <c r="BL53" s="113">
        <v>0</v>
      </c>
      <c r="BM53" s="113">
        <v>0</v>
      </c>
      <c r="BN53" s="113">
        <v>0</v>
      </c>
      <c r="BO53" s="113">
        <v>0</v>
      </c>
      <c r="BP53" s="113">
        <v>2</v>
      </c>
      <c r="BQ53" s="113">
        <v>0</v>
      </c>
      <c r="BR53" s="113">
        <v>0</v>
      </c>
      <c r="BS53" s="113">
        <v>0</v>
      </c>
    </row>
    <row r="54" spans="1:195" s="15" customFormat="1" ht="18.600000000000001" customHeight="1" x14ac:dyDescent="0.25">
      <c r="A54" s="125" t="s">
        <v>95</v>
      </c>
      <c r="B54" s="4"/>
      <c r="C54" s="47" t="s">
        <v>75</v>
      </c>
      <c r="D54" s="235"/>
      <c r="E54" s="16">
        <f t="shared" si="0"/>
        <v>2877</v>
      </c>
      <c r="F54" s="16">
        <v>0</v>
      </c>
      <c r="G54" s="16">
        <v>0</v>
      </c>
      <c r="H54" s="16">
        <v>2</v>
      </c>
      <c r="I54" s="16">
        <v>0</v>
      </c>
      <c r="J54" s="16">
        <v>0</v>
      </c>
      <c r="K54" s="16">
        <v>0</v>
      </c>
      <c r="L54" s="26">
        <v>465</v>
      </c>
      <c r="M54" s="26">
        <v>236</v>
      </c>
      <c r="N54" s="26">
        <v>52</v>
      </c>
      <c r="O54" s="26">
        <v>0</v>
      </c>
      <c r="P54" s="26">
        <v>10</v>
      </c>
      <c r="Q54" s="26">
        <v>0</v>
      </c>
      <c r="R54" s="26">
        <v>82</v>
      </c>
      <c r="S54" s="26">
        <v>22</v>
      </c>
      <c r="T54" s="26">
        <v>0</v>
      </c>
      <c r="U54" s="26">
        <v>9</v>
      </c>
      <c r="V54" s="26">
        <v>71</v>
      </c>
      <c r="W54" s="26">
        <v>4</v>
      </c>
      <c r="X54" s="26">
        <v>0</v>
      </c>
      <c r="Y54" s="26">
        <v>22</v>
      </c>
      <c r="Z54" s="26">
        <v>68</v>
      </c>
      <c r="AA54" s="26">
        <v>47</v>
      </c>
      <c r="AB54" s="26">
        <v>200</v>
      </c>
      <c r="AC54" s="26">
        <v>17</v>
      </c>
      <c r="AD54" s="26">
        <v>227</v>
      </c>
      <c r="AE54" s="26">
        <v>135</v>
      </c>
      <c r="AF54" s="26">
        <v>0</v>
      </c>
      <c r="AG54" s="26">
        <v>507</v>
      </c>
      <c r="AH54" s="26">
        <v>0</v>
      </c>
      <c r="AI54" s="26">
        <v>0</v>
      </c>
      <c r="AJ54" s="26">
        <v>19</v>
      </c>
      <c r="AK54" s="125" t="s">
        <v>95</v>
      </c>
      <c r="AL54" s="4"/>
      <c r="AM54" s="47" t="s">
        <v>75</v>
      </c>
      <c r="AN54" s="235"/>
      <c r="AO54" s="113">
        <v>6</v>
      </c>
      <c r="AP54" s="113">
        <v>0</v>
      </c>
      <c r="AQ54" s="113">
        <v>80</v>
      </c>
      <c r="AR54" s="113">
        <v>2</v>
      </c>
      <c r="AS54" s="113">
        <v>0</v>
      </c>
      <c r="AT54" s="113">
        <v>0</v>
      </c>
      <c r="AU54" s="113">
        <v>0</v>
      </c>
      <c r="AV54" s="113">
        <v>0</v>
      </c>
      <c r="AW54" s="113">
        <v>25</v>
      </c>
      <c r="AX54" s="113">
        <v>10</v>
      </c>
      <c r="AY54" s="113">
        <v>161</v>
      </c>
      <c r="AZ54" s="113">
        <v>105</v>
      </c>
      <c r="BA54" s="113">
        <v>1</v>
      </c>
      <c r="BB54" s="113">
        <v>25</v>
      </c>
      <c r="BC54" s="113">
        <v>0</v>
      </c>
      <c r="BD54" s="113">
        <v>0</v>
      </c>
      <c r="BE54" s="113">
        <v>0</v>
      </c>
      <c r="BF54" s="113">
        <v>11</v>
      </c>
      <c r="BG54" s="113">
        <v>6</v>
      </c>
      <c r="BH54" s="113">
        <v>0</v>
      </c>
      <c r="BI54" s="113">
        <v>6</v>
      </c>
      <c r="BJ54" s="113">
        <v>38</v>
      </c>
      <c r="BK54" s="113">
        <v>7</v>
      </c>
      <c r="BL54" s="113">
        <v>0</v>
      </c>
      <c r="BM54" s="113">
        <v>0</v>
      </c>
      <c r="BN54" s="113">
        <v>76</v>
      </c>
      <c r="BO54" s="113">
        <v>77</v>
      </c>
      <c r="BP54" s="113">
        <v>42</v>
      </c>
      <c r="BQ54" s="113">
        <v>0</v>
      </c>
      <c r="BR54" s="113">
        <v>0</v>
      </c>
      <c r="BS54" s="113">
        <v>4</v>
      </c>
    </row>
    <row r="55" spans="1:195" s="15" customFormat="1" ht="18.600000000000001" customHeight="1" x14ac:dyDescent="0.25">
      <c r="A55" s="125"/>
      <c r="B55" s="4"/>
      <c r="C55" s="47" t="s">
        <v>76</v>
      </c>
      <c r="D55" s="235"/>
      <c r="E55" s="16">
        <f t="shared" si="0"/>
        <v>17</v>
      </c>
      <c r="F55" s="26">
        <v>0</v>
      </c>
      <c r="G55" s="26">
        <v>0</v>
      </c>
      <c r="H55" s="26">
        <v>0</v>
      </c>
      <c r="I55" s="26">
        <v>0</v>
      </c>
      <c r="J55" s="26">
        <v>0</v>
      </c>
      <c r="K55" s="26">
        <v>0</v>
      </c>
      <c r="L55" s="26">
        <v>0</v>
      </c>
      <c r="M55" s="26">
        <v>0</v>
      </c>
      <c r="N55" s="26">
        <v>0</v>
      </c>
      <c r="O55" s="26">
        <v>0</v>
      </c>
      <c r="P55" s="26">
        <v>0</v>
      </c>
      <c r="Q55" s="26">
        <v>0</v>
      </c>
      <c r="R55" s="26">
        <v>0</v>
      </c>
      <c r="S55" s="26">
        <v>1</v>
      </c>
      <c r="T55" s="26">
        <v>0</v>
      </c>
      <c r="U55" s="26">
        <v>0</v>
      </c>
      <c r="V55" s="26">
        <v>1</v>
      </c>
      <c r="W55" s="26">
        <v>0</v>
      </c>
      <c r="X55" s="26">
        <v>0</v>
      </c>
      <c r="Y55" s="26">
        <v>0</v>
      </c>
      <c r="Z55" s="26">
        <v>0</v>
      </c>
      <c r="AA55" s="26">
        <v>0</v>
      </c>
      <c r="AB55" s="26">
        <v>2</v>
      </c>
      <c r="AC55" s="26">
        <v>0</v>
      </c>
      <c r="AD55" s="26">
        <v>0</v>
      </c>
      <c r="AE55" s="26">
        <v>0</v>
      </c>
      <c r="AF55" s="26">
        <v>0</v>
      </c>
      <c r="AG55" s="26">
        <v>11</v>
      </c>
      <c r="AH55" s="26">
        <v>0</v>
      </c>
      <c r="AI55" s="26">
        <v>0</v>
      </c>
      <c r="AJ55" s="26">
        <v>0</v>
      </c>
      <c r="AK55" s="125"/>
      <c r="AL55" s="4"/>
      <c r="AM55" s="47" t="s">
        <v>76</v>
      </c>
      <c r="AN55" s="235"/>
      <c r="AO55" s="113">
        <v>0</v>
      </c>
      <c r="AP55" s="113">
        <v>0</v>
      </c>
      <c r="AQ55" s="113">
        <v>0</v>
      </c>
      <c r="AR55" s="113">
        <v>0</v>
      </c>
      <c r="AS55" s="113">
        <v>0</v>
      </c>
      <c r="AT55" s="113">
        <v>0</v>
      </c>
      <c r="AU55" s="113">
        <v>0</v>
      </c>
      <c r="AV55" s="113">
        <v>0</v>
      </c>
      <c r="AW55" s="113">
        <v>0</v>
      </c>
      <c r="AX55" s="113">
        <v>0</v>
      </c>
      <c r="AY55" s="113">
        <v>2</v>
      </c>
      <c r="AZ55" s="113">
        <v>0</v>
      </c>
      <c r="BA55" s="113">
        <v>0</v>
      </c>
      <c r="BB55" s="113">
        <v>0</v>
      </c>
      <c r="BC55" s="113">
        <v>0</v>
      </c>
      <c r="BD55" s="113">
        <v>0</v>
      </c>
      <c r="BE55" s="113">
        <v>0</v>
      </c>
      <c r="BF55" s="113">
        <v>0</v>
      </c>
      <c r="BG55" s="113">
        <v>0</v>
      </c>
      <c r="BH55" s="113">
        <v>0</v>
      </c>
      <c r="BI55" s="113">
        <v>0</v>
      </c>
      <c r="BJ55" s="113">
        <v>0</v>
      </c>
      <c r="BK55" s="113">
        <v>0</v>
      </c>
      <c r="BL55" s="113">
        <v>0</v>
      </c>
      <c r="BM55" s="113">
        <v>0</v>
      </c>
      <c r="BN55" s="113">
        <v>0</v>
      </c>
      <c r="BO55" s="113">
        <v>0</v>
      </c>
      <c r="BP55" s="113">
        <v>0</v>
      </c>
      <c r="BQ55" s="113">
        <v>0</v>
      </c>
      <c r="BR55" s="113">
        <v>0</v>
      </c>
      <c r="BS55" s="113">
        <v>0</v>
      </c>
    </row>
    <row r="56" spans="1:195" s="15" customFormat="1" ht="18.600000000000001" customHeight="1" x14ac:dyDescent="0.25">
      <c r="A56" s="125" t="s">
        <v>96</v>
      </c>
      <c r="B56" s="4"/>
      <c r="C56" s="47" t="s">
        <v>75</v>
      </c>
      <c r="D56" s="235"/>
      <c r="E56" s="16">
        <f t="shared" si="0"/>
        <v>1028</v>
      </c>
      <c r="F56" s="16">
        <v>0</v>
      </c>
      <c r="G56" s="16">
        <v>0</v>
      </c>
      <c r="H56" s="16">
        <v>0</v>
      </c>
      <c r="I56" s="16">
        <v>0</v>
      </c>
      <c r="J56" s="16">
        <v>0</v>
      </c>
      <c r="K56" s="16">
        <v>2</v>
      </c>
      <c r="L56" s="26">
        <v>161</v>
      </c>
      <c r="M56" s="26">
        <v>37</v>
      </c>
      <c r="N56" s="26">
        <v>1</v>
      </c>
      <c r="O56" s="26">
        <v>0</v>
      </c>
      <c r="P56" s="26">
        <v>0</v>
      </c>
      <c r="Q56" s="26">
        <v>0</v>
      </c>
      <c r="R56" s="26">
        <v>72</v>
      </c>
      <c r="S56" s="26">
        <v>40</v>
      </c>
      <c r="T56" s="26">
        <v>0</v>
      </c>
      <c r="U56" s="26">
        <v>2</v>
      </c>
      <c r="V56" s="26">
        <v>28</v>
      </c>
      <c r="W56" s="26">
        <v>0</v>
      </c>
      <c r="X56" s="26">
        <v>0</v>
      </c>
      <c r="Y56" s="26">
        <v>3</v>
      </c>
      <c r="Z56" s="26">
        <v>3</v>
      </c>
      <c r="AA56" s="26">
        <v>4</v>
      </c>
      <c r="AB56" s="26">
        <v>15</v>
      </c>
      <c r="AC56" s="26">
        <v>10</v>
      </c>
      <c r="AD56" s="26">
        <v>116</v>
      </c>
      <c r="AE56" s="26">
        <v>107</v>
      </c>
      <c r="AF56" s="26">
        <v>0</v>
      </c>
      <c r="AG56" s="26">
        <v>229</v>
      </c>
      <c r="AH56" s="26">
        <v>0</v>
      </c>
      <c r="AI56" s="26">
        <v>0</v>
      </c>
      <c r="AJ56" s="26">
        <v>17</v>
      </c>
      <c r="AK56" s="125" t="s">
        <v>96</v>
      </c>
      <c r="AL56" s="4"/>
      <c r="AM56" s="47" t="s">
        <v>75</v>
      </c>
      <c r="AN56" s="235"/>
      <c r="AO56" s="113">
        <v>4</v>
      </c>
      <c r="AP56" s="113">
        <v>0</v>
      </c>
      <c r="AQ56" s="113">
        <v>26</v>
      </c>
      <c r="AR56" s="113">
        <v>7</v>
      </c>
      <c r="AS56" s="113">
        <v>0</v>
      </c>
      <c r="AT56" s="113">
        <v>0</v>
      </c>
      <c r="AU56" s="113">
        <v>0</v>
      </c>
      <c r="AV56" s="113">
        <v>3</v>
      </c>
      <c r="AW56" s="113">
        <v>42</v>
      </c>
      <c r="AX56" s="113">
        <v>0</v>
      </c>
      <c r="AY56" s="113">
        <v>28</v>
      </c>
      <c r="AZ56" s="113">
        <v>4</v>
      </c>
      <c r="BA56" s="113">
        <v>0</v>
      </c>
      <c r="BB56" s="113">
        <v>0</v>
      </c>
      <c r="BC56" s="113">
        <v>2</v>
      </c>
      <c r="BD56" s="113">
        <v>0</v>
      </c>
      <c r="BE56" s="113">
        <v>0</v>
      </c>
      <c r="BF56" s="113">
        <v>10</v>
      </c>
      <c r="BG56" s="113">
        <v>0</v>
      </c>
      <c r="BH56" s="113">
        <v>0</v>
      </c>
      <c r="BI56" s="113">
        <v>0</v>
      </c>
      <c r="BJ56" s="113">
        <v>5</v>
      </c>
      <c r="BK56" s="113">
        <v>6</v>
      </c>
      <c r="BL56" s="113">
        <v>0</v>
      </c>
      <c r="BM56" s="113">
        <v>11</v>
      </c>
      <c r="BN56" s="113">
        <v>28</v>
      </c>
      <c r="BO56" s="113">
        <v>0</v>
      </c>
      <c r="BP56" s="113">
        <v>5</v>
      </c>
      <c r="BQ56" s="113">
        <v>0</v>
      </c>
      <c r="BR56" s="113">
        <v>0</v>
      </c>
      <c r="BS56" s="113">
        <v>0</v>
      </c>
    </row>
    <row r="57" spans="1:195" s="15" customFormat="1" ht="18.600000000000001" customHeight="1" x14ac:dyDescent="0.25">
      <c r="A57" s="134"/>
      <c r="B57" s="6"/>
      <c r="C57" s="49" t="s">
        <v>76</v>
      </c>
      <c r="D57" s="236"/>
      <c r="E57" s="55">
        <f t="shared" si="0"/>
        <v>6</v>
      </c>
      <c r="F57" s="56">
        <v>0</v>
      </c>
      <c r="G57" s="56">
        <v>0</v>
      </c>
      <c r="H57" s="56">
        <v>0</v>
      </c>
      <c r="I57" s="56">
        <v>0</v>
      </c>
      <c r="J57" s="56">
        <v>0</v>
      </c>
      <c r="K57" s="56">
        <v>0</v>
      </c>
      <c r="L57" s="56">
        <v>0</v>
      </c>
      <c r="M57" s="56">
        <v>0</v>
      </c>
      <c r="N57" s="56">
        <v>0</v>
      </c>
      <c r="O57" s="56">
        <v>0</v>
      </c>
      <c r="P57" s="56">
        <v>0</v>
      </c>
      <c r="Q57" s="56">
        <v>0</v>
      </c>
      <c r="R57" s="56">
        <v>0</v>
      </c>
      <c r="S57" s="56">
        <v>0</v>
      </c>
      <c r="T57" s="56">
        <v>0</v>
      </c>
      <c r="U57" s="56">
        <v>0</v>
      </c>
      <c r="V57" s="56">
        <v>0</v>
      </c>
      <c r="W57" s="56">
        <v>0</v>
      </c>
      <c r="X57" s="56">
        <v>0</v>
      </c>
      <c r="Y57" s="56">
        <v>0</v>
      </c>
      <c r="Z57" s="56">
        <v>0</v>
      </c>
      <c r="AA57" s="56">
        <v>0</v>
      </c>
      <c r="AB57" s="56">
        <v>0</v>
      </c>
      <c r="AC57" s="56">
        <v>0</v>
      </c>
      <c r="AD57" s="56">
        <v>0</v>
      </c>
      <c r="AE57" s="56">
        <v>0</v>
      </c>
      <c r="AF57" s="56">
        <v>0</v>
      </c>
      <c r="AG57" s="56">
        <v>6</v>
      </c>
      <c r="AH57" s="56">
        <v>0</v>
      </c>
      <c r="AI57" s="56">
        <v>0</v>
      </c>
      <c r="AJ57" s="56">
        <v>0</v>
      </c>
      <c r="AK57" s="134"/>
      <c r="AL57" s="6"/>
      <c r="AM57" s="49" t="s">
        <v>76</v>
      </c>
      <c r="AN57" s="236"/>
      <c r="AO57" s="114">
        <v>0</v>
      </c>
      <c r="AP57" s="114">
        <v>0</v>
      </c>
      <c r="AQ57" s="114">
        <v>0</v>
      </c>
      <c r="AR57" s="114">
        <v>0</v>
      </c>
      <c r="AS57" s="114">
        <v>0</v>
      </c>
      <c r="AT57" s="114">
        <v>0</v>
      </c>
      <c r="AU57" s="114">
        <v>0</v>
      </c>
      <c r="AV57" s="114">
        <v>0</v>
      </c>
      <c r="AW57" s="114">
        <v>0</v>
      </c>
      <c r="AX57" s="114">
        <v>0</v>
      </c>
      <c r="AY57" s="114">
        <v>0</v>
      </c>
      <c r="AZ57" s="114">
        <v>0</v>
      </c>
      <c r="BA57" s="114">
        <v>0</v>
      </c>
      <c r="BB57" s="114">
        <v>0</v>
      </c>
      <c r="BC57" s="114">
        <v>0</v>
      </c>
      <c r="BD57" s="114">
        <v>0</v>
      </c>
      <c r="BE57" s="114">
        <v>0</v>
      </c>
      <c r="BF57" s="114">
        <v>0</v>
      </c>
      <c r="BG57" s="114">
        <v>0</v>
      </c>
      <c r="BH57" s="114">
        <v>0</v>
      </c>
      <c r="BI57" s="114">
        <v>0</v>
      </c>
      <c r="BJ57" s="114">
        <v>0</v>
      </c>
      <c r="BK57" s="114">
        <v>0</v>
      </c>
      <c r="BL57" s="114">
        <v>0</v>
      </c>
      <c r="BM57" s="114">
        <v>0</v>
      </c>
      <c r="BN57" s="114">
        <v>0</v>
      </c>
      <c r="BO57" s="114">
        <v>0</v>
      </c>
      <c r="BP57" s="114">
        <v>0</v>
      </c>
      <c r="BQ57" s="114">
        <v>0</v>
      </c>
      <c r="BR57" s="114">
        <v>0</v>
      </c>
      <c r="BS57" s="114">
        <v>0</v>
      </c>
    </row>
    <row r="58" spans="1:195" s="237" customFormat="1" ht="18" customHeight="1" x14ac:dyDescent="0.3">
      <c r="AA58" s="238"/>
      <c r="AC58" s="239"/>
      <c r="AG58" s="240"/>
      <c r="AI58" s="115"/>
      <c r="AK58" s="63" t="s">
        <v>191</v>
      </c>
      <c r="AL58" s="58"/>
      <c r="AM58" s="58"/>
      <c r="AN58" s="63"/>
      <c r="AO58" s="63"/>
      <c r="AP58" s="64"/>
      <c r="AQ58" s="58"/>
      <c r="AR58" s="63"/>
      <c r="AS58" s="63" t="s">
        <v>178</v>
      </c>
      <c r="AT58" s="63"/>
      <c r="AU58" s="62"/>
      <c r="AV58" s="58"/>
      <c r="AW58" s="63"/>
      <c r="AX58" s="58"/>
      <c r="AY58" s="64"/>
      <c r="AZ58" s="64"/>
      <c r="BA58" s="62" t="s">
        <v>179</v>
      </c>
      <c r="BB58" s="58"/>
      <c r="BC58" s="63"/>
      <c r="BD58" s="62"/>
      <c r="BE58" s="65"/>
      <c r="BF58" s="64"/>
      <c r="BG58" s="58"/>
      <c r="BH58" s="62" t="s">
        <v>180</v>
      </c>
      <c r="BK58" s="115"/>
      <c r="BL58" s="115"/>
      <c r="BM58" s="115"/>
      <c r="BN58" s="115"/>
      <c r="BP58" s="115"/>
      <c r="BQ58" s="115"/>
      <c r="BR58" s="115"/>
      <c r="BS58" s="241"/>
      <c r="BT58" s="115"/>
      <c r="BU58" s="115"/>
      <c r="BV58" s="115"/>
      <c r="BW58" s="115"/>
      <c r="BX58" s="115"/>
      <c r="BY58" s="115"/>
      <c r="BZ58" s="115"/>
      <c r="CA58" s="115"/>
      <c r="CB58" s="115"/>
      <c r="CC58" s="115"/>
      <c r="CD58" s="115"/>
      <c r="CE58" s="115"/>
      <c r="CF58" s="115"/>
      <c r="CG58" s="115"/>
      <c r="CH58" s="115"/>
      <c r="CI58" s="115"/>
      <c r="CJ58" s="115"/>
      <c r="CK58" s="115"/>
      <c r="CL58" s="115"/>
      <c r="CM58" s="115"/>
      <c r="CN58" s="115"/>
      <c r="CO58" s="115"/>
      <c r="CP58" s="115"/>
      <c r="CQ58" s="115"/>
      <c r="CR58" s="115"/>
      <c r="CS58" s="115"/>
      <c r="CT58" s="115"/>
      <c r="CU58" s="115"/>
      <c r="CV58" s="115"/>
      <c r="CW58" s="115"/>
      <c r="CX58" s="115"/>
      <c r="CY58" s="115"/>
      <c r="CZ58" s="115"/>
      <c r="DA58" s="115"/>
      <c r="DB58" s="115"/>
      <c r="DC58" s="115"/>
      <c r="DD58" s="115"/>
      <c r="DE58" s="115"/>
      <c r="DF58" s="115"/>
      <c r="DG58" s="115"/>
      <c r="DH58" s="115"/>
      <c r="DI58" s="115"/>
      <c r="DJ58" s="115"/>
      <c r="DK58" s="115"/>
      <c r="DL58" s="115"/>
      <c r="DM58" s="115"/>
      <c r="DN58" s="115"/>
      <c r="DO58" s="115"/>
      <c r="DP58" s="115"/>
      <c r="DQ58" s="115"/>
      <c r="DR58" s="115"/>
      <c r="DS58" s="115"/>
      <c r="DT58" s="115"/>
      <c r="DU58" s="115"/>
      <c r="DV58" s="115"/>
      <c r="DW58" s="115"/>
      <c r="DX58" s="115"/>
      <c r="DY58" s="115"/>
      <c r="DZ58" s="115"/>
      <c r="EA58" s="115"/>
      <c r="EB58" s="115"/>
      <c r="EC58" s="115"/>
      <c r="ED58" s="115"/>
      <c r="EE58" s="115"/>
      <c r="EF58" s="115"/>
      <c r="EG58" s="115"/>
      <c r="EH58" s="115"/>
      <c r="EI58" s="115"/>
      <c r="EJ58" s="115"/>
      <c r="EK58" s="115"/>
      <c r="EL58" s="115"/>
      <c r="EM58" s="115"/>
      <c r="EN58" s="115"/>
      <c r="EO58" s="115"/>
      <c r="EP58" s="115"/>
      <c r="EQ58" s="115"/>
      <c r="ER58" s="115"/>
      <c r="ES58" s="115"/>
      <c r="ET58" s="115"/>
      <c r="EU58" s="115"/>
      <c r="EV58" s="115"/>
      <c r="EW58" s="115"/>
      <c r="EX58" s="115"/>
      <c r="EY58" s="115"/>
      <c r="EZ58" s="115"/>
      <c r="FA58" s="115"/>
      <c r="FB58" s="115"/>
      <c r="FC58" s="115"/>
      <c r="FD58" s="115"/>
      <c r="FE58" s="115"/>
      <c r="FF58" s="115"/>
      <c r="FG58" s="115"/>
      <c r="FH58" s="115"/>
      <c r="FI58" s="115"/>
      <c r="FJ58" s="115"/>
      <c r="FK58" s="115"/>
      <c r="FL58" s="115"/>
      <c r="FM58" s="115"/>
      <c r="FN58" s="115"/>
      <c r="FO58" s="115"/>
      <c r="FP58" s="115"/>
      <c r="FQ58" s="115"/>
      <c r="FR58" s="115"/>
      <c r="FS58" s="115"/>
      <c r="FT58" s="115"/>
      <c r="FU58" s="115"/>
      <c r="FV58" s="115"/>
      <c r="FW58" s="115"/>
      <c r="FX58" s="115"/>
      <c r="FY58" s="115"/>
      <c r="FZ58" s="115"/>
      <c r="GA58" s="115"/>
      <c r="GB58" s="115"/>
      <c r="GC58" s="115"/>
      <c r="GD58" s="115"/>
      <c r="GE58" s="115"/>
      <c r="GF58" s="115"/>
      <c r="GG58" s="115"/>
      <c r="GH58" s="115"/>
      <c r="GI58" s="115"/>
      <c r="GJ58" s="115"/>
      <c r="GK58" s="115"/>
      <c r="GL58" s="115"/>
      <c r="GM58" s="115"/>
    </row>
    <row r="59" spans="1:195" s="237" customFormat="1" ht="18" customHeight="1" x14ac:dyDescent="0.3">
      <c r="AG59" s="240"/>
      <c r="AI59" s="115"/>
      <c r="AK59" s="63"/>
      <c r="AL59" s="58"/>
      <c r="AM59" s="58"/>
      <c r="AN59" s="63"/>
      <c r="AO59" s="63"/>
      <c r="AP59" s="64"/>
      <c r="AQ59" s="64"/>
      <c r="AR59" s="65"/>
      <c r="AS59" s="63"/>
      <c r="AT59" s="63"/>
      <c r="AU59" s="63"/>
      <c r="AV59" s="58"/>
      <c r="AW59" s="63"/>
      <c r="AX59" s="58"/>
      <c r="AY59" s="63"/>
      <c r="AZ59" s="63"/>
      <c r="BA59" s="65" t="s">
        <v>181</v>
      </c>
      <c r="BB59" s="63"/>
      <c r="BC59" s="63"/>
      <c r="BD59" s="62"/>
      <c r="BE59" s="65"/>
      <c r="BF59" s="63"/>
      <c r="BG59" s="62"/>
      <c r="BH59" s="58"/>
      <c r="BK59" s="242"/>
      <c r="BL59" s="115"/>
      <c r="BM59" s="243"/>
      <c r="BN59" s="243"/>
      <c r="BO59" s="243"/>
      <c r="BP59" s="115"/>
      <c r="BQ59" s="115"/>
      <c r="BR59" s="115"/>
      <c r="BS59" s="115"/>
      <c r="BT59" s="115"/>
      <c r="BU59" s="115"/>
      <c r="BV59" s="115"/>
      <c r="BW59" s="115"/>
      <c r="BX59" s="115"/>
      <c r="BY59" s="115"/>
      <c r="BZ59" s="115"/>
      <c r="CA59" s="115"/>
      <c r="CB59" s="115"/>
      <c r="CC59" s="115"/>
      <c r="CD59" s="115"/>
      <c r="CE59" s="115"/>
      <c r="CF59" s="115"/>
      <c r="CG59" s="115"/>
      <c r="CH59" s="115"/>
      <c r="CI59" s="115"/>
      <c r="CJ59" s="115"/>
      <c r="CK59" s="115"/>
      <c r="CL59" s="115"/>
      <c r="CM59" s="115"/>
      <c r="CN59" s="115"/>
      <c r="CO59" s="115"/>
      <c r="CP59" s="115"/>
      <c r="CQ59" s="115"/>
      <c r="CR59" s="115"/>
      <c r="CS59" s="115"/>
      <c r="CT59" s="115"/>
      <c r="CU59" s="115"/>
      <c r="CV59" s="115"/>
      <c r="CW59" s="115"/>
      <c r="CX59" s="115"/>
      <c r="CY59" s="115"/>
      <c r="CZ59" s="115"/>
      <c r="DA59" s="115"/>
      <c r="DB59" s="115"/>
      <c r="DC59" s="115"/>
      <c r="DD59" s="115"/>
      <c r="DE59" s="115"/>
      <c r="DF59" s="115"/>
      <c r="DG59" s="115"/>
      <c r="DH59" s="115"/>
      <c r="DI59" s="115"/>
      <c r="DJ59" s="115"/>
      <c r="DK59" s="115"/>
      <c r="DL59" s="115"/>
      <c r="DM59" s="115"/>
      <c r="DN59" s="115"/>
      <c r="DO59" s="115"/>
      <c r="DP59" s="115"/>
      <c r="DQ59" s="115"/>
      <c r="DR59" s="115"/>
      <c r="DS59" s="115"/>
      <c r="DT59" s="115"/>
      <c r="DU59" s="115"/>
      <c r="DV59" s="115"/>
      <c r="DW59" s="115"/>
      <c r="DX59" s="115"/>
      <c r="DY59" s="115"/>
      <c r="DZ59" s="115"/>
      <c r="EA59" s="115"/>
      <c r="EB59" s="115"/>
      <c r="EC59" s="115"/>
      <c r="ED59" s="115"/>
      <c r="EE59" s="115"/>
      <c r="EF59" s="115"/>
      <c r="EG59" s="115"/>
      <c r="EH59" s="115"/>
      <c r="EI59" s="115"/>
      <c r="EJ59" s="115"/>
      <c r="EK59" s="115"/>
      <c r="EL59" s="115"/>
      <c r="EM59" s="115"/>
      <c r="EN59" s="115"/>
      <c r="EO59" s="115"/>
      <c r="EP59" s="115"/>
      <c r="EQ59" s="115"/>
      <c r="ER59" s="115"/>
      <c r="ES59" s="115"/>
      <c r="ET59" s="115"/>
      <c r="EU59" s="115"/>
      <c r="EV59" s="115"/>
      <c r="EW59" s="115"/>
      <c r="EX59" s="115"/>
      <c r="EY59" s="115"/>
      <c r="EZ59" s="115"/>
      <c r="FA59" s="115"/>
      <c r="FB59" s="115"/>
      <c r="FC59" s="115"/>
      <c r="FD59" s="115"/>
      <c r="FE59" s="115"/>
      <c r="FF59" s="115"/>
      <c r="FG59" s="115"/>
      <c r="FH59" s="115"/>
      <c r="FI59" s="115"/>
      <c r="FJ59" s="115"/>
      <c r="FK59" s="115"/>
      <c r="FL59" s="115"/>
      <c r="FM59" s="115"/>
      <c r="FN59" s="115"/>
      <c r="FO59" s="115"/>
      <c r="FP59" s="115"/>
      <c r="FQ59" s="115"/>
      <c r="FR59" s="115"/>
      <c r="FS59" s="115"/>
      <c r="FT59" s="115"/>
      <c r="FU59" s="115"/>
      <c r="FV59" s="115"/>
      <c r="FW59" s="115"/>
      <c r="FX59" s="115"/>
      <c r="FY59" s="115"/>
      <c r="FZ59" s="115"/>
      <c r="GA59" s="115"/>
      <c r="GB59" s="115"/>
      <c r="GC59" s="115"/>
      <c r="GD59" s="115"/>
      <c r="GE59" s="115"/>
      <c r="GF59" s="115"/>
      <c r="GG59" s="115"/>
      <c r="GH59" s="115"/>
      <c r="GI59" s="115"/>
      <c r="GJ59" s="115"/>
      <c r="GK59" s="115"/>
      <c r="GL59" s="115"/>
      <c r="GM59" s="115"/>
    </row>
    <row r="60" spans="1:195" s="237" customFormat="1" ht="18" customHeight="1" x14ac:dyDescent="0.3">
      <c r="Z60" s="244"/>
      <c r="AA60" s="245"/>
      <c r="AB60" s="244"/>
      <c r="AC60" s="246"/>
      <c r="AD60" s="246"/>
      <c r="AE60" s="246"/>
      <c r="AF60" s="246"/>
      <c r="AI60" s="115"/>
      <c r="AK60" s="76" t="s">
        <v>409</v>
      </c>
      <c r="AL60" s="58"/>
      <c r="AM60" s="58"/>
      <c r="AN60" s="62"/>
      <c r="AO60" s="58"/>
      <c r="AP60" s="76"/>
      <c r="AQ60" s="77"/>
      <c r="AR60" s="76"/>
      <c r="AS60" s="74"/>
      <c r="AT60" s="76"/>
      <c r="AU60" s="76"/>
      <c r="AV60" s="76"/>
      <c r="AW60" s="76"/>
      <c r="AX60" s="76"/>
      <c r="AY60" s="77"/>
      <c r="AZ60" s="76"/>
      <c r="BA60" s="76"/>
      <c r="BB60" s="76"/>
      <c r="BC60" s="76"/>
      <c r="BD60" s="59"/>
      <c r="BE60" s="59"/>
      <c r="BF60" s="59"/>
      <c r="BG60" s="75"/>
      <c r="BH60" s="58"/>
      <c r="BK60" s="247"/>
      <c r="BL60" s="247"/>
      <c r="BM60" s="115"/>
      <c r="BN60" s="115"/>
      <c r="BO60" s="115"/>
      <c r="BP60" s="115"/>
      <c r="BQ60" s="115"/>
      <c r="BR60" s="115"/>
      <c r="BS60" s="115"/>
      <c r="BT60" s="115"/>
      <c r="BU60" s="115"/>
      <c r="BV60" s="115"/>
      <c r="BW60" s="115"/>
      <c r="BX60" s="115"/>
      <c r="BY60" s="115"/>
      <c r="BZ60" s="115"/>
      <c r="CA60" s="115"/>
      <c r="CB60" s="115"/>
      <c r="CC60" s="115"/>
      <c r="CD60" s="115"/>
      <c r="CE60" s="115"/>
      <c r="CF60" s="115"/>
      <c r="CG60" s="115"/>
      <c r="CH60" s="115"/>
      <c r="CI60" s="115"/>
      <c r="CJ60" s="115"/>
      <c r="CK60" s="115"/>
      <c r="CL60" s="115"/>
      <c r="CM60" s="115"/>
      <c r="CN60" s="115"/>
      <c r="CO60" s="115"/>
      <c r="CP60" s="115"/>
      <c r="CQ60" s="115"/>
      <c r="CR60" s="115"/>
      <c r="CS60" s="115"/>
      <c r="CT60" s="115"/>
      <c r="CU60" s="115"/>
      <c r="CV60" s="115"/>
      <c r="CW60" s="115"/>
      <c r="CX60" s="115"/>
      <c r="CY60" s="115"/>
      <c r="CZ60" s="115"/>
      <c r="DA60" s="115"/>
      <c r="DB60" s="115"/>
      <c r="DC60" s="115"/>
      <c r="DD60" s="115"/>
      <c r="DE60" s="115"/>
      <c r="DF60" s="115"/>
      <c r="DG60" s="115"/>
      <c r="DH60" s="115"/>
      <c r="DI60" s="115"/>
      <c r="DJ60" s="115"/>
      <c r="DK60" s="115"/>
      <c r="DL60" s="115"/>
      <c r="DM60" s="115"/>
      <c r="DN60" s="115"/>
      <c r="DO60" s="115"/>
      <c r="DP60" s="115"/>
      <c r="DQ60" s="115"/>
      <c r="DR60" s="115"/>
      <c r="DS60" s="115"/>
      <c r="DT60" s="115"/>
      <c r="DU60" s="115"/>
      <c r="DV60" s="115"/>
      <c r="DW60" s="115"/>
      <c r="DX60" s="115"/>
      <c r="DY60" s="115"/>
      <c r="DZ60" s="115"/>
      <c r="EA60" s="115"/>
      <c r="EB60" s="115"/>
      <c r="EC60" s="115"/>
      <c r="ED60" s="115"/>
      <c r="EE60" s="115"/>
      <c r="EF60" s="115"/>
      <c r="EG60" s="115"/>
      <c r="EH60" s="115"/>
      <c r="EI60" s="115"/>
      <c r="EJ60" s="115"/>
      <c r="EK60" s="115"/>
      <c r="EL60" s="115"/>
      <c r="EM60" s="115"/>
      <c r="EN60" s="115"/>
      <c r="EO60" s="115"/>
      <c r="EP60" s="115"/>
      <c r="EQ60" s="115"/>
      <c r="ER60" s="115"/>
      <c r="ES60" s="115"/>
      <c r="ET60" s="115"/>
      <c r="EU60" s="115"/>
      <c r="EV60" s="115"/>
      <c r="EW60" s="115"/>
      <c r="EX60" s="115"/>
      <c r="EY60" s="115"/>
      <c r="EZ60" s="115"/>
      <c r="FA60" s="115"/>
      <c r="FB60" s="115"/>
      <c r="FC60" s="115"/>
      <c r="FD60" s="115"/>
      <c r="FE60" s="115"/>
      <c r="FF60" s="115"/>
      <c r="FG60" s="115"/>
      <c r="FH60" s="115"/>
      <c r="FI60" s="115"/>
      <c r="FJ60" s="115"/>
      <c r="FK60" s="115"/>
      <c r="FL60" s="115"/>
      <c r="FM60" s="115"/>
      <c r="FN60" s="115"/>
      <c r="FO60" s="115"/>
      <c r="FP60" s="115"/>
      <c r="FQ60" s="115"/>
      <c r="FR60" s="115"/>
      <c r="FS60" s="115"/>
      <c r="FT60" s="115"/>
      <c r="FU60" s="115"/>
      <c r="FV60" s="115"/>
      <c r="FW60" s="115"/>
      <c r="FX60" s="115"/>
      <c r="FY60" s="115"/>
      <c r="FZ60" s="115"/>
      <c r="GA60" s="115"/>
      <c r="GB60" s="115"/>
      <c r="GC60" s="115"/>
      <c r="GD60" s="115"/>
      <c r="GE60" s="115"/>
      <c r="GF60" s="115"/>
      <c r="GG60" s="115"/>
      <c r="GH60" s="115"/>
      <c r="GI60" s="115"/>
      <c r="GJ60" s="115"/>
      <c r="GK60" s="115"/>
      <c r="GL60" s="115"/>
      <c r="GM60" s="115"/>
    </row>
    <row r="61" spans="1:195" s="237" customFormat="1" ht="18" customHeight="1" x14ac:dyDescent="0.3">
      <c r="Z61" s="244"/>
      <c r="AA61" s="245"/>
      <c r="AB61" s="244"/>
      <c r="AC61" s="246"/>
      <c r="AD61" s="246"/>
      <c r="AE61" s="246"/>
      <c r="AF61" s="246"/>
      <c r="AI61" s="115"/>
      <c r="AK61" s="5" t="s">
        <v>410</v>
      </c>
      <c r="AL61" s="58"/>
      <c r="AM61" s="58"/>
      <c r="AN61" s="62"/>
      <c r="AO61" s="58"/>
      <c r="AP61" s="76"/>
      <c r="AQ61" s="77"/>
      <c r="AR61" s="76"/>
      <c r="AS61" s="74"/>
      <c r="AT61" s="76"/>
      <c r="AU61" s="76"/>
      <c r="AV61" s="76"/>
      <c r="AW61" s="76"/>
      <c r="AX61" s="76"/>
      <c r="AY61" s="77"/>
      <c r="AZ61" s="76"/>
      <c r="BA61" s="76"/>
      <c r="BB61" s="76"/>
      <c r="BC61" s="76"/>
      <c r="BD61" s="59"/>
      <c r="BE61" s="59"/>
      <c r="BF61" s="59"/>
      <c r="BG61" s="75"/>
      <c r="BH61" s="58"/>
      <c r="BK61" s="247"/>
      <c r="BL61" s="247"/>
      <c r="BM61" s="115"/>
      <c r="BN61" s="115"/>
      <c r="BO61" s="115"/>
      <c r="BP61" s="115"/>
      <c r="BQ61" s="115"/>
      <c r="BR61" s="115"/>
      <c r="BS61" s="115"/>
      <c r="BT61" s="115"/>
      <c r="BU61" s="115"/>
      <c r="BV61" s="115"/>
      <c r="BW61" s="115"/>
      <c r="BX61" s="115"/>
      <c r="BY61" s="115"/>
      <c r="BZ61" s="115"/>
      <c r="CA61" s="115"/>
      <c r="CB61" s="115"/>
      <c r="CC61" s="115"/>
      <c r="CD61" s="115"/>
      <c r="CE61" s="115"/>
      <c r="CF61" s="115"/>
      <c r="CG61" s="115"/>
      <c r="CH61" s="115"/>
      <c r="CI61" s="115"/>
      <c r="CJ61" s="115"/>
      <c r="CK61" s="115"/>
      <c r="CL61" s="115"/>
      <c r="CM61" s="115"/>
      <c r="CN61" s="115"/>
      <c r="CO61" s="115"/>
      <c r="CP61" s="115"/>
      <c r="CQ61" s="115"/>
      <c r="CR61" s="115"/>
      <c r="CS61" s="115"/>
      <c r="CT61" s="115"/>
      <c r="CU61" s="115"/>
      <c r="CV61" s="115"/>
      <c r="CW61" s="115"/>
      <c r="CX61" s="115"/>
      <c r="CY61" s="115"/>
      <c r="CZ61" s="115"/>
      <c r="DA61" s="115"/>
      <c r="DB61" s="115"/>
      <c r="DC61" s="115"/>
      <c r="DD61" s="115"/>
      <c r="DE61" s="115"/>
      <c r="DF61" s="115"/>
      <c r="DG61" s="115"/>
      <c r="DH61" s="115"/>
      <c r="DI61" s="115"/>
      <c r="DJ61" s="115"/>
      <c r="DK61" s="115"/>
      <c r="DL61" s="115"/>
      <c r="DM61" s="115"/>
      <c r="DN61" s="115"/>
      <c r="DO61" s="115"/>
      <c r="DP61" s="115"/>
      <c r="DQ61" s="115"/>
      <c r="DR61" s="115"/>
      <c r="DS61" s="115"/>
      <c r="DT61" s="115"/>
      <c r="DU61" s="115"/>
      <c r="DV61" s="115"/>
      <c r="DW61" s="115"/>
      <c r="DX61" s="115"/>
      <c r="DY61" s="115"/>
      <c r="DZ61" s="115"/>
      <c r="EA61" s="115"/>
      <c r="EB61" s="115"/>
      <c r="EC61" s="115"/>
      <c r="ED61" s="115"/>
      <c r="EE61" s="115"/>
      <c r="EF61" s="115"/>
      <c r="EG61" s="115"/>
      <c r="EH61" s="115"/>
      <c r="EI61" s="115"/>
      <c r="EJ61" s="115"/>
      <c r="EK61" s="115"/>
      <c r="EL61" s="115"/>
      <c r="EM61" s="115"/>
      <c r="EN61" s="115"/>
      <c r="EO61" s="115"/>
      <c r="EP61" s="115"/>
      <c r="EQ61" s="115"/>
      <c r="ER61" s="115"/>
      <c r="ES61" s="115"/>
      <c r="ET61" s="115"/>
      <c r="EU61" s="115"/>
      <c r="EV61" s="115"/>
      <c r="EW61" s="115"/>
      <c r="EX61" s="115"/>
      <c r="EY61" s="115"/>
      <c r="EZ61" s="115"/>
      <c r="FA61" s="115"/>
      <c r="FB61" s="115"/>
      <c r="FC61" s="115"/>
      <c r="FD61" s="115"/>
      <c r="FE61" s="115"/>
      <c r="FF61" s="115"/>
      <c r="FG61" s="115"/>
      <c r="FH61" s="115"/>
      <c r="FI61" s="115"/>
      <c r="FJ61" s="115"/>
      <c r="FK61" s="115"/>
      <c r="FL61" s="115"/>
      <c r="FM61" s="115"/>
      <c r="FN61" s="115"/>
      <c r="FO61" s="115"/>
      <c r="FP61" s="115"/>
      <c r="FQ61" s="115"/>
      <c r="FR61" s="115"/>
      <c r="FS61" s="115"/>
      <c r="FT61" s="115"/>
      <c r="FU61" s="115"/>
      <c r="FV61" s="115"/>
      <c r="FW61" s="115"/>
      <c r="FX61" s="115"/>
      <c r="FY61" s="115"/>
      <c r="FZ61" s="115"/>
      <c r="GA61" s="115"/>
      <c r="GB61" s="115"/>
      <c r="GC61" s="115"/>
      <c r="GD61" s="115"/>
      <c r="GE61" s="115"/>
      <c r="GF61" s="115"/>
      <c r="GG61" s="115"/>
      <c r="GH61" s="115"/>
      <c r="GI61" s="115"/>
      <c r="GJ61" s="115"/>
      <c r="GK61" s="115"/>
      <c r="GL61" s="115"/>
      <c r="GM61" s="115"/>
    </row>
  </sheetData>
  <mergeCells count="138">
    <mergeCell ref="A56:A57"/>
    <mergeCell ref="AK56:AK57"/>
    <mergeCell ref="A50:A51"/>
    <mergeCell ref="AK50:AK51"/>
    <mergeCell ref="A52:A53"/>
    <mergeCell ref="AK52:AK53"/>
    <mergeCell ref="A54:A55"/>
    <mergeCell ref="AK54:AK55"/>
    <mergeCell ref="A44:A45"/>
    <mergeCell ref="AK44:AK45"/>
    <mergeCell ref="A46:A47"/>
    <mergeCell ref="AK46:AK47"/>
    <mergeCell ref="A48:A49"/>
    <mergeCell ref="AK48:AK49"/>
    <mergeCell ref="A38:A39"/>
    <mergeCell ref="AK38:AK39"/>
    <mergeCell ref="A40:A41"/>
    <mergeCell ref="AK40:AK41"/>
    <mergeCell ref="A42:A43"/>
    <mergeCell ref="AK42:AK43"/>
    <mergeCell ref="A32:A33"/>
    <mergeCell ref="AK32:AK33"/>
    <mergeCell ref="A34:A35"/>
    <mergeCell ref="AK34:AK35"/>
    <mergeCell ref="A36:A37"/>
    <mergeCell ref="AK36:AK37"/>
    <mergeCell ref="A26:A27"/>
    <mergeCell ref="AK26:AK27"/>
    <mergeCell ref="A28:A29"/>
    <mergeCell ref="AK28:AK29"/>
    <mergeCell ref="A30:A31"/>
    <mergeCell ref="AK30:AK31"/>
    <mergeCell ref="A20:A21"/>
    <mergeCell ref="AK20:AK21"/>
    <mergeCell ref="A22:A23"/>
    <mergeCell ref="AK22:AK23"/>
    <mergeCell ref="A24:A25"/>
    <mergeCell ref="AK24:AK25"/>
    <mergeCell ref="A14:A15"/>
    <mergeCell ref="AK14:AK15"/>
    <mergeCell ref="A16:A17"/>
    <mergeCell ref="AK16:AK17"/>
    <mergeCell ref="A18:A19"/>
    <mergeCell ref="AK18:AK19"/>
    <mergeCell ref="A12:A13"/>
    <mergeCell ref="AK12:AK13"/>
    <mergeCell ref="BG7:BG11"/>
    <mergeCell ref="AQ7:AQ11"/>
    <mergeCell ref="AR7:AR11"/>
    <mergeCell ref="AS7:AS11"/>
    <mergeCell ref="AT7:AT11"/>
    <mergeCell ref="AU7:AU11"/>
    <mergeCell ref="AG7:AG11"/>
    <mergeCell ref="AH7:AH11"/>
    <mergeCell ref="AI7:AI11"/>
    <mergeCell ref="AJ7:AJ11"/>
    <mergeCell ref="AO7:AO11"/>
    <mergeCell ref="AP7:AP11"/>
    <mergeCell ref="S7:S11"/>
    <mergeCell ref="T7:T11"/>
    <mergeCell ref="Y7:Y11"/>
    <mergeCell ref="Z7:Z11"/>
    <mergeCell ref="F7:F11"/>
    <mergeCell ref="G7:G11"/>
    <mergeCell ref="H7:H11"/>
    <mergeCell ref="I7:I11"/>
    <mergeCell ref="J7:J11"/>
    <mergeCell ref="BA6:BC6"/>
    <mergeCell ref="BD6:BE6"/>
    <mergeCell ref="BF6:BG6"/>
    <mergeCell ref="BH6:BH11"/>
    <mergeCell ref="BC7:BC11"/>
    <mergeCell ref="BD7:BD11"/>
    <mergeCell ref="BE7:BE11"/>
    <mergeCell ref="BF7:BF11"/>
    <mergeCell ref="BA7:BA11"/>
    <mergeCell ref="BB7:BB11"/>
    <mergeCell ref="AS6:AU6"/>
    <mergeCell ref="AV6:AV11"/>
    <mergeCell ref="AW6:AW11"/>
    <mergeCell ref="AX6:AZ6"/>
    <mergeCell ref="AX7:AX11"/>
    <mergeCell ref="AY7:AY11"/>
    <mergeCell ref="AZ7:AZ11"/>
    <mergeCell ref="M7:M11"/>
    <mergeCell ref="N7:N11"/>
    <mergeCell ref="BI6:BK6"/>
    <mergeCell ref="BL6:BL11"/>
    <mergeCell ref="BM6:BM11"/>
    <mergeCell ref="BN6:BP6"/>
    <mergeCell ref="BQ6:BS6"/>
    <mergeCell ref="BI7:BI11"/>
    <mergeCell ref="BJ7:BJ11"/>
    <mergeCell ref="BK7:BK11"/>
    <mergeCell ref="BP7:BP11"/>
    <mergeCell ref="BQ7:BQ11"/>
    <mergeCell ref="BR7:BR11"/>
    <mergeCell ref="BS7:BS11"/>
    <mergeCell ref="BN7:BN11"/>
    <mergeCell ref="BO7:BO11"/>
    <mergeCell ref="Q7:Q11"/>
    <mergeCell ref="R7:R11"/>
    <mergeCell ref="AG2:AJ2"/>
    <mergeCell ref="AE2:AF2"/>
    <mergeCell ref="U7:U11"/>
    <mergeCell ref="V7:V11"/>
    <mergeCell ref="W7:W11"/>
    <mergeCell ref="X7:X11"/>
    <mergeCell ref="AC7:AC11"/>
    <mergeCell ref="AD7:AD11"/>
    <mergeCell ref="AE7:AE11"/>
    <mergeCell ref="AF7:AF11"/>
    <mergeCell ref="AA7:AA11"/>
    <mergeCell ref="AB7:AB11"/>
    <mergeCell ref="A6:D11"/>
    <mergeCell ref="E6:E11"/>
    <mergeCell ref="F6:K6"/>
    <mergeCell ref="L6:N6"/>
    <mergeCell ref="O6:Q6"/>
    <mergeCell ref="R6:T6"/>
    <mergeCell ref="K7:K11"/>
    <mergeCell ref="L7:L11"/>
    <mergeCell ref="BP1:BS1"/>
    <mergeCell ref="BP2:BS2"/>
    <mergeCell ref="BN1:BO1"/>
    <mergeCell ref="BN2:BO2"/>
    <mergeCell ref="A1:B1"/>
    <mergeCell ref="AK1:AL1"/>
    <mergeCell ref="AG1:AJ1"/>
    <mergeCell ref="AE1:AF1"/>
    <mergeCell ref="A2:B2"/>
    <mergeCell ref="AK2:AL2"/>
    <mergeCell ref="U6:AF6"/>
    <mergeCell ref="AG6:AJ6"/>
    <mergeCell ref="AK6:AN11"/>
    <mergeCell ref="AO6:AR6"/>
    <mergeCell ref="O7:O11"/>
    <mergeCell ref="P7:P11"/>
  </mergeCells>
  <phoneticPr fontId="5" type="noConversion"/>
  <printOptions horizontalCentered="1"/>
  <pageMargins left="0.35433070866141736" right="0.35433070866141736" top="0.98425196850393704" bottom="0.78740157480314965" header="0" footer="0"/>
  <pageSetup paperSize="8" scale="60" firstPageNumber="41"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M59"/>
  <sheetViews>
    <sheetView zoomScale="80" zoomScaleNormal="80" workbookViewId="0">
      <selection sqref="A1:B1"/>
    </sheetView>
  </sheetViews>
  <sheetFormatPr defaultColWidth="9.6640625" defaultRowHeight="15.6" x14ac:dyDescent="0.25"/>
  <cols>
    <col min="1" max="1" width="18" style="5" customWidth="1"/>
    <col min="2" max="2" width="3" style="5" customWidth="1"/>
    <col min="3" max="3" width="26" style="5" customWidth="1"/>
    <col min="4" max="4" width="3" style="5" customWidth="1"/>
    <col min="5" max="5" width="15.6640625" style="5" customWidth="1"/>
    <col min="6" max="11" width="14" style="5" customWidth="1"/>
    <col min="12" max="12" width="15.1640625" style="5" customWidth="1"/>
    <col min="13" max="36" width="14" style="5" customWidth="1"/>
    <col min="37" max="37" width="18" style="5" customWidth="1"/>
    <col min="38" max="38" width="3" style="5" customWidth="1"/>
    <col min="39" max="39" width="26" style="5" customWidth="1"/>
    <col min="40" max="40" width="3" style="5" customWidth="1"/>
    <col min="41" max="71" width="14" style="5" customWidth="1"/>
    <col min="72" max="16384" width="9.6640625" style="5"/>
  </cols>
  <sheetData>
    <row r="1" spans="1:73" s="37" customFormat="1" ht="16.5"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E1" s="207" t="s">
        <v>45</v>
      </c>
      <c r="AF1" s="207"/>
      <c r="AG1" s="142" t="s">
        <v>46</v>
      </c>
      <c r="AH1" s="142"/>
      <c r="AI1" s="142"/>
      <c r="AJ1" s="142"/>
      <c r="AK1" s="161" t="s">
        <v>44</v>
      </c>
      <c r="AL1" s="162"/>
      <c r="AM1" s="35"/>
      <c r="AN1" s="36"/>
      <c r="AO1" s="36"/>
      <c r="AP1" s="5"/>
      <c r="AQ1" s="5"/>
      <c r="AR1" s="5"/>
      <c r="AS1" s="5"/>
      <c r="AT1" s="5"/>
      <c r="AU1" s="5"/>
      <c r="AV1" s="5"/>
      <c r="AW1" s="5"/>
      <c r="AX1" s="5"/>
      <c r="AY1" s="5"/>
      <c r="AZ1" s="5"/>
      <c r="BA1" s="5"/>
      <c r="BB1" s="5"/>
      <c r="BC1" s="5"/>
      <c r="BD1" s="5"/>
      <c r="BE1" s="5"/>
      <c r="BF1" s="5"/>
      <c r="BG1" s="5"/>
      <c r="BH1" s="5"/>
      <c r="BI1" s="5"/>
      <c r="BJ1" s="5"/>
      <c r="BK1" s="5"/>
      <c r="BL1" s="38"/>
      <c r="BN1" s="207" t="s">
        <v>45</v>
      </c>
      <c r="BO1" s="207"/>
      <c r="BP1" s="142" t="s">
        <v>46</v>
      </c>
      <c r="BQ1" s="142"/>
      <c r="BR1" s="142"/>
      <c r="BS1" s="142"/>
      <c r="BT1" s="38"/>
      <c r="BU1" s="38"/>
    </row>
    <row r="2" spans="1:73" s="37" customFormat="1" ht="17.25" customHeight="1" x14ac:dyDescent="0.3">
      <c r="A2" s="163" t="s">
        <v>391</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208" t="s">
        <v>392</v>
      </c>
      <c r="AF2" s="208"/>
      <c r="AG2" s="208" t="s">
        <v>10</v>
      </c>
      <c r="AH2" s="208"/>
      <c r="AI2" s="208"/>
      <c r="AJ2" s="208"/>
      <c r="AK2" s="163" t="s">
        <v>391</v>
      </c>
      <c r="AL2" s="164"/>
      <c r="AM2" s="39" t="s">
        <v>47</v>
      </c>
      <c r="AN2" s="40"/>
      <c r="AO2" s="40"/>
      <c r="AP2" s="33"/>
      <c r="AQ2" s="33"/>
      <c r="AR2" s="33"/>
      <c r="AS2" s="33"/>
      <c r="AT2" s="33"/>
      <c r="AU2" s="33"/>
      <c r="AV2" s="33"/>
      <c r="AW2" s="33"/>
      <c r="AX2" s="33"/>
      <c r="AY2" s="33"/>
      <c r="AZ2" s="33"/>
      <c r="BA2" s="33"/>
      <c r="BB2" s="33"/>
      <c r="BC2" s="33"/>
      <c r="BD2" s="33"/>
      <c r="BE2" s="33"/>
      <c r="BF2" s="33"/>
      <c r="BG2" s="33"/>
      <c r="BH2" s="33"/>
      <c r="BI2" s="33"/>
      <c r="BJ2" s="33"/>
      <c r="BK2" s="33"/>
      <c r="BL2" s="42"/>
      <c r="BM2" s="41"/>
      <c r="BN2" s="208" t="s">
        <v>392</v>
      </c>
      <c r="BO2" s="208"/>
      <c r="BP2" s="208" t="s">
        <v>10</v>
      </c>
      <c r="BQ2" s="208"/>
      <c r="BR2" s="208"/>
      <c r="BS2" s="208"/>
      <c r="BT2" s="43"/>
      <c r="BU2" s="43"/>
    </row>
    <row r="3" spans="1:73" s="37" customFormat="1" ht="6" customHeight="1" x14ac:dyDescent="0.25">
      <c r="A3" s="209"/>
      <c r="B3" s="36"/>
      <c r="C3" s="36"/>
      <c r="D3" s="36"/>
      <c r="E3" s="36"/>
      <c r="F3" s="36"/>
      <c r="G3" s="36"/>
      <c r="H3" s="36"/>
      <c r="I3" s="36"/>
      <c r="J3" s="36"/>
      <c r="K3" s="36"/>
      <c r="L3" s="36"/>
      <c r="M3" s="36"/>
      <c r="N3" s="36"/>
      <c r="O3" s="36"/>
      <c r="P3" s="36"/>
      <c r="Q3" s="36"/>
      <c r="R3" s="36"/>
      <c r="S3" s="36"/>
      <c r="T3" s="36"/>
      <c r="U3" s="5"/>
      <c r="V3" s="5"/>
      <c r="W3" s="5"/>
      <c r="X3" s="5"/>
      <c r="Y3" s="5"/>
      <c r="Z3" s="5"/>
      <c r="AA3" s="5"/>
      <c r="AB3" s="5"/>
      <c r="AC3" s="5"/>
      <c r="AD3" s="5"/>
      <c r="AE3" s="5"/>
      <c r="AF3" s="5"/>
      <c r="AG3" s="5"/>
      <c r="AH3" s="5"/>
      <c r="AI3" s="5"/>
      <c r="AJ3" s="5"/>
      <c r="AK3" s="209"/>
      <c r="AL3" s="36"/>
      <c r="AM3" s="36"/>
      <c r="AN3" s="36"/>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210"/>
      <c r="BU3" s="211"/>
    </row>
    <row r="4" spans="1:73" s="37" customFormat="1" ht="25.5" customHeight="1" x14ac:dyDescent="0.25">
      <c r="B4" s="248"/>
      <c r="C4" s="248"/>
      <c r="D4" s="248"/>
      <c r="E4" s="248"/>
      <c r="F4" s="248"/>
      <c r="G4" s="248"/>
      <c r="H4" s="248"/>
      <c r="I4" s="248"/>
      <c r="K4" s="248"/>
      <c r="M4" s="248"/>
      <c r="O4" s="248"/>
      <c r="P4" s="214" t="s">
        <v>413</v>
      </c>
      <c r="Q4" s="213"/>
      <c r="R4" s="213"/>
      <c r="S4" s="213"/>
      <c r="T4" s="213"/>
      <c r="U4" s="215"/>
      <c r="V4" s="105"/>
      <c r="W4" s="105"/>
      <c r="X4" s="105"/>
      <c r="Y4" s="105"/>
      <c r="Z4" s="105"/>
      <c r="AA4" s="249"/>
      <c r="AB4" s="249"/>
      <c r="AC4" s="249"/>
      <c r="AD4" s="249"/>
      <c r="AE4" s="249"/>
      <c r="AF4" s="249"/>
      <c r="AG4" s="249"/>
      <c r="AH4" s="249"/>
      <c r="AI4" s="249"/>
      <c r="AJ4" s="249"/>
      <c r="AL4" s="248"/>
      <c r="AM4" s="248"/>
      <c r="AN4" s="248"/>
      <c r="AO4" s="105"/>
      <c r="AP4" s="105"/>
      <c r="AQ4" s="105"/>
      <c r="AR4" s="105"/>
      <c r="AS4" s="105"/>
      <c r="AT4" s="249"/>
      <c r="AU4" s="124"/>
      <c r="AV4" s="124"/>
      <c r="AY4" s="214" t="s">
        <v>414</v>
      </c>
      <c r="AZ4" s="217"/>
      <c r="BA4" s="217"/>
      <c r="BB4" s="217"/>
      <c r="BC4" s="215"/>
      <c r="BD4" s="215"/>
      <c r="BE4" s="215"/>
      <c r="BF4" s="105"/>
      <c r="BG4" s="105"/>
      <c r="BH4" s="105"/>
      <c r="BI4" s="249"/>
      <c r="BJ4" s="124"/>
      <c r="BK4" s="124"/>
      <c r="BL4" s="124"/>
      <c r="BM4" s="124"/>
      <c r="BN4" s="124"/>
      <c r="BO4" s="124"/>
      <c r="BP4" s="124"/>
      <c r="BQ4" s="124"/>
      <c r="BR4" s="124"/>
      <c r="BS4" s="124"/>
      <c r="BT4" s="38"/>
      <c r="BU4" s="38"/>
    </row>
    <row r="5" spans="1:73" s="37" customFormat="1" ht="19.95" customHeight="1" x14ac:dyDescent="0.25">
      <c r="A5" s="40"/>
      <c r="B5" s="41"/>
      <c r="C5" s="41"/>
      <c r="D5" s="67"/>
      <c r="E5" s="67"/>
      <c r="F5" s="67"/>
      <c r="G5" s="67"/>
      <c r="H5" s="67"/>
      <c r="I5" s="67"/>
      <c r="J5" s="67"/>
      <c r="K5" s="67"/>
      <c r="L5" s="67"/>
      <c r="M5" s="67"/>
      <c r="N5" s="67"/>
      <c r="O5" s="41"/>
      <c r="P5" s="67"/>
      <c r="R5" s="44" t="s">
        <v>415</v>
      </c>
      <c r="S5" s="67"/>
      <c r="T5" s="33"/>
      <c r="V5" s="33"/>
      <c r="W5" s="33"/>
      <c r="X5" s="68"/>
      <c r="Y5" s="5"/>
      <c r="Z5" s="33"/>
      <c r="AA5" s="33"/>
      <c r="AB5" s="33"/>
      <c r="AC5" s="33"/>
      <c r="AD5" s="33"/>
      <c r="AE5" s="33"/>
      <c r="AF5" s="33"/>
      <c r="AH5" s="33"/>
      <c r="AI5" s="33"/>
      <c r="AJ5" s="45" t="s">
        <v>48</v>
      </c>
      <c r="AK5" s="40"/>
      <c r="AL5" s="41"/>
      <c r="AM5" s="41"/>
      <c r="AN5" s="67"/>
      <c r="AO5" s="45"/>
      <c r="AP5" s="33"/>
      <c r="AQ5" s="33"/>
      <c r="AR5" s="33"/>
      <c r="AS5" s="33"/>
      <c r="AT5" s="33"/>
      <c r="AU5" s="33"/>
      <c r="AV5" s="33"/>
      <c r="AW5" s="33"/>
      <c r="AX5" s="33"/>
      <c r="AY5" s="33"/>
      <c r="AZ5" s="33"/>
      <c r="BA5" s="44" t="s">
        <v>415</v>
      </c>
      <c r="BB5" s="45"/>
      <c r="BC5" s="45"/>
      <c r="BD5" s="45"/>
      <c r="BE5" s="45"/>
      <c r="BF5" s="5"/>
      <c r="BG5" s="33"/>
      <c r="BH5" s="33"/>
      <c r="BI5" s="33"/>
      <c r="BJ5" s="33"/>
      <c r="BK5" s="33"/>
      <c r="BL5" s="33"/>
      <c r="BM5" s="5"/>
      <c r="BN5" s="5"/>
      <c r="BO5" s="5"/>
      <c r="BP5" s="5"/>
      <c r="BQ5" s="5"/>
      <c r="BS5" s="45" t="s">
        <v>48</v>
      </c>
    </row>
    <row r="6" spans="1:73" ht="21.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38" t="s">
        <v>147</v>
      </c>
      <c r="V6" s="138"/>
      <c r="W6" s="138"/>
      <c r="X6" s="138"/>
      <c r="Y6" s="138"/>
      <c r="Z6" s="138"/>
      <c r="AA6" s="138"/>
      <c r="AB6" s="138"/>
      <c r="AC6" s="138"/>
      <c r="AD6" s="138"/>
      <c r="AE6" s="138"/>
      <c r="AF6" s="138"/>
      <c r="AG6" s="145" t="s">
        <v>148</v>
      </c>
      <c r="AH6" s="146"/>
      <c r="AI6" s="146"/>
      <c r="AJ6" s="146"/>
      <c r="AK6" s="222" t="s">
        <v>144</v>
      </c>
      <c r="AL6" s="222"/>
      <c r="AM6" s="222"/>
      <c r="AN6" s="223"/>
      <c r="AO6" s="145" t="s">
        <v>148</v>
      </c>
      <c r="AP6" s="146"/>
      <c r="AQ6" s="146"/>
      <c r="AR6" s="147"/>
      <c r="AS6" s="141" t="s">
        <v>149</v>
      </c>
      <c r="AT6" s="141"/>
      <c r="AU6" s="141"/>
      <c r="AV6" s="140" t="s">
        <v>395</v>
      </c>
      <c r="AW6" s="140" t="s">
        <v>150</v>
      </c>
      <c r="AX6" s="141" t="s">
        <v>58</v>
      </c>
      <c r="AY6" s="141"/>
      <c r="AZ6" s="141"/>
      <c r="BA6" s="142" t="s">
        <v>59</v>
      </c>
      <c r="BB6" s="142"/>
      <c r="BC6" s="143"/>
      <c r="BD6" s="144" t="s">
        <v>60</v>
      </c>
      <c r="BE6" s="144"/>
      <c r="BF6" s="144" t="s">
        <v>151</v>
      </c>
      <c r="BG6" s="144"/>
      <c r="BH6" s="140" t="s">
        <v>198</v>
      </c>
      <c r="BI6" s="144" t="s">
        <v>63</v>
      </c>
      <c r="BJ6" s="144"/>
      <c r="BK6" s="144"/>
      <c r="BL6" s="140" t="s">
        <v>152</v>
      </c>
      <c r="BM6" s="140" t="s">
        <v>153</v>
      </c>
      <c r="BN6" s="141" t="s">
        <v>97</v>
      </c>
      <c r="BO6" s="149"/>
      <c r="BP6" s="149"/>
      <c r="BQ6" s="149" t="s">
        <v>65</v>
      </c>
      <c r="BR6" s="143"/>
      <c r="BS6" s="151"/>
    </row>
    <row r="7" spans="1:73" ht="24.9" customHeight="1" x14ac:dyDescent="0.25">
      <c r="A7" s="125"/>
      <c r="B7" s="125"/>
      <c r="C7" s="125"/>
      <c r="D7" s="125"/>
      <c r="E7" s="136"/>
      <c r="F7" s="139" t="s">
        <v>154</v>
      </c>
      <c r="G7" s="139" t="s">
        <v>155</v>
      </c>
      <c r="H7" s="139" t="s">
        <v>230</v>
      </c>
      <c r="I7" s="139" t="s">
        <v>199</v>
      </c>
      <c r="J7" s="139" t="s">
        <v>66</v>
      </c>
      <c r="K7" s="139" t="s">
        <v>200</v>
      </c>
      <c r="L7" s="139" t="s">
        <v>156</v>
      </c>
      <c r="M7" s="139" t="s">
        <v>396</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9" t="s">
        <v>99</v>
      </c>
      <c r="AC7" s="139" t="s">
        <v>114</v>
      </c>
      <c r="AD7" s="139" t="s">
        <v>162</v>
      </c>
      <c r="AE7" s="139" t="s">
        <v>137</v>
      </c>
      <c r="AF7" s="139" t="s">
        <v>100</v>
      </c>
      <c r="AG7" s="139" t="s">
        <v>122</v>
      </c>
      <c r="AH7" s="139" t="s">
        <v>163</v>
      </c>
      <c r="AI7" s="139" t="s">
        <v>164</v>
      </c>
      <c r="AJ7" s="139" t="s">
        <v>165</v>
      </c>
      <c r="AK7" s="224"/>
      <c r="AL7" s="125"/>
      <c r="AM7" s="125"/>
      <c r="AN7" s="225"/>
      <c r="AO7" s="139" t="s">
        <v>166</v>
      </c>
      <c r="AP7" s="139" t="s">
        <v>167</v>
      </c>
      <c r="AQ7" s="139" t="s">
        <v>168</v>
      </c>
      <c r="AR7" s="154" t="s">
        <v>232</v>
      </c>
      <c r="AS7" s="155" t="s">
        <v>169</v>
      </c>
      <c r="AT7" s="157" t="s">
        <v>397</v>
      </c>
      <c r="AU7" s="226" t="s">
        <v>398</v>
      </c>
      <c r="AV7" s="140"/>
      <c r="AW7" s="140"/>
      <c r="AX7" s="140" t="s">
        <v>170</v>
      </c>
      <c r="AY7" s="140" t="s">
        <v>171</v>
      </c>
      <c r="AZ7" s="140" t="s">
        <v>399</v>
      </c>
      <c r="BA7" s="140" t="s">
        <v>105</v>
      </c>
      <c r="BB7" s="140" t="s">
        <v>172</v>
      </c>
      <c r="BC7" s="140" t="s">
        <v>234</v>
      </c>
      <c r="BD7" s="140" t="s">
        <v>400</v>
      </c>
      <c r="BE7" s="140" t="s">
        <v>173</v>
      </c>
      <c r="BF7" s="140" t="s">
        <v>110</v>
      </c>
      <c r="BG7" s="140" t="s">
        <v>236</v>
      </c>
      <c r="BH7" s="140"/>
      <c r="BI7" s="140" t="s">
        <v>237</v>
      </c>
      <c r="BJ7" s="140" t="s">
        <v>174</v>
      </c>
      <c r="BK7" s="140" t="s">
        <v>238</v>
      </c>
      <c r="BL7" s="140"/>
      <c r="BM7" s="140"/>
      <c r="BN7" s="140" t="s">
        <v>239</v>
      </c>
      <c r="BO7" s="140" t="s">
        <v>240</v>
      </c>
      <c r="BP7" s="140" t="s">
        <v>401</v>
      </c>
      <c r="BQ7" s="140" t="s">
        <v>112</v>
      </c>
      <c r="BR7" s="140" t="s">
        <v>175</v>
      </c>
      <c r="BS7" s="150" t="s">
        <v>241</v>
      </c>
    </row>
    <row r="8" spans="1:73" ht="24.9"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224"/>
      <c r="AL8" s="125"/>
      <c r="AM8" s="125"/>
      <c r="AN8" s="225"/>
      <c r="AO8" s="139"/>
      <c r="AP8" s="139"/>
      <c r="AQ8" s="139"/>
      <c r="AR8" s="154"/>
      <c r="AS8" s="156"/>
      <c r="AT8" s="227"/>
      <c r="AU8" s="228"/>
      <c r="AV8" s="140"/>
      <c r="AW8" s="140"/>
      <c r="AX8" s="140"/>
      <c r="AY8" s="140"/>
      <c r="AZ8" s="140"/>
      <c r="BA8" s="152"/>
      <c r="BB8" s="140"/>
      <c r="BC8" s="140"/>
      <c r="BD8" s="143"/>
      <c r="BE8" s="143"/>
      <c r="BF8" s="152"/>
      <c r="BG8" s="140"/>
      <c r="BH8" s="140"/>
      <c r="BI8" s="153"/>
      <c r="BJ8" s="153"/>
      <c r="BK8" s="152"/>
      <c r="BL8" s="140"/>
      <c r="BM8" s="140"/>
      <c r="BN8" s="140"/>
      <c r="BO8" s="140"/>
      <c r="BP8" s="152"/>
      <c r="BQ8" s="152"/>
      <c r="BR8" s="140"/>
      <c r="BS8" s="150"/>
    </row>
    <row r="9" spans="1:73" ht="24.9"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224"/>
      <c r="AL9" s="125"/>
      <c r="AM9" s="125"/>
      <c r="AN9" s="225"/>
      <c r="AO9" s="139"/>
      <c r="AP9" s="139"/>
      <c r="AQ9" s="139"/>
      <c r="AR9" s="154"/>
      <c r="AS9" s="156"/>
      <c r="AT9" s="227"/>
      <c r="AU9" s="228"/>
      <c r="AV9" s="140"/>
      <c r="AW9" s="140"/>
      <c r="AX9" s="140"/>
      <c r="AY9" s="140"/>
      <c r="AZ9" s="140"/>
      <c r="BA9" s="152"/>
      <c r="BB9" s="140"/>
      <c r="BC9" s="140"/>
      <c r="BD9" s="143"/>
      <c r="BE9" s="143"/>
      <c r="BF9" s="152"/>
      <c r="BG9" s="140"/>
      <c r="BH9" s="140"/>
      <c r="BI9" s="153"/>
      <c r="BJ9" s="153"/>
      <c r="BK9" s="152"/>
      <c r="BL9" s="140"/>
      <c r="BM9" s="140"/>
      <c r="BN9" s="140"/>
      <c r="BO9" s="140"/>
      <c r="BP9" s="152"/>
      <c r="BQ9" s="152"/>
      <c r="BR9" s="140"/>
      <c r="BS9" s="150"/>
    </row>
    <row r="10" spans="1:73" ht="24.9"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224"/>
      <c r="AL10" s="125"/>
      <c r="AM10" s="125"/>
      <c r="AN10" s="225"/>
      <c r="AO10" s="139"/>
      <c r="AP10" s="139"/>
      <c r="AQ10" s="139"/>
      <c r="AR10" s="154"/>
      <c r="AS10" s="156"/>
      <c r="AT10" s="227"/>
      <c r="AU10" s="228"/>
      <c r="AV10" s="140"/>
      <c r="AW10" s="140"/>
      <c r="AX10" s="140"/>
      <c r="AY10" s="140"/>
      <c r="AZ10" s="140"/>
      <c r="BA10" s="152"/>
      <c r="BB10" s="140"/>
      <c r="BC10" s="140"/>
      <c r="BD10" s="143"/>
      <c r="BE10" s="143"/>
      <c r="BF10" s="152"/>
      <c r="BG10" s="140"/>
      <c r="BH10" s="140"/>
      <c r="BI10" s="153"/>
      <c r="BJ10" s="153"/>
      <c r="BK10" s="152"/>
      <c r="BL10" s="140"/>
      <c r="BM10" s="140"/>
      <c r="BN10" s="140"/>
      <c r="BO10" s="140"/>
      <c r="BP10" s="152"/>
      <c r="BQ10" s="152"/>
      <c r="BR10" s="140"/>
      <c r="BS10" s="150"/>
    </row>
    <row r="11" spans="1:73" ht="24.9"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229"/>
      <c r="AL11" s="134"/>
      <c r="AM11" s="134"/>
      <c r="AN11" s="230"/>
      <c r="AO11" s="139"/>
      <c r="AP11" s="139"/>
      <c r="AQ11" s="139"/>
      <c r="AR11" s="154"/>
      <c r="AS11" s="156"/>
      <c r="AT11" s="227"/>
      <c r="AU11" s="228"/>
      <c r="AV11" s="140"/>
      <c r="AW11" s="140"/>
      <c r="AX11" s="140"/>
      <c r="AY11" s="140"/>
      <c r="AZ11" s="140"/>
      <c r="BA11" s="152"/>
      <c r="BB11" s="140"/>
      <c r="BC11" s="140"/>
      <c r="BD11" s="143"/>
      <c r="BE11" s="143"/>
      <c r="BF11" s="152"/>
      <c r="BG11" s="140"/>
      <c r="BH11" s="140"/>
      <c r="BI11" s="153"/>
      <c r="BJ11" s="153"/>
      <c r="BK11" s="152"/>
      <c r="BL11" s="140"/>
      <c r="BM11" s="140"/>
      <c r="BN11" s="140"/>
      <c r="BO11" s="140"/>
      <c r="BP11" s="152"/>
      <c r="BQ11" s="152"/>
      <c r="BR11" s="140"/>
      <c r="BS11" s="150"/>
    </row>
    <row r="12" spans="1:73" ht="18.600000000000001" customHeight="1" x14ac:dyDescent="0.25">
      <c r="A12" s="231" t="s">
        <v>402</v>
      </c>
      <c r="B12" s="107"/>
      <c r="C12" s="232" t="s">
        <v>403</v>
      </c>
      <c r="D12" s="52"/>
      <c r="E12" s="118">
        <f t="shared" ref="E12:E57" si="0">SUM(F12:BS12)</f>
        <v>523962</v>
      </c>
      <c r="F12" s="118">
        <f>F14+F16+F18+F20+F22+F24+F26+F28+F30+F32+F34+F36+F38+F40+F42+F44+F46+F48+F50+F52+F54+F56</f>
        <v>2238</v>
      </c>
      <c r="G12" s="28">
        <f t="shared" ref="G12:AJ13" si="1">G14+G16+G18+G20+G22+G24+G26+G28+G30+G32+G34+G36+G38+G40+G42+G44+G46+G48+G50+G52+G54+G56</f>
        <v>1623</v>
      </c>
      <c r="H12" s="28">
        <f t="shared" si="1"/>
        <v>1288</v>
      </c>
      <c r="I12" s="28">
        <f t="shared" si="1"/>
        <v>75</v>
      </c>
      <c r="J12" s="28">
        <f t="shared" si="1"/>
        <v>439</v>
      </c>
      <c r="K12" s="28">
        <f t="shared" si="1"/>
        <v>1320</v>
      </c>
      <c r="L12" s="118">
        <f t="shared" si="1"/>
        <v>128624</v>
      </c>
      <c r="M12" s="118">
        <f t="shared" si="1"/>
        <v>61124</v>
      </c>
      <c r="N12" s="28">
        <f t="shared" si="1"/>
        <v>1513</v>
      </c>
      <c r="O12" s="118">
        <f t="shared" si="1"/>
        <v>2449</v>
      </c>
      <c r="P12" s="118">
        <f t="shared" si="1"/>
        <v>1427</v>
      </c>
      <c r="Q12" s="28">
        <f t="shared" si="1"/>
        <v>1</v>
      </c>
      <c r="R12" s="118">
        <f t="shared" si="1"/>
        <v>5014</v>
      </c>
      <c r="S12" s="28">
        <f t="shared" si="1"/>
        <v>5451</v>
      </c>
      <c r="T12" s="118">
        <f t="shared" si="1"/>
        <v>671</v>
      </c>
      <c r="U12" s="28">
        <f t="shared" si="1"/>
        <v>4639</v>
      </c>
      <c r="V12" s="118">
        <f t="shared" si="1"/>
        <v>8549</v>
      </c>
      <c r="W12" s="28">
        <f t="shared" si="1"/>
        <v>286</v>
      </c>
      <c r="X12" s="28">
        <f t="shared" si="1"/>
        <v>391</v>
      </c>
      <c r="Y12" s="118">
        <f t="shared" si="1"/>
        <v>1592</v>
      </c>
      <c r="Z12" s="118">
        <f t="shared" si="1"/>
        <v>14161</v>
      </c>
      <c r="AA12" s="118">
        <f t="shared" si="1"/>
        <v>4305</v>
      </c>
      <c r="AB12" s="28">
        <f t="shared" si="1"/>
        <v>2069</v>
      </c>
      <c r="AC12" s="28">
        <f t="shared" si="1"/>
        <v>4882</v>
      </c>
      <c r="AD12" s="118">
        <f t="shared" si="1"/>
        <v>36287</v>
      </c>
      <c r="AE12" s="118">
        <f t="shared" si="1"/>
        <v>13432</v>
      </c>
      <c r="AF12" s="28">
        <f t="shared" si="1"/>
        <v>0</v>
      </c>
      <c r="AG12" s="118">
        <f t="shared" si="1"/>
        <v>21924</v>
      </c>
      <c r="AH12" s="28">
        <f t="shared" si="1"/>
        <v>967</v>
      </c>
      <c r="AI12" s="28">
        <f t="shared" si="1"/>
        <v>64</v>
      </c>
      <c r="AJ12" s="118">
        <f t="shared" si="1"/>
        <v>3564</v>
      </c>
      <c r="AK12" s="231" t="s">
        <v>402</v>
      </c>
      <c r="AL12" s="107"/>
      <c r="AM12" s="232" t="s">
        <v>403</v>
      </c>
      <c r="AN12" s="52"/>
      <c r="AO12" s="28">
        <f t="shared" ref="AO12:BS13" si="2">AO14+AO16+AO18+AO20+AO22+AO24+AO26+AO28+AO30+AO32+AO34+AO36+AO38+AO40+AO42+AO44+AO46+AO48+AO50+AO52+AO54+AO56</f>
        <v>594</v>
      </c>
      <c r="AP12" s="28">
        <f t="shared" si="2"/>
        <v>0</v>
      </c>
      <c r="AQ12" s="118">
        <f t="shared" si="2"/>
        <v>3513</v>
      </c>
      <c r="AR12" s="118">
        <f t="shared" si="2"/>
        <v>1946</v>
      </c>
      <c r="AS12" s="28">
        <f t="shared" si="2"/>
        <v>288</v>
      </c>
      <c r="AT12" s="28">
        <f t="shared" si="2"/>
        <v>35</v>
      </c>
      <c r="AU12" s="28">
        <f t="shared" si="2"/>
        <v>1223</v>
      </c>
      <c r="AV12" s="118">
        <f t="shared" si="2"/>
        <v>3383</v>
      </c>
      <c r="AW12" s="118">
        <f t="shared" si="2"/>
        <v>2103</v>
      </c>
      <c r="AX12" s="28">
        <f t="shared" si="2"/>
        <v>1841</v>
      </c>
      <c r="AY12" s="118">
        <f t="shared" si="2"/>
        <v>28569</v>
      </c>
      <c r="AZ12" s="118">
        <f t="shared" si="2"/>
        <v>8365</v>
      </c>
      <c r="BA12" s="28">
        <f t="shared" si="2"/>
        <v>554</v>
      </c>
      <c r="BB12" s="28">
        <f t="shared" si="2"/>
        <v>4115</v>
      </c>
      <c r="BC12" s="28">
        <f t="shared" si="2"/>
        <v>965</v>
      </c>
      <c r="BD12" s="28">
        <f t="shared" si="2"/>
        <v>1525</v>
      </c>
      <c r="BE12" s="28">
        <f t="shared" si="2"/>
        <v>1591</v>
      </c>
      <c r="BF12" s="118">
        <f t="shared" si="2"/>
        <v>848</v>
      </c>
      <c r="BG12" s="28">
        <f t="shared" si="2"/>
        <v>538</v>
      </c>
      <c r="BH12" s="28">
        <f t="shared" si="2"/>
        <v>291</v>
      </c>
      <c r="BI12" s="118">
        <f t="shared" si="2"/>
        <v>4292</v>
      </c>
      <c r="BJ12" s="118">
        <f t="shared" si="2"/>
        <v>5131</v>
      </c>
      <c r="BK12" s="28">
        <f t="shared" si="2"/>
        <v>7683</v>
      </c>
      <c r="BL12" s="28">
        <f t="shared" si="2"/>
        <v>3130</v>
      </c>
      <c r="BM12" s="28">
        <f t="shared" si="2"/>
        <v>1521</v>
      </c>
      <c r="BN12" s="118">
        <f>BN14+BN16+BN18+BN20+BN22+BN24+BN26+BN28+BN30+BN32+BN34+BN36+BN38+BN40+BN42+BN44+BN46+BN48+BN50+BN52+BN54+BN56</f>
        <v>81483</v>
      </c>
      <c r="BO12" s="118">
        <f t="shared" si="2"/>
        <v>8837</v>
      </c>
      <c r="BP12" s="28">
        <f t="shared" si="2"/>
        <v>13509</v>
      </c>
      <c r="BQ12" s="28">
        <f t="shared" si="2"/>
        <v>39</v>
      </c>
      <c r="BR12" s="28">
        <f t="shared" si="2"/>
        <v>51</v>
      </c>
      <c r="BS12" s="118">
        <f t="shared" si="2"/>
        <v>5630</v>
      </c>
    </row>
    <row r="13" spans="1:73" ht="18.600000000000001" customHeight="1" x14ac:dyDescent="0.25">
      <c r="A13" s="231"/>
      <c r="B13" s="3"/>
      <c r="C13" s="234" t="s">
        <v>404</v>
      </c>
      <c r="D13" s="48"/>
      <c r="E13" s="118">
        <f t="shared" si="0"/>
        <v>1804</v>
      </c>
      <c r="F13" s="119">
        <f>F15+F17+F19+F21+F23+F25+F27+F29+F31+F33+F35+F37+F39+F41+F43+F45+F47+F49+F51+F53+F55+F57</f>
        <v>0</v>
      </c>
      <c r="G13" s="119">
        <f t="shared" si="1"/>
        <v>0</v>
      </c>
      <c r="H13" s="119">
        <f t="shared" si="1"/>
        <v>0</v>
      </c>
      <c r="I13" s="119">
        <f t="shared" si="1"/>
        <v>0</v>
      </c>
      <c r="J13" s="119">
        <f t="shared" si="1"/>
        <v>2</v>
      </c>
      <c r="K13" s="119">
        <f t="shared" si="1"/>
        <v>3</v>
      </c>
      <c r="L13" s="120">
        <f t="shared" si="1"/>
        <v>34</v>
      </c>
      <c r="M13" s="120">
        <f t="shared" si="1"/>
        <v>87</v>
      </c>
      <c r="N13" s="119">
        <f t="shared" si="1"/>
        <v>1</v>
      </c>
      <c r="O13" s="120">
        <f t="shared" si="1"/>
        <v>5</v>
      </c>
      <c r="P13" s="120">
        <f t="shared" si="1"/>
        <v>15</v>
      </c>
      <c r="Q13" s="119">
        <f t="shared" si="1"/>
        <v>0</v>
      </c>
      <c r="R13" s="120">
        <f t="shared" si="1"/>
        <v>32</v>
      </c>
      <c r="S13" s="120">
        <f t="shared" si="1"/>
        <v>28</v>
      </c>
      <c r="T13" s="120">
        <f t="shared" si="1"/>
        <v>1</v>
      </c>
      <c r="U13" s="119">
        <f t="shared" si="1"/>
        <v>10</v>
      </c>
      <c r="V13" s="120">
        <f t="shared" si="1"/>
        <v>68</v>
      </c>
      <c r="W13" s="119">
        <f t="shared" si="1"/>
        <v>0</v>
      </c>
      <c r="X13" s="119">
        <f t="shared" si="1"/>
        <v>2</v>
      </c>
      <c r="Y13" s="120">
        <f t="shared" si="1"/>
        <v>11</v>
      </c>
      <c r="Z13" s="120">
        <f t="shared" si="1"/>
        <v>7</v>
      </c>
      <c r="AA13" s="120">
        <f t="shared" si="1"/>
        <v>46</v>
      </c>
      <c r="AB13" s="119">
        <f t="shared" si="1"/>
        <v>31</v>
      </c>
      <c r="AC13" s="119">
        <f t="shared" si="1"/>
        <v>19</v>
      </c>
      <c r="AD13" s="120">
        <f t="shared" si="1"/>
        <v>104</v>
      </c>
      <c r="AE13" s="120">
        <f t="shared" si="1"/>
        <v>36</v>
      </c>
      <c r="AF13" s="119">
        <f t="shared" si="1"/>
        <v>0</v>
      </c>
      <c r="AG13" s="120">
        <f t="shared" si="1"/>
        <v>358</v>
      </c>
      <c r="AH13" s="119">
        <f t="shared" si="1"/>
        <v>0</v>
      </c>
      <c r="AI13" s="119">
        <f t="shared" si="1"/>
        <v>0</v>
      </c>
      <c r="AJ13" s="120">
        <f t="shared" si="1"/>
        <v>26</v>
      </c>
      <c r="AK13" s="231"/>
      <c r="AL13" s="3"/>
      <c r="AM13" s="234" t="s">
        <v>404</v>
      </c>
      <c r="AN13" s="48"/>
      <c r="AO13" s="119">
        <f t="shared" si="2"/>
        <v>5</v>
      </c>
      <c r="AP13" s="119">
        <f t="shared" si="2"/>
        <v>0</v>
      </c>
      <c r="AQ13" s="120">
        <f t="shared" si="2"/>
        <v>62</v>
      </c>
      <c r="AR13" s="119">
        <f t="shared" si="2"/>
        <v>29</v>
      </c>
      <c r="AS13" s="119">
        <f t="shared" si="2"/>
        <v>0</v>
      </c>
      <c r="AT13" s="119">
        <f t="shared" si="2"/>
        <v>0</v>
      </c>
      <c r="AU13" s="119">
        <f t="shared" si="2"/>
        <v>1</v>
      </c>
      <c r="AV13" s="120">
        <f t="shared" si="2"/>
        <v>45</v>
      </c>
      <c r="AW13" s="120">
        <f t="shared" si="2"/>
        <v>111</v>
      </c>
      <c r="AX13" s="119">
        <f t="shared" si="2"/>
        <v>0</v>
      </c>
      <c r="AY13" s="120">
        <f t="shared" si="2"/>
        <v>199</v>
      </c>
      <c r="AZ13" s="119">
        <f t="shared" si="2"/>
        <v>51</v>
      </c>
      <c r="BA13" s="119">
        <f t="shared" si="2"/>
        <v>1</v>
      </c>
      <c r="BB13" s="119">
        <f t="shared" si="2"/>
        <v>12</v>
      </c>
      <c r="BC13" s="119">
        <f t="shared" si="2"/>
        <v>0</v>
      </c>
      <c r="BD13" s="119">
        <f t="shared" si="2"/>
        <v>2</v>
      </c>
      <c r="BE13" s="119">
        <f t="shared" si="2"/>
        <v>7</v>
      </c>
      <c r="BF13" s="120">
        <f t="shared" si="2"/>
        <v>17</v>
      </c>
      <c r="BG13" s="119">
        <f t="shared" si="2"/>
        <v>6</v>
      </c>
      <c r="BH13" s="119">
        <f t="shared" si="2"/>
        <v>1</v>
      </c>
      <c r="BI13" s="119">
        <f t="shared" si="2"/>
        <v>6</v>
      </c>
      <c r="BJ13" s="120">
        <f t="shared" si="2"/>
        <v>23</v>
      </c>
      <c r="BK13" s="119">
        <f t="shared" si="2"/>
        <v>21</v>
      </c>
      <c r="BL13" s="119">
        <f t="shared" si="2"/>
        <v>39</v>
      </c>
      <c r="BM13" s="119">
        <f t="shared" si="2"/>
        <v>10</v>
      </c>
      <c r="BN13" s="120">
        <f t="shared" si="2"/>
        <v>92</v>
      </c>
      <c r="BO13" s="120">
        <f t="shared" si="2"/>
        <v>57</v>
      </c>
      <c r="BP13" s="119">
        <f t="shared" si="2"/>
        <v>41</v>
      </c>
      <c r="BQ13" s="119">
        <f t="shared" si="2"/>
        <v>0</v>
      </c>
      <c r="BR13" s="119">
        <f t="shared" si="2"/>
        <v>0</v>
      </c>
      <c r="BS13" s="120">
        <f t="shared" si="2"/>
        <v>40</v>
      </c>
    </row>
    <row r="14" spans="1:73" ht="18.600000000000001" customHeight="1" x14ac:dyDescent="0.25">
      <c r="A14" s="125" t="s">
        <v>405</v>
      </c>
      <c r="B14" s="4"/>
      <c r="C14" s="47" t="s">
        <v>75</v>
      </c>
      <c r="D14" s="48"/>
      <c r="E14" s="118">
        <f t="shared" si="0"/>
        <v>70722</v>
      </c>
      <c r="F14" s="121">
        <v>403</v>
      </c>
      <c r="G14" s="16">
        <v>18</v>
      </c>
      <c r="H14" s="16">
        <v>32</v>
      </c>
      <c r="I14" s="16">
        <v>16</v>
      </c>
      <c r="J14" s="16">
        <v>208</v>
      </c>
      <c r="K14" s="16">
        <v>212</v>
      </c>
      <c r="L14" s="121">
        <v>11232</v>
      </c>
      <c r="M14" s="121">
        <v>4796</v>
      </c>
      <c r="N14" s="16">
        <v>16</v>
      </c>
      <c r="O14" s="121">
        <v>80</v>
      </c>
      <c r="P14" s="121">
        <v>194</v>
      </c>
      <c r="Q14" s="16">
        <v>0</v>
      </c>
      <c r="R14" s="121">
        <v>1205</v>
      </c>
      <c r="S14" s="16">
        <v>2477</v>
      </c>
      <c r="T14" s="121">
        <v>103</v>
      </c>
      <c r="U14" s="16">
        <v>2181</v>
      </c>
      <c r="V14" s="121">
        <v>958</v>
      </c>
      <c r="W14" s="16">
        <v>18</v>
      </c>
      <c r="X14" s="16">
        <v>4</v>
      </c>
      <c r="Y14" s="121">
        <v>179</v>
      </c>
      <c r="Z14" s="121">
        <v>702</v>
      </c>
      <c r="AA14" s="121">
        <v>1832</v>
      </c>
      <c r="AB14" s="16">
        <v>483</v>
      </c>
      <c r="AC14" s="16">
        <v>1677</v>
      </c>
      <c r="AD14" s="121">
        <v>5765</v>
      </c>
      <c r="AE14" s="121">
        <v>6233</v>
      </c>
      <c r="AF14" s="16">
        <v>0</v>
      </c>
      <c r="AG14" s="121">
        <v>2092</v>
      </c>
      <c r="AH14" s="16">
        <v>276</v>
      </c>
      <c r="AI14" s="16">
        <v>0</v>
      </c>
      <c r="AJ14" s="121">
        <v>429</v>
      </c>
      <c r="AK14" s="125" t="s">
        <v>405</v>
      </c>
      <c r="AL14" s="4"/>
      <c r="AM14" s="47" t="s">
        <v>75</v>
      </c>
      <c r="AN14" s="48"/>
      <c r="AO14" s="16">
        <v>54</v>
      </c>
      <c r="AP14" s="16">
        <v>0</v>
      </c>
      <c r="AQ14" s="121">
        <v>363</v>
      </c>
      <c r="AR14" s="121">
        <v>513</v>
      </c>
      <c r="AS14" s="16">
        <v>0</v>
      </c>
      <c r="AT14" s="16">
        <v>0</v>
      </c>
      <c r="AU14" s="16">
        <v>2</v>
      </c>
      <c r="AV14" s="121">
        <v>1931</v>
      </c>
      <c r="AW14" s="121">
        <v>154</v>
      </c>
      <c r="AX14" s="16">
        <v>161</v>
      </c>
      <c r="AY14" s="121">
        <v>3322</v>
      </c>
      <c r="AZ14" s="121">
        <v>564</v>
      </c>
      <c r="BA14" s="16">
        <v>67</v>
      </c>
      <c r="BB14" s="16">
        <v>1698</v>
      </c>
      <c r="BC14" s="16">
        <v>514</v>
      </c>
      <c r="BD14" s="16">
        <v>11</v>
      </c>
      <c r="BE14" s="16">
        <v>520</v>
      </c>
      <c r="BF14" s="121">
        <v>49</v>
      </c>
      <c r="BG14" s="16">
        <v>149</v>
      </c>
      <c r="BH14" s="16">
        <v>0</v>
      </c>
      <c r="BI14" s="121">
        <v>2089</v>
      </c>
      <c r="BJ14" s="121">
        <v>1853</v>
      </c>
      <c r="BK14" s="16">
        <v>3925</v>
      </c>
      <c r="BL14" s="16">
        <v>1017</v>
      </c>
      <c r="BM14" s="16">
        <v>2</v>
      </c>
      <c r="BN14" s="121">
        <v>1754</v>
      </c>
      <c r="BO14" s="121">
        <v>1084</v>
      </c>
      <c r="BP14" s="16">
        <v>1597</v>
      </c>
      <c r="BQ14" s="16">
        <v>0</v>
      </c>
      <c r="BR14" s="16">
        <v>0</v>
      </c>
      <c r="BS14" s="121">
        <v>3508</v>
      </c>
    </row>
    <row r="15" spans="1:73" ht="18.600000000000001" customHeight="1" x14ac:dyDescent="0.25">
      <c r="A15" s="125"/>
      <c r="B15" s="4"/>
      <c r="C15" s="47" t="s">
        <v>76</v>
      </c>
      <c r="D15" s="48"/>
      <c r="E15" s="118">
        <f t="shared" si="0"/>
        <v>218</v>
      </c>
      <c r="F15" s="26">
        <v>0</v>
      </c>
      <c r="G15" s="26">
        <v>0</v>
      </c>
      <c r="H15" s="26">
        <v>0</v>
      </c>
      <c r="I15" s="26">
        <v>0</v>
      </c>
      <c r="J15" s="26">
        <v>0</v>
      </c>
      <c r="K15" s="26">
        <v>0</v>
      </c>
      <c r="L15" s="122">
        <v>7</v>
      </c>
      <c r="M15" s="122">
        <v>4</v>
      </c>
      <c r="N15" s="26">
        <v>0</v>
      </c>
      <c r="O15" s="122">
        <v>1</v>
      </c>
      <c r="P15" s="122">
        <v>1</v>
      </c>
      <c r="Q15" s="26">
        <v>0</v>
      </c>
      <c r="R15" s="122">
        <v>3</v>
      </c>
      <c r="S15" s="122">
        <v>3</v>
      </c>
      <c r="T15" s="122">
        <v>1</v>
      </c>
      <c r="U15" s="16">
        <v>0</v>
      </c>
      <c r="V15" s="121">
        <v>15</v>
      </c>
      <c r="W15" s="16">
        <v>0</v>
      </c>
      <c r="X15" s="16">
        <v>0</v>
      </c>
      <c r="Y15" s="121">
        <v>4</v>
      </c>
      <c r="Z15" s="121">
        <v>1</v>
      </c>
      <c r="AA15" s="121">
        <v>3</v>
      </c>
      <c r="AB15" s="16">
        <v>3</v>
      </c>
      <c r="AC15" s="16">
        <v>2</v>
      </c>
      <c r="AD15" s="121">
        <v>22</v>
      </c>
      <c r="AE15" s="121">
        <v>5</v>
      </c>
      <c r="AF15" s="16">
        <v>0</v>
      </c>
      <c r="AG15" s="121">
        <v>31</v>
      </c>
      <c r="AH15" s="16">
        <v>0</v>
      </c>
      <c r="AI15" s="16">
        <v>0</v>
      </c>
      <c r="AJ15" s="121">
        <v>6</v>
      </c>
      <c r="AK15" s="125"/>
      <c r="AL15" s="4"/>
      <c r="AM15" s="47" t="s">
        <v>76</v>
      </c>
      <c r="AN15" s="48"/>
      <c r="AO15" s="16">
        <v>0</v>
      </c>
      <c r="AP15" s="16">
        <v>0</v>
      </c>
      <c r="AQ15" s="121">
        <v>7</v>
      </c>
      <c r="AR15" s="16">
        <v>0</v>
      </c>
      <c r="AS15" s="16">
        <v>0</v>
      </c>
      <c r="AT15" s="16">
        <v>0</v>
      </c>
      <c r="AU15" s="16">
        <v>0</v>
      </c>
      <c r="AV15" s="121">
        <v>1</v>
      </c>
      <c r="AW15" s="121">
        <v>13</v>
      </c>
      <c r="AX15" s="16">
        <v>0</v>
      </c>
      <c r="AY15" s="121">
        <v>28</v>
      </c>
      <c r="AZ15" s="16">
        <v>5</v>
      </c>
      <c r="BA15" s="16">
        <v>0</v>
      </c>
      <c r="BB15" s="16">
        <v>0</v>
      </c>
      <c r="BC15" s="16">
        <v>0</v>
      </c>
      <c r="BD15" s="16">
        <v>0</v>
      </c>
      <c r="BE15" s="16">
        <v>0</v>
      </c>
      <c r="BF15" s="121">
        <v>4</v>
      </c>
      <c r="BG15" s="16">
        <v>0</v>
      </c>
      <c r="BH15" s="16">
        <v>0</v>
      </c>
      <c r="BI15" s="16">
        <v>0</v>
      </c>
      <c r="BJ15" s="121">
        <v>2</v>
      </c>
      <c r="BK15" s="16">
        <v>3</v>
      </c>
      <c r="BL15" s="16">
        <v>0</v>
      </c>
      <c r="BM15" s="16">
        <v>0</v>
      </c>
      <c r="BN15" s="121">
        <v>27</v>
      </c>
      <c r="BO15" s="121">
        <v>11</v>
      </c>
      <c r="BP15" s="16">
        <v>2</v>
      </c>
      <c r="BQ15" s="16">
        <v>0</v>
      </c>
      <c r="BR15" s="16">
        <v>0</v>
      </c>
      <c r="BS15" s="121">
        <v>3</v>
      </c>
    </row>
    <row r="16" spans="1:73" ht="18.600000000000001" customHeight="1" x14ac:dyDescent="0.25">
      <c r="A16" s="125" t="s">
        <v>406</v>
      </c>
      <c r="B16" s="4"/>
      <c r="C16" s="47" t="s">
        <v>75</v>
      </c>
      <c r="D16" s="48"/>
      <c r="E16" s="28">
        <f t="shared" si="0"/>
        <v>68169</v>
      </c>
      <c r="F16" s="16">
        <v>567</v>
      </c>
      <c r="G16" s="16">
        <v>1150</v>
      </c>
      <c r="H16" s="16">
        <v>711</v>
      </c>
      <c r="I16" s="16">
        <v>3</v>
      </c>
      <c r="J16" s="16">
        <v>131</v>
      </c>
      <c r="K16" s="16">
        <v>104</v>
      </c>
      <c r="L16" s="16">
        <v>6541</v>
      </c>
      <c r="M16" s="16">
        <v>3006</v>
      </c>
      <c r="N16" s="16">
        <v>22</v>
      </c>
      <c r="O16" s="16">
        <v>62</v>
      </c>
      <c r="P16" s="16">
        <v>57</v>
      </c>
      <c r="Q16" s="16">
        <v>1</v>
      </c>
      <c r="R16" s="16">
        <v>234</v>
      </c>
      <c r="S16" s="16">
        <v>441</v>
      </c>
      <c r="T16" s="16">
        <v>272</v>
      </c>
      <c r="U16" s="16">
        <v>278</v>
      </c>
      <c r="V16" s="16">
        <v>762</v>
      </c>
      <c r="W16" s="16">
        <v>36</v>
      </c>
      <c r="X16" s="16">
        <v>56</v>
      </c>
      <c r="Y16" s="16">
        <v>130</v>
      </c>
      <c r="Z16" s="16">
        <v>5453</v>
      </c>
      <c r="AA16" s="16">
        <v>400</v>
      </c>
      <c r="AB16" s="16">
        <v>143</v>
      </c>
      <c r="AC16" s="16">
        <v>621</v>
      </c>
      <c r="AD16" s="16">
        <v>10539</v>
      </c>
      <c r="AE16" s="16">
        <v>2313</v>
      </c>
      <c r="AF16" s="16">
        <v>0</v>
      </c>
      <c r="AG16" s="16">
        <v>1883</v>
      </c>
      <c r="AH16" s="16">
        <v>128</v>
      </c>
      <c r="AI16" s="16">
        <v>15</v>
      </c>
      <c r="AJ16" s="16">
        <v>1248</v>
      </c>
      <c r="AK16" s="125" t="s">
        <v>406</v>
      </c>
      <c r="AL16" s="4"/>
      <c r="AM16" s="47" t="s">
        <v>75</v>
      </c>
      <c r="AN16" s="48"/>
      <c r="AO16" s="16">
        <v>83</v>
      </c>
      <c r="AP16" s="16">
        <v>0</v>
      </c>
      <c r="AQ16" s="16">
        <v>318</v>
      </c>
      <c r="AR16" s="16">
        <v>235</v>
      </c>
      <c r="AS16" s="16">
        <f>18+11+0</f>
        <v>29</v>
      </c>
      <c r="AT16" s="16">
        <f>3+1+0</f>
        <v>4</v>
      </c>
      <c r="AU16" s="16">
        <f>21+2+0</f>
        <v>23</v>
      </c>
      <c r="AV16" s="16">
        <v>148</v>
      </c>
      <c r="AW16" s="16">
        <v>508</v>
      </c>
      <c r="AX16" s="16">
        <v>1135</v>
      </c>
      <c r="AY16" s="16">
        <v>11492</v>
      </c>
      <c r="AZ16" s="16">
        <v>339</v>
      </c>
      <c r="BA16" s="16">
        <v>23</v>
      </c>
      <c r="BB16" s="16">
        <v>336</v>
      </c>
      <c r="BC16" s="16">
        <v>103</v>
      </c>
      <c r="BD16" s="16">
        <v>3</v>
      </c>
      <c r="BE16" s="16">
        <v>17</v>
      </c>
      <c r="BF16" s="16">
        <v>37</v>
      </c>
      <c r="BG16" s="16">
        <v>126</v>
      </c>
      <c r="BH16" s="16">
        <v>21</v>
      </c>
      <c r="BI16" s="16">
        <v>160</v>
      </c>
      <c r="BJ16" s="16">
        <v>458</v>
      </c>
      <c r="BK16" s="16">
        <v>940</v>
      </c>
      <c r="BL16" s="16">
        <v>137</v>
      </c>
      <c r="BM16" s="16">
        <v>100</v>
      </c>
      <c r="BN16" s="16">
        <v>11628</v>
      </c>
      <c r="BO16" s="16">
        <v>158</v>
      </c>
      <c r="BP16" s="16">
        <v>1894</v>
      </c>
      <c r="BQ16" s="16">
        <v>29</v>
      </c>
      <c r="BR16" s="16">
        <v>51</v>
      </c>
      <c r="BS16" s="16">
        <v>327</v>
      </c>
    </row>
    <row r="17" spans="1:71" ht="18.600000000000001" customHeight="1" x14ac:dyDescent="0.25">
      <c r="A17" s="125"/>
      <c r="B17" s="4"/>
      <c r="C17" s="47" t="s">
        <v>76</v>
      </c>
      <c r="D17" s="48"/>
      <c r="E17" s="28">
        <f t="shared" si="0"/>
        <v>485</v>
      </c>
      <c r="F17" s="26">
        <v>0</v>
      </c>
      <c r="G17" s="26">
        <v>0</v>
      </c>
      <c r="H17" s="26">
        <v>0</v>
      </c>
      <c r="I17" s="26">
        <v>0</v>
      </c>
      <c r="J17" s="26">
        <v>2</v>
      </c>
      <c r="K17" s="26">
        <v>2</v>
      </c>
      <c r="L17" s="26">
        <v>6</v>
      </c>
      <c r="M17" s="26">
        <v>17</v>
      </c>
      <c r="N17" s="26">
        <v>1</v>
      </c>
      <c r="O17" s="26">
        <v>0</v>
      </c>
      <c r="P17" s="26">
        <v>4</v>
      </c>
      <c r="Q17" s="26">
        <v>0</v>
      </c>
      <c r="R17" s="26">
        <v>13</v>
      </c>
      <c r="S17" s="26">
        <v>18</v>
      </c>
      <c r="T17" s="26">
        <v>0</v>
      </c>
      <c r="U17" s="16">
        <v>6</v>
      </c>
      <c r="V17" s="16">
        <v>10</v>
      </c>
      <c r="W17" s="16">
        <v>0</v>
      </c>
      <c r="X17" s="16">
        <v>1</v>
      </c>
      <c r="Y17" s="16">
        <v>0</v>
      </c>
      <c r="Z17" s="16">
        <v>5</v>
      </c>
      <c r="AA17" s="16">
        <v>30</v>
      </c>
      <c r="AB17" s="16">
        <v>3</v>
      </c>
      <c r="AC17" s="16">
        <v>9</v>
      </c>
      <c r="AD17" s="16">
        <v>25</v>
      </c>
      <c r="AE17" s="16">
        <v>10</v>
      </c>
      <c r="AF17" s="16">
        <v>0</v>
      </c>
      <c r="AG17" s="16">
        <v>74</v>
      </c>
      <c r="AH17" s="16">
        <v>0</v>
      </c>
      <c r="AI17" s="16">
        <v>0</v>
      </c>
      <c r="AJ17" s="16">
        <v>9</v>
      </c>
      <c r="AK17" s="125"/>
      <c r="AL17" s="4"/>
      <c r="AM17" s="47" t="s">
        <v>76</v>
      </c>
      <c r="AN17" s="48"/>
      <c r="AO17" s="16">
        <v>4</v>
      </c>
      <c r="AP17" s="16">
        <v>0</v>
      </c>
      <c r="AQ17" s="16">
        <v>6</v>
      </c>
      <c r="AR17" s="16">
        <v>14</v>
      </c>
      <c r="AS17" s="16">
        <v>0</v>
      </c>
      <c r="AT17" s="16">
        <v>0</v>
      </c>
      <c r="AU17" s="16">
        <v>0</v>
      </c>
      <c r="AV17" s="16">
        <v>15</v>
      </c>
      <c r="AW17" s="16">
        <v>22</v>
      </c>
      <c r="AX17" s="16">
        <v>0</v>
      </c>
      <c r="AY17" s="16">
        <v>55</v>
      </c>
      <c r="AZ17" s="16">
        <v>3</v>
      </c>
      <c r="BA17" s="16">
        <v>1</v>
      </c>
      <c r="BB17" s="16">
        <v>1</v>
      </c>
      <c r="BC17" s="16">
        <v>0</v>
      </c>
      <c r="BD17" s="16">
        <v>0</v>
      </c>
      <c r="BE17" s="16">
        <v>1</v>
      </c>
      <c r="BF17" s="16">
        <v>2</v>
      </c>
      <c r="BG17" s="16">
        <v>4</v>
      </c>
      <c r="BH17" s="16">
        <v>1</v>
      </c>
      <c r="BI17" s="16">
        <v>3</v>
      </c>
      <c r="BJ17" s="16">
        <v>14</v>
      </c>
      <c r="BK17" s="16">
        <v>12</v>
      </c>
      <c r="BL17" s="16">
        <v>17</v>
      </c>
      <c r="BM17" s="16">
        <v>1</v>
      </c>
      <c r="BN17" s="16">
        <v>17</v>
      </c>
      <c r="BO17" s="16">
        <v>4</v>
      </c>
      <c r="BP17" s="16">
        <v>31</v>
      </c>
      <c r="BQ17" s="16">
        <v>0</v>
      </c>
      <c r="BR17" s="16">
        <v>0</v>
      </c>
      <c r="BS17" s="16">
        <v>12</v>
      </c>
    </row>
    <row r="18" spans="1:71" ht="18.600000000000001" customHeight="1" x14ac:dyDescent="0.25">
      <c r="A18" s="125" t="s">
        <v>176</v>
      </c>
      <c r="C18" s="47" t="s">
        <v>75</v>
      </c>
      <c r="D18" s="48"/>
      <c r="E18" s="28">
        <f t="shared" si="0"/>
        <v>55178</v>
      </c>
      <c r="F18" s="16">
        <v>173</v>
      </c>
      <c r="G18" s="16">
        <v>168</v>
      </c>
      <c r="H18" s="16">
        <v>0</v>
      </c>
      <c r="I18" s="16">
        <v>13</v>
      </c>
      <c r="J18" s="16">
        <v>3</v>
      </c>
      <c r="K18" s="16">
        <v>168</v>
      </c>
      <c r="L18" s="16">
        <v>16197</v>
      </c>
      <c r="M18" s="16">
        <v>8416</v>
      </c>
      <c r="N18" s="16">
        <v>62</v>
      </c>
      <c r="O18" s="16">
        <v>805</v>
      </c>
      <c r="P18" s="16">
        <v>106</v>
      </c>
      <c r="Q18" s="16">
        <v>0</v>
      </c>
      <c r="R18" s="16">
        <v>475</v>
      </c>
      <c r="S18" s="16">
        <v>259</v>
      </c>
      <c r="T18" s="16">
        <v>45</v>
      </c>
      <c r="U18" s="16">
        <v>406</v>
      </c>
      <c r="V18" s="16">
        <v>617</v>
      </c>
      <c r="W18" s="16">
        <v>10</v>
      </c>
      <c r="X18" s="16">
        <v>110</v>
      </c>
      <c r="Y18" s="16">
        <v>153</v>
      </c>
      <c r="Z18" s="16">
        <v>294</v>
      </c>
      <c r="AA18" s="16">
        <v>201</v>
      </c>
      <c r="AB18" s="16">
        <v>105</v>
      </c>
      <c r="AC18" s="16">
        <v>343</v>
      </c>
      <c r="AD18" s="16">
        <v>3131</v>
      </c>
      <c r="AE18" s="16">
        <v>440</v>
      </c>
      <c r="AF18" s="16">
        <v>0</v>
      </c>
      <c r="AG18" s="16">
        <v>5313</v>
      </c>
      <c r="AH18" s="16">
        <v>89</v>
      </c>
      <c r="AI18" s="16">
        <v>2</v>
      </c>
      <c r="AJ18" s="16">
        <v>152</v>
      </c>
      <c r="AK18" s="125" t="s">
        <v>176</v>
      </c>
      <c r="AM18" s="47" t="s">
        <v>75</v>
      </c>
      <c r="AN18" s="48"/>
      <c r="AO18" s="16">
        <v>225</v>
      </c>
      <c r="AP18" s="16">
        <v>0</v>
      </c>
      <c r="AQ18" s="16">
        <v>300</v>
      </c>
      <c r="AR18" s="16">
        <v>314</v>
      </c>
      <c r="AS18" s="16">
        <v>1</v>
      </c>
      <c r="AT18" s="16">
        <v>0</v>
      </c>
      <c r="AU18" s="16">
        <v>18</v>
      </c>
      <c r="AV18" s="16">
        <v>48</v>
      </c>
      <c r="AW18" s="16">
        <v>199</v>
      </c>
      <c r="AX18" s="16">
        <v>140</v>
      </c>
      <c r="AY18" s="16">
        <v>3491</v>
      </c>
      <c r="AZ18" s="16">
        <v>2447</v>
      </c>
      <c r="BA18" s="16">
        <v>44</v>
      </c>
      <c r="BB18" s="16">
        <v>409</v>
      </c>
      <c r="BC18" s="16">
        <v>113</v>
      </c>
      <c r="BD18" s="16">
        <v>11</v>
      </c>
      <c r="BE18" s="16">
        <v>31</v>
      </c>
      <c r="BF18" s="16">
        <v>21</v>
      </c>
      <c r="BG18" s="16">
        <v>4</v>
      </c>
      <c r="BH18" s="16">
        <v>1</v>
      </c>
      <c r="BI18" s="16">
        <v>423</v>
      </c>
      <c r="BJ18" s="16">
        <v>871</v>
      </c>
      <c r="BK18" s="16">
        <v>620</v>
      </c>
      <c r="BL18" s="16">
        <v>29</v>
      </c>
      <c r="BM18" s="16">
        <v>0</v>
      </c>
      <c r="BN18" s="16">
        <v>4531</v>
      </c>
      <c r="BO18" s="16">
        <v>770</v>
      </c>
      <c r="BP18" s="16">
        <v>1731</v>
      </c>
      <c r="BQ18" s="16">
        <v>5</v>
      </c>
      <c r="BR18" s="16">
        <v>0</v>
      </c>
      <c r="BS18" s="16">
        <f>112+7+6</f>
        <v>125</v>
      </c>
    </row>
    <row r="19" spans="1:71" ht="18.600000000000001" customHeight="1" x14ac:dyDescent="0.25">
      <c r="A19" s="125"/>
      <c r="C19" s="47" t="s">
        <v>76</v>
      </c>
      <c r="D19" s="48"/>
      <c r="E19" s="28">
        <f t="shared" si="0"/>
        <v>158</v>
      </c>
      <c r="F19" s="26">
        <v>0</v>
      </c>
      <c r="G19" s="26">
        <v>0</v>
      </c>
      <c r="H19" s="26">
        <v>0</v>
      </c>
      <c r="I19" s="26">
        <v>0</v>
      </c>
      <c r="J19" s="26">
        <v>0</v>
      </c>
      <c r="K19" s="26">
        <v>0</v>
      </c>
      <c r="L19" s="26">
        <v>6</v>
      </c>
      <c r="M19" s="26">
        <v>12</v>
      </c>
      <c r="N19" s="26">
        <v>0</v>
      </c>
      <c r="O19" s="26">
        <v>0</v>
      </c>
      <c r="P19" s="26">
        <v>2</v>
      </c>
      <c r="Q19" s="26">
        <v>0</v>
      </c>
      <c r="R19" s="26">
        <v>2</v>
      </c>
      <c r="S19" s="26">
        <v>0</v>
      </c>
      <c r="T19" s="26">
        <v>0</v>
      </c>
      <c r="U19" s="16">
        <v>1</v>
      </c>
      <c r="V19" s="16">
        <v>8</v>
      </c>
      <c r="W19" s="16">
        <v>0</v>
      </c>
      <c r="X19" s="16">
        <v>0</v>
      </c>
      <c r="Y19" s="16">
        <v>2</v>
      </c>
      <c r="Z19" s="16">
        <v>0</v>
      </c>
      <c r="AA19" s="16">
        <v>2</v>
      </c>
      <c r="AB19" s="16">
        <v>2</v>
      </c>
      <c r="AC19" s="16">
        <v>0</v>
      </c>
      <c r="AD19" s="16">
        <v>5</v>
      </c>
      <c r="AE19" s="16">
        <v>2</v>
      </c>
      <c r="AF19" s="16">
        <v>0</v>
      </c>
      <c r="AG19" s="16">
        <v>22</v>
      </c>
      <c r="AH19" s="16">
        <v>0</v>
      </c>
      <c r="AI19" s="16">
        <v>0</v>
      </c>
      <c r="AJ19" s="16">
        <v>3</v>
      </c>
      <c r="AK19" s="125"/>
      <c r="AM19" s="47" t="s">
        <v>76</v>
      </c>
      <c r="AN19" s="48"/>
      <c r="AO19" s="16">
        <v>1</v>
      </c>
      <c r="AP19" s="16">
        <v>0</v>
      </c>
      <c r="AQ19" s="16">
        <v>5</v>
      </c>
      <c r="AR19" s="16">
        <v>0</v>
      </c>
      <c r="AS19" s="16">
        <v>0</v>
      </c>
      <c r="AT19" s="16">
        <v>0</v>
      </c>
      <c r="AU19" s="16">
        <v>0</v>
      </c>
      <c r="AV19" s="16">
        <v>2</v>
      </c>
      <c r="AW19" s="16">
        <v>12</v>
      </c>
      <c r="AX19" s="16">
        <v>0</v>
      </c>
      <c r="AY19" s="16">
        <v>16</v>
      </c>
      <c r="AZ19" s="16">
        <v>11</v>
      </c>
      <c r="BA19" s="16">
        <v>0</v>
      </c>
      <c r="BB19" s="16">
        <v>7</v>
      </c>
      <c r="BC19" s="16">
        <v>0</v>
      </c>
      <c r="BD19" s="16">
        <v>0</v>
      </c>
      <c r="BE19" s="16">
        <v>1</v>
      </c>
      <c r="BF19" s="16">
        <v>0</v>
      </c>
      <c r="BG19" s="16">
        <v>0</v>
      </c>
      <c r="BH19" s="16">
        <v>0</v>
      </c>
      <c r="BI19" s="16">
        <v>0</v>
      </c>
      <c r="BJ19" s="16">
        <v>1</v>
      </c>
      <c r="BK19" s="16">
        <v>1</v>
      </c>
      <c r="BL19" s="16">
        <v>3</v>
      </c>
      <c r="BM19" s="16">
        <v>0</v>
      </c>
      <c r="BN19" s="16">
        <v>12</v>
      </c>
      <c r="BO19" s="16">
        <v>6</v>
      </c>
      <c r="BP19" s="16">
        <v>0</v>
      </c>
      <c r="BQ19" s="16">
        <v>0</v>
      </c>
      <c r="BR19" s="16">
        <v>0</v>
      </c>
      <c r="BS19" s="16">
        <f>3+2+6</f>
        <v>11</v>
      </c>
    </row>
    <row r="20" spans="1:71" ht="18.600000000000001" customHeight="1" x14ac:dyDescent="0.25">
      <c r="A20" s="125" t="s">
        <v>77</v>
      </c>
      <c r="B20" s="4"/>
      <c r="C20" s="47" t="s">
        <v>75</v>
      </c>
      <c r="D20" s="48"/>
      <c r="E20" s="28">
        <f t="shared" si="0"/>
        <v>35820</v>
      </c>
      <c r="F20" s="16">
        <v>28</v>
      </c>
      <c r="G20" s="16">
        <v>0</v>
      </c>
      <c r="H20" s="16">
        <v>0</v>
      </c>
      <c r="I20" s="16">
        <v>0</v>
      </c>
      <c r="J20" s="16">
        <v>0</v>
      </c>
      <c r="K20" s="16">
        <v>5</v>
      </c>
      <c r="L20" s="16">
        <v>12099</v>
      </c>
      <c r="M20" s="16">
        <v>4347</v>
      </c>
      <c r="N20" s="16">
        <v>31</v>
      </c>
      <c r="O20" s="16">
        <v>143</v>
      </c>
      <c r="P20" s="16">
        <v>197</v>
      </c>
      <c r="Q20" s="16">
        <v>0</v>
      </c>
      <c r="R20" s="16">
        <v>461</v>
      </c>
      <c r="S20" s="16">
        <v>483</v>
      </c>
      <c r="T20" s="16">
        <v>27</v>
      </c>
      <c r="U20" s="16">
        <v>256</v>
      </c>
      <c r="V20" s="16">
        <v>467</v>
      </c>
      <c r="W20" s="16">
        <v>33</v>
      </c>
      <c r="X20" s="16">
        <v>104</v>
      </c>
      <c r="Y20" s="16">
        <v>295</v>
      </c>
      <c r="Z20" s="16">
        <v>253</v>
      </c>
      <c r="AA20" s="16">
        <v>305</v>
      </c>
      <c r="AB20" s="16">
        <v>124</v>
      </c>
      <c r="AC20" s="16">
        <v>227</v>
      </c>
      <c r="AD20" s="16">
        <v>1424</v>
      </c>
      <c r="AE20" s="16">
        <v>328</v>
      </c>
      <c r="AF20" s="16">
        <v>0</v>
      </c>
      <c r="AG20" s="16">
        <v>1256</v>
      </c>
      <c r="AH20" s="16">
        <v>24</v>
      </c>
      <c r="AI20" s="16">
        <v>2</v>
      </c>
      <c r="AJ20" s="16">
        <v>204</v>
      </c>
      <c r="AK20" s="125" t="s">
        <v>77</v>
      </c>
      <c r="AL20" s="4"/>
      <c r="AM20" s="47" t="s">
        <v>75</v>
      </c>
      <c r="AN20" s="48"/>
      <c r="AO20" s="16">
        <v>29</v>
      </c>
      <c r="AP20" s="16">
        <v>0</v>
      </c>
      <c r="AQ20" s="16">
        <v>239</v>
      </c>
      <c r="AR20" s="16">
        <v>55</v>
      </c>
      <c r="AS20" s="16">
        <v>1</v>
      </c>
      <c r="AT20" s="16">
        <v>1</v>
      </c>
      <c r="AU20" s="16">
        <v>6</v>
      </c>
      <c r="AV20" s="16">
        <v>14</v>
      </c>
      <c r="AW20" s="16">
        <v>46</v>
      </c>
      <c r="AX20" s="16">
        <v>50</v>
      </c>
      <c r="AY20" s="16">
        <v>315</v>
      </c>
      <c r="AZ20" s="16">
        <v>414</v>
      </c>
      <c r="BA20" s="16">
        <v>56</v>
      </c>
      <c r="BB20" s="16">
        <v>78</v>
      </c>
      <c r="BC20" s="16">
        <v>2</v>
      </c>
      <c r="BD20" s="16">
        <v>0</v>
      </c>
      <c r="BE20" s="16">
        <v>26</v>
      </c>
      <c r="BF20" s="16">
        <v>13</v>
      </c>
      <c r="BG20" s="16">
        <v>17</v>
      </c>
      <c r="BH20" s="16">
        <v>0</v>
      </c>
      <c r="BI20" s="16">
        <v>53</v>
      </c>
      <c r="BJ20" s="16">
        <v>143</v>
      </c>
      <c r="BK20" s="16">
        <v>107</v>
      </c>
      <c r="BL20" s="16">
        <v>26</v>
      </c>
      <c r="BM20" s="16">
        <f>0+3+3</f>
        <v>6</v>
      </c>
      <c r="BN20" s="16">
        <v>9515</v>
      </c>
      <c r="BO20" s="16">
        <v>893</v>
      </c>
      <c r="BP20" s="16">
        <v>320</v>
      </c>
      <c r="BQ20" s="16">
        <v>0</v>
      </c>
      <c r="BR20" s="16">
        <v>0</v>
      </c>
      <c r="BS20" s="16">
        <f>270+1+1</f>
        <v>272</v>
      </c>
    </row>
    <row r="21" spans="1:71" ht="18.600000000000001" customHeight="1" x14ac:dyDescent="0.25">
      <c r="A21" s="125"/>
      <c r="B21" s="4"/>
      <c r="C21" s="47" t="s">
        <v>76</v>
      </c>
      <c r="D21" s="48"/>
      <c r="E21" s="28">
        <f t="shared" si="0"/>
        <v>128</v>
      </c>
      <c r="F21" s="16">
        <v>0</v>
      </c>
      <c r="G21" s="16">
        <v>0</v>
      </c>
      <c r="H21" s="16">
        <v>0</v>
      </c>
      <c r="I21" s="16">
        <v>0</v>
      </c>
      <c r="J21" s="16">
        <v>0</v>
      </c>
      <c r="K21" s="16">
        <v>0</v>
      </c>
      <c r="L21" s="16">
        <v>2</v>
      </c>
      <c r="M21" s="16">
        <v>3</v>
      </c>
      <c r="N21" s="16">
        <v>0</v>
      </c>
      <c r="O21" s="16">
        <v>1</v>
      </c>
      <c r="P21" s="16">
        <v>0</v>
      </c>
      <c r="Q21" s="16">
        <v>0</v>
      </c>
      <c r="R21" s="16">
        <v>0</v>
      </c>
      <c r="S21" s="16">
        <v>0</v>
      </c>
      <c r="T21" s="16">
        <v>0</v>
      </c>
      <c r="U21" s="16">
        <v>1</v>
      </c>
      <c r="V21" s="16">
        <v>7</v>
      </c>
      <c r="W21" s="16">
        <v>0</v>
      </c>
      <c r="X21" s="16">
        <v>0</v>
      </c>
      <c r="Y21" s="16">
        <v>1</v>
      </c>
      <c r="Z21" s="16">
        <v>0</v>
      </c>
      <c r="AA21" s="16">
        <v>1</v>
      </c>
      <c r="AB21" s="16">
        <v>4</v>
      </c>
      <c r="AC21" s="16">
        <v>2</v>
      </c>
      <c r="AD21" s="16">
        <v>7</v>
      </c>
      <c r="AE21" s="16">
        <v>1</v>
      </c>
      <c r="AF21" s="16">
        <v>0</v>
      </c>
      <c r="AG21" s="16">
        <v>35</v>
      </c>
      <c r="AH21" s="16">
        <v>0</v>
      </c>
      <c r="AI21" s="16">
        <v>0</v>
      </c>
      <c r="AJ21" s="16">
        <v>0</v>
      </c>
      <c r="AK21" s="125"/>
      <c r="AL21" s="4"/>
      <c r="AM21" s="47" t="s">
        <v>76</v>
      </c>
      <c r="AN21" s="48"/>
      <c r="AO21" s="16">
        <v>0</v>
      </c>
      <c r="AP21" s="16">
        <v>0</v>
      </c>
      <c r="AQ21" s="16">
        <v>4</v>
      </c>
      <c r="AR21" s="16">
        <v>0</v>
      </c>
      <c r="AS21" s="16">
        <v>0</v>
      </c>
      <c r="AT21" s="16">
        <v>0</v>
      </c>
      <c r="AU21" s="16">
        <v>1</v>
      </c>
      <c r="AV21" s="16">
        <v>3</v>
      </c>
      <c r="AW21" s="16">
        <v>5</v>
      </c>
      <c r="AX21" s="16">
        <v>0</v>
      </c>
      <c r="AY21" s="16">
        <v>4</v>
      </c>
      <c r="AZ21" s="16">
        <v>6</v>
      </c>
      <c r="BA21" s="16">
        <v>0</v>
      </c>
      <c r="BB21" s="16">
        <v>4</v>
      </c>
      <c r="BC21" s="16">
        <v>0</v>
      </c>
      <c r="BD21" s="16">
        <v>0</v>
      </c>
      <c r="BE21" s="16">
        <v>0</v>
      </c>
      <c r="BF21" s="16">
        <v>0</v>
      </c>
      <c r="BG21" s="16">
        <v>1</v>
      </c>
      <c r="BH21" s="16">
        <v>0</v>
      </c>
      <c r="BI21" s="16">
        <v>0</v>
      </c>
      <c r="BJ21" s="16">
        <v>0</v>
      </c>
      <c r="BK21" s="16">
        <v>0</v>
      </c>
      <c r="BL21" s="16">
        <v>0</v>
      </c>
      <c r="BM21" s="16">
        <v>0</v>
      </c>
      <c r="BN21" s="16">
        <v>16</v>
      </c>
      <c r="BO21" s="16">
        <v>14</v>
      </c>
      <c r="BP21" s="16">
        <v>2</v>
      </c>
      <c r="BQ21" s="16">
        <v>0</v>
      </c>
      <c r="BR21" s="16">
        <v>0</v>
      </c>
      <c r="BS21" s="16">
        <f>2+0+1</f>
        <v>3</v>
      </c>
    </row>
    <row r="22" spans="1:71" ht="18.600000000000001" customHeight="1" x14ac:dyDescent="0.25">
      <c r="A22" s="125" t="s">
        <v>79</v>
      </c>
      <c r="B22" s="4"/>
      <c r="C22" s="47" t="s">
        <v>75</v>
      </c>
      <c r="D22" s="48"/>
      <c r="E22" s="28">
        <f t="shared" si="0"/>
        <v>58842</v>
      </c>
      <c r="F22" s="16">
        <v>625</v>
      </c>
      <c r="G22" s="16">
        <v>33</v>
      </c>
      <c r="H22" s="16">
        <v>472</v>
      </c>
      <c r="I22" s="16">
        <v>11</v>
      </c>
      <c r="J22" s="16">
        <v>1</v>
      </c>
      <c r="K22" s="16">
        <v>643</v>
      </c>
      <c r="L22" s="16">
        <v>4435</v>
      </c>
      <c r="M22" s="16">
        <v>3143</v>
      </c>
      <c r="N22" s="16">
        <v>155</v>
      </c>
      <c r="O22" s="16">
        <v>75</v>
      </c>
      <c r="P22" s="16">
        <v>92</v>
      </c>
      <c r="Q22" s="16">
        <v>0</v>
      </c>
      <c r="R22" s="16">
        <v>416</v>
      </c>
      <c r="S22" s="16">
        <v>235</v>
      </c>
      <c r="T22" s="16">
        <v>44</v>
      </c>
      <c r="U22" s="16">
        <v>429</v>
      </c>
      <c r="V22" s="16">
        <v>1923</v>
      </c>
      <c r="W22" s="16">
        <v>24</v>
      </c>
      <c r="X22" s="16">
        <v>10</v>
      </c>
      <c r="Y22" s="16">
        <v>88</v>
      </c>
      <c r="Z22" s="16">
        <v>1982</v>
      </c>
      <c r="AA22" s="16">
        <v>335</v>
      </c>
      <c r="AB22" s="16">
        <v>130</v>
      </c>
      <c r="AC22" s="16">
        <v>590</v>
      </c>
      <c r="AD22" s="16">
        <v>5127</v>
      </c>
      <c r="AE22" s="16">
        <v>1114</v>
      </c>
      <c r="AF22" s="16">
        <v>0</v>
      </c>
      <c r="AG22" s="16">
        <v>2969</v>
      </c>
      <c r="AH22" s="16">
        <v>41</v>
      </c>
      <c r="AI22" s="16">
        <v>4</v>
      </c>
      <c r="AJ22" s="16">
        <v>352</v>
      </c>
      <c r="AK22" s="125" t="s">
        <v>79</v>
      </c>
      <c r="AL22" s="4"/>
      <c r="AM22" s="47" t="s">
        <v>75</v>
      </c>
      <c r="AN22" s="48"/>
      <c r="AO22" s="16">
        <v>48</v>
      </c>
      <c r="AP22" s="16">
        <v>0</v>
      </c>
      <c r="AQ22" s="16">
        <v>424</v>
      </c>
      <c r="AR22" s="16">
        <v>145</v>
      </c>
      <c r="AS22" s="16">
        <v>12</v>
      </c>
      <c r="AT22" s="16">
        <v>0</v>
      </c>
      <c r="AU22" s="16">
        <v>191</v>
      </c>
      <c r="AV22" s="16">
        <v>164</v>
      </c>
      <c r="AW22" s="16">
        <v>117</v>
      </c>
      <c r="AX22" s="16">
        <v>16</v>
      </c>
      <c r="AY22" s="16">
        <v>3585</v>
      </c>
      <c r="AZ22" s="16">
        <v>196</v>
      </c>
      <c r="BA22" s="16">
        <v>44</v>
      </c>
      <c r="BB22" s="16">
        <v>354</v>
      </c>
      <c r="BC22" s="16">
        <v>45</v>
      </c>
      <c r="BD22" s="16">
        <v>355</v>
      </c>
      <c r="BE22" s="16">
        <v>178</v>
      </c>
      <c r="BF22" s="16">
        <v>45</v>
      </c>
      <c r="BG22" s="16">
        <v>59</v>
      </c>
      <c r="BH22" s="16">
        <v>0</v>
      </c>
      <c r="BI22" s="16">
        <v>278</v>
      </c>
      <c r="BJ22" s="16">
        <v>507</v>
      </c>
      <c r="BK22" s="16">
        <v>568</v>
      </c>
      <c r="BL22" s="16">
        <v>31</v>
      </c>
      <c r="BM22" s="16">
        <f>1+5+7</f>
        <v>13</v>
      </c>
      <c r="BN22" s="16">
        <v>23126</v>
      </c>
      <c r="BO22" s="16">
        <v>1318</v>
      </c>
      <c r="BP22" s="16">
        <v>1079</v>
      </c>
      <c r="BQ22" s="16">
        <v>0</v>
      </c>
      <c r="BR22" s="16">
        <v>0</v>
      </c>
      <c r="BS22" s="16">
        <f>444+2+0</f>
        <v>446</v>
      </c>
    </row>
    <row r="23" spans="1:71" ht="18.600000000000001" customHeight="1" x14ac:dyDescent="0.25">
      <c r="A23" s="125"/>
      <c r="B23" s="4"/>
      <c r="C23" s="47" t="s">
        <v>76</v>
      </c>
      <c r="D23" s="48"/>
      <c r="E23" s="28">
        <f t="shared" si="0"/>
        <v>122</v>
      </c>
      <c r="F23" s="16">
        <v>0</v>
      </c>
      <c r="G23" s="16">
        <v>0</v>
      </c>
      <c r="H23" s="16">
        <v>0</v>
      </c>
      <c r="I23" s="16">
        <v>0</v>
      </c>
      <c r="J23" s="16">
        <v>0</v>
      </c>
      <c r="K23" s="16">
        <v>1</v>
      </c>
      <c r="L23" s="16">
        <v>1</v>
      </c>
      <c r="M23" s="16">
        <v>7</v>
      </c>
      <c r="N23" s="16">
        <v>0</v>
      </c>
      <c r="O23" s="16">
        <v>1</v>
      </c>
      <c r="P23" s="16">
        <v>0</v>
      </c>
      <c r="Q23" s="16">
        <v>0</v>
      </c>
      <c r="R23" s="16">
        <v>3</v>
      </c>
      <c r="S23" s="16">
        <v>2</v>
      </c>
      <c r="T23" s="16">
        <v>0</v>
      </c>
      <c r="U23" s="16">
        <v>0</v>
      </c>
      <c r="V23" s="16">
        <v>3</v>
      </c>
      <c r="W23" s="16">
        <v>0</v>
      </c>
      <c r="X23" s="16">
        <v>0</v>
      </c>
      <c r="Y23" s="16">
        <v>0</v>
      </c>
      <c r="Z23" s="16">
        <v>0</v>
      </c>
      <c r="AA23" s="16">
        <v>2</v>
      </c>
      <c r="AB23" s="16">
        <v>0</v>
      </c>
      <c r="AC23" s="16">
        <v>0</v>
      </c>
      <c r="AD23" s="16">
        <v>2</v>
      </c>
      <c r="AE23" s="16">
        <v>3</v>
      </c>
      <c r="AF23" s="16">
        <v>0</v>
      </c>
      <c r="AG23" s="16">
        <v>27</v>
      </c>
      <c r="AH23" s="16">
        <v>0</v>
      </c>
      <c r="AI23" s="16">
        <v>0</v>
      </c>
      <c r="AJ23" s="16">
        <v>5</v>
      </c>
      <c r="AK23" s="125"/>
      <c r="AL23" s="4"/>
      <c r="AM23" s="47" t="s">
        <v>76</v>
      </c>
      <c r="AN23" s="48"/>
      <c r="AO23" s="16">
        <v>0</v>
      </c>
      <c r="AP23" s="16">
        <v>0</v>
      </c>
      <c r="AQ23" s="16">
        <v>5</v>
      </c>
      <c r="AR23" s="16">
        <v>3</v>
      </c>
      <c r="AS23" s="16">
        <v>0</v>
      </c>
      <c r="AT23" s="16">
        <v>0</v>
      </c>
      <c r="AU23" s="16">
        <v>0</v>
      </c>
      <c r="AV23" s="16">
        <v>0</v>
      </c>
      <c r="AW23" s="16">
        <v>1</v>
      </c>
      <c r="AX23" s="16">
        <v>0</v>
      </c>
      <c r="AY23" s="16">
        <v>19</v>
      </c>
      <c r="AZ23" s="16">
        <v>4</v>
      </c>
      <c r="BA23" s="16">
        <v>0</v>
      </c>
      <c r="BB23" s="16">
        <v>0</v>
      </c>
      <c r="BC23" s="16">
        <v>0</v>
      </c>
      <c r="BD23" s="16">
        <v>0</v>
      </c>
      <c r="BE23" s="16">
        <v>4</v>
      </c>
      <c r="BF23" s="16">
        <v>2</v>
      </c>
      <c r="BG23" s="16">
        <v>1</v>
      </c>
      <c r="BH23" s="16">
        <v>0</v>
      </c>
      <c r="BI23" s="16">
        <v>1</v>
      </c>
      <c r="BJ23" s="16">
        <v>0</v>
      </c>
      <c r="BK23" s="16">
        <v>0</v>
      </c>
      <c r="BL23" s="16">
        <v>2</v>
      </c>
      <c r="BM23" s="16">
        <f>0+0+7</f>
        <v>7</v>
      </c>
      <c r="BN23" s="16">
        <v>7</v>
      </c>
      <c r="BO23" s="16">
        <v>4</v>
      </c>
      <c r="BP23" s="16">
        <v>2</v>
      </c>
      <c r="BQ23" s="16">
        <v>0</v>
      </c>
      <c r="BR23" s="16">
        <v>0</v>
      </c>
      <c r="BS23" s="16">
        <v>3</v>
      </c>
    </row>
    <row r="24" spans="1:71" ht="18.600000000000001" customHeight="1" x14ac:dyDescent="0.25">
      <c r="A24" s="125" t="s">
        <v>407</v>
      </c>
      <c r="B24" s="4"/>
      <c r="C24" s="47" t="s">
        <v>75</v>
      </c>
      <c r="D24" s="48"/>
      <c r="E24" s="28">
        <f t="shared" si="0"/>
        <v>45747</v>
      </c>
      <c r="F24" s="16">
        <v>44</v>
      </c>
      <c r="G24" s="16">
        <v>14</v>
      </c>
      <c r="H24" s="16">
        <v>1</v>
      </c>
      <c r="I24" s="16">
        <v>0</v>
      </c>
      <c r="J24" s="16">
        <v>0</v>
      </c>
      <c r="K24" s="16">
        <v>3</v>
      </c>
      <c r="L24" s="16">
        <v>30167</v>
      </c>
      <c r="M24" s="16">
        <v>7098</v>
      </c>
      <c r="N24" s="16">
        <v>54</v>
      </c>
      <c r="O24" s="16">
        <v>189</v>
      </c>
      <c r="P24" s="16">
        <v>91</v>
      </c>
      <c r="Q24" s="16">
        <v>0</v>
      </c>
      <c r="R24" s="16">
        <v>277</v>
      </c>
      <c r="S24" s="16">
        <v>87</v>
      </c>
      <c r="T24" s="16">
        <v>75</v>
      </c>
      <c r="U24" s="16">
        <v>40</v>
      </c>
      <c r="V24" s="16">
        <v>209</v>
      </c>
      <c r="W24" s="16">
        <v>2</v>
      </c>
      <c r="X24" s="16">
        <v>4</v>
      </c>
      <c r="Y24" s="16">
        <v>123</v>
      </c>
      <c r="Z24" s="16">
        <v>177</v>
      </c>
      <c r="AA24" s="16">
        <v>138</v>
      </c>
      <c r="AB24" s="16">
        <v>68</v>
      </c>
      <c r="AC24" s="16">
        <v>199</v>
      </c>
      <c r="AD24" s="16">
        <v>483</v>
      </c>
      <c r="AE24" s="16">
        <v>165</v>
      </c>
      <c r="AF24" s="16">
        <v>0</v>
      </c>
      <c r="AG24" s="16">
        <v>867</v>
      </c>
      <c r="AH24" s="16">
        <v>59</v>
      </c>
      <c r="AI24" s="16">
        <v>1</v>
      </c>
      <c r="AJ24" s="16">
        <v>79</v>
      </c>
      <c r="AK24" s="125" t="s">
        <v>407</v>
      </c>
      <c r="AL24" s="4"/>
      <c r="AM24" s="47" t="s">
        <v>75</v>
      </c>
      <c r="AN24" s="48"/>
      <c r="AO24" s="16">
        <v>33</v>
      </c>
      <c r="AP24" s="16">
        <v>0</v>
      </c>
      <c r="AQ24" s="16">
        <v>99</v>
      </c>
      <c r="AR24" s="16">
        <v>72</v>
      </c>
      <c r="AS24" s="16">
        <v>0</v>
      </c>
      <c r="AT24" s="16">
        <v>0</v>
      </c>
      <c r="AU24" s="16">
        <v>10</v>
      </c>
      <c r="AV24" s="16">
        <v>30</v>
      </c>
      <c r="AW24" s="16">
        <v>82</v>
      </c>
      <c r="AX24" s="16">
        <v>96</v>
      </c>
      <c r="AY24" s="16">
        <v>739</v>
      </c>
      <c r="AZ24" s="16">
        <v>1175</v>
      </c>
      <c r="BA24" s="16">
        <v>61</v>
      </c>
      <c r="BB24" s="16">
        <v>205</v>
      </c>
      <c r="BC24" s="16">
        <v>3</v>
      </c>
      <c r="BD24" s="16">
        <v>0</v>
      </c>
      <c r="BE24" s="16">
        <v>19</v>
      </c>
      <c r="BF24" s="16">
        <v>45</v>
      </c>
      <c r="BG24" s="16">
        <v>37</v>
      </c>
      <c r="BH24" s="16">
        <v>19</v>
      </c>
      <c r="BI24" s="16">
        <v>195</v>
      </c>
      <c r="BJ24" s="16">
        <v>188</v>
      </c>
      <c r="BK24" s="16">
        <v>370</v>
      </c>
      <c r="BL24" s="16">
        <v>87</v>
      </c>
      <c r="BM24" s="16">
        <v>1</v>
      </c>
      <c r="BN24" s="16">
        <v>307</v>
      </c>
      <c r="BO24" s="16">
        <v>319</v>
      </c>
      <c r="BP24" s="16">
        <v>604</v>
      </c>
      <c r="BQ24" s="16">
        <v>0</v>
      </c>
      <c r="BR24" s="16">
        <v>0</v>
      </c>
      <c r="BS24" s="16">
        <v>237</v>
      </c>
    </row>
    <row r="25" spans="1:71" ht="18.600000000000001" customHeight="1" x14ac:dyDescent="0.25">
      <c r="A25" s="125"/>
      <c r="B25" s="4"/>
      <c r="C25" s="47" t="s">
        <v>76</v>
      </c>
      <c r="D25" s="48"/>
      <c r="E25" s="28">
        <f t="shared" si="0"/>
        <v>75</v>
      </c>
      <c r="F25" s="16">
        <v>0</v>
      </c>
      <c r="G25" s="16">
        <v>0</v>
      </c>
      <c r="H25" s="16">
        <v>0</v>
      </c>
      <c r="I25" s="16">
        <v>0</v>
      </c>
      <c r="J25" s="16">
        <v>0</v>
      </c>
      <c r="K25" s="16">
        <v>0</v>
      </c>
      <c r="L25" s="16">
        <v>1</v>
      </c>
      <c r="M25" s="16">
        <v>0</v>
      </c>
      <c r="N25" s="16">
        <v>0</v>
      </c>
      <c r="O25" s="16">
        <v>1</v>
      </c>
      <c r="P25" s="16">
        <v>4</v>
      </c>
      <c r="Q25" s="16">
        <v>0</v>
      </c>
      <c r="R25" s="16">
        <v>0</v>
      </c>
      <c r="S25" s="16">
        <v>0</v>
      </c>
      <c r="T25" s="16">
        <v>0</v>
      </c>
      <c r="U25" s="16">
        <v>0</v>
      </c>
      <c r="V25" s="16">
        <v>2</v>
      </c>
      <c r="W25" s="16">
        <v>0</v>
      </c>
      <c r="X25" s="16">
        <v>0</v>
      </c>
      <c r="Y25" s="16">
        <v>0</v>
      </c>
      <c r="Z25" s="16">
        <v>0</v>
      </c>
      <c r="AA25" s="16">
        <v>2</v>
      </c>
      <c r="AB25" s="16">
        <v>5</v>
      </c>
      <c r="AC25" s="16">
        <v>0</v>
      </c>
      <c r="AD25" s="16">
        <v>4</v>
      </c>
      <c r="AE25" s="16">
        <v>1</v>
      </c>
      <c r="AF25" s="16">
        <v>0</v>
      </c>
      <c r="AG25" s="16">
        <v>16</v>
      </c>
      <c r="AH25" s="16">
        <v>0</v>
      </c>
      <c r="AI25" s="16">
        <v>0</v>
      </c>
      <c r="AJ25" s="16">
        <v>1</v>
      </c>
      <c r="AK25" s="125"/>
      <c r="AL25" s="4"/>
      <c r="AM25" s="47" t="s">
        <v>76</v>
      </c>
      <c r="AN25" s="48"/>
      <c r="AO25" s="16">
        <v>0</v>
      </c>
      <c r="AP25" s="16">
        <v>0</v>
      </c>
      <c r="AQ25" s="16">
        <v>6</v>
      </c>
      <c r="AR25" s="16">
        <v>4</v>
      </c>
      <c r="AS25" s="16">
        <v>0</v>
      </c>
      <c r="AT25" s="16">
        <v>0</v>
      </c>
      <c r="AU25" s="16">
        <v>0</v>
      </c>
      <c r="AV25" s="16">
        <v>0</v>
      </c>
      <c r="AW25" s="16">
        <v>1</v>
      </c>
      <c r="AX25" s="16">
        <v>0</v>
      </c>
      <c r="AY25" s="16">
        <v>23</v>
      </c>
      <c r="AZ25" s="16">
        <v>0</v>
      </c>
      <c r="BA25" s="16">
        <v>0</v>
      </c>
      <c r="BB25" s="16">
        <v>0</v>
      </c>
      <c r="BC25" s="16">
        <v>0</v>
      </c>
      <c r="BD25" s="16">
        <v>0</v>
      </c>
      <c r="BE25" s="16">
        <v>0</v>
      </c>
      <c r="BF25" s="16">
        <v>0</v>
      </c>
      <c r="BG25" s="16">
        <v>0</v>
      </c>
      <c r="BH25" s="16">
        <v>0</v>
      </c>
      <c r="BI25" s="16">
        <v>0</v>
      </c>
      <c r="BJ25" s="16">
        <v>0</v>
      </c>
      <c r="BK25" s="16">
        <v>0</v>
      </c>
      <c r="BL25" s="16">
        <v>0</v>
      </c>
      <c r="BM25" s="16">
        <v>0</v>
      </c>
      <c r="BN25" s="16">
        <v>1</v>
      </c>
      <c r="BO25" s="16">
        <v>3</v>
      </c>
      <c r="BP25" s="16">
        <v>0</v>
      </c>
      <c r="BQ25" s="16">
        <v>0</v>
      </c>
      <c r="BR25" s="16">
        <v>0</v>
      </c>
      <c r="BS25" s="16">
        <v>0</v>
      </c>
    </row>
    <row r="26" spans="1:71" ht="18.600000000000001" customHeight="1" x14ac:dyDescent="0.25">
      <c r="A26" s="125" t="s">
        <v>408</v>
      </c>
      <c r="B26" s="4"/>
      <c r="C26" s="47" t="s">
        <v>75</v>
      </c>
      <c r="D26" s="48"/>
      <c r="E26" s="28">
        <f t="shared" si="0"/>
        <v>15000</v>
      </c>
      <c r="F26" s="16">
        <v>7</v>
      </c>
      <c r="G26" s="16">
        <v>4</v>
      </c>
      <c r="H26" s="16">
        <v>1</v>
      </c>
      <c r="I26" s="16">
        <v>0</v>
      </c>
      <c r="J26" s="16">
        <v>0</v>
      </c>
      <c r="K26" s="16">
        <v>10</v>
      </c>
      <c r="L26" s="16">
        <v>2990</v>
      </c>
      <c r="M26" s="16">
        <v>2742</v>
      </c>
      <c r="N26" s="16">
        <v>75</v>
      </c>
      <c r="O26" s="16">
        <v>90</v>
      </c>
      <c r="P26" s="16">
        <v>87</v>
      </c>
      <c r="Q26" s="16">
        <v>0</v>
      </c>
      <c r="R26" s="16">
        <v>281</v>
      </c>
      <c r="S26" s="16">
        <v>207</v>
      </c>
      <c r="T26" s="16">
        <v>16</v>
      </c>
      <c r="U26" s="16">
        <v>85</v>
      </c>
      <c r="V26" s="16">
        <v>324</v>
      </c>
      <c r="W26" s="16">
        <v>15</v>
      </c>
      <c r="X26" s="16">
        <v>28</v>
      </c>
      <c r="Y26" s="16">
        <v>116</v>
      </c>
      <c r="Z26" s="16">
        <v>549</v>
      </c>
      <c r="AA26" s="16">
        <v>187</v>
      </c>
      <c r="AB26" s="16">
        <v>65</v>
      </c>
      <c r="AC26" s="16">
        <v>161</v>
      </c>
      <c r="AD26" s="16">
        <v>1277</v>
      </c>
      <c r="AE26" s="16">
        <v>272</v>
      </c>
      <c r="AF26" s="16">
        <v>0</v>
      </c>
      <c r="AG26" s="16">
        <v>834</v>
      </c>
      <c r="AH26" s="16">
        <v>6</v>
      </c>
      <c r="AI26" s="16">
        <v>0</v>
      </c>
      <c r="AJ26" s="16">
        <v>113</v>
      </c>
      <c r="AK26" s="125" t="s">
        <v>408</v>
      </c>
      <c r="AL26" s="4"/>
      <c r="AM26" s="47" t="s">
        <v>75</v>
      </c>
      <c r="AN26" s="48"/>
      <c r="AO26" s="16">
        <v>17</v>
      </c>
      <c r="AP26" s="16">
        <v>0</v>
      </c>
      <c r="AQ26" s="16">
        <v>157</v>
      </c>
      <c r="AR26" s="16">
        <v>72</v>
      </c>
      <c r="AS26" s="16">
        <v>0</v>
      </c>
      <c r="AT26" s="16">
        <v>2</v>
      </c>
      <c r="AU26" s="16">
        <v>11</v>
      </c>
      <c r="AV26" s="16">
        <v>72</v>
      </c>
      <c r="AW26" s="16">
        <v>234</v>
      </c>
      <c r="AX26" s="16">
        <v>17</v>
      </c>
      <c r="AY26" s="16">
        <v>320</v>
      </c>
      <c r="AZ26" s="16">
        <v>82</v>
      </c>
      <c r="BA26" s="16">
        <v>38</v>
      </c>
      <c r="BB26" s="16">
        <v>33</v>
      </c>
      <c r="BC26" s="16">
        <v>8</v>
      </c>
      <c r="BD26" s="16">
        <f>84+175+9</f>
        <v>268</v>
      </c>
      <c r="BE26" s="16">
        <v>57</v>
      </c>
      <c r="BF26" s="16">
        <v>22</v>
      </c>
      <c r="BG26" s="16">
        <v>30</v>
      </c>
      <c r="BH26" s="16">
        <v>5</v>
      </c>
      <c r="BI26" s="16">
        <v>51</v>
      </c>
      <c r="BJ26" s="16">
        <v>189</v>
      </c>
      <c r="BK26" s="16">
        <v>140</v>
      </c>
      <c r="BL26" s="16">
        <v>14</v>
      </c>
      <c r="BM26" s="16">
        <f>33+229+0</f>
        <v>262</v>
      </c>
      <c r="BN26" s="16">
        <v>1637</v>
      </c>
      <c r="BO26" s="16">
        <v>275</v>
      </c>
      <c r="BP26" s="16">
        <v>412</v>
      </c>
      <c r="BQ26" s="16">
        <v>3</v>
      </c>
      <c r="BR26" s="16">
        <v>0</v>
      </c>
      <c r="BS26" s="16">
        <v>30</v>
      </c>
    </row>
    <row r="27" spans="1:71" ht="18.600000000000001" customHeight="1" x14ac:dyDescent="0.25">
      <c r="A27" s="125"/>
      <c r="B27" s="4"/>
      <c r="C27" s="47" t="s">
        <v>76</v>
      </c>
      <c r="D27" s="48"/>
      <c r="E27" s="28">
        <f t="shared" si="0"/>
        <v>91</v>
      </c>
      <c r="F27" s="26">
        <v>0</v>
      </c>
      <c r="G27" s="26">
        <v>0</v>
      </c>
      <c r="H27" s="26">
        <v>0</v>
      </c>
      <c r="I27" s="26">
        <v>0</v>
      </c>
      <c r="J27" s="26">
        <v>0</v>
      </c>
      <c r="K27" s="26">
        <v>0</v>
      </c>
      <c r="L27" s="26">
        <v>1</v>
      </c>
      <c r="M27" s="26">
        <v>4</v>
      </c>
      <c r="N27" s="26">
        <v>0</v>
      </c>
      <c r="O27" s="26">
        <v>1</v>
      </c>
      <c r="P27" s="26">
        <v>2</v>
      </c>
      <c r="Q27" s="26">
        <v>0</v>
      </c>
      <c r="R27" s="26">
        <v>5</v>
      </c>
      <c r="S27" s="26">
        <v>0</v>
      </c>
      <c r="T27" s="26">
        <v>0</v>
      </c>
      <c r="U27" s="16">
        <v>0</v>
      </c>
      <c r="V27" s="16">
        <v>4</v>
      </c>
      <c r="W27" s="16">
        <v>0</v>
      </c>
      <c r="X27" s="16">
        <v>1</v>
      </c>
      <c r="Y27" s="16">
        <v>1</v>
      </c>
      <c r="Z27" s="16">
        <v>0</v>
      </c>
      <c r="AA27" s="16">
        <v>0</v>
      </c>
      <c r="AB27" s="16">
        <v>0</v>
      </c>
      <c r="AC27" s="16">
        <v>1</v>
      </c>
      <c r="AD27" s="16">
        <v>10</v>
      </c>
      <c r="AE27" s="16">
        <v>0</v>
      </c>
      <c r="AF27" s="16">
        <v>0</v>
      </c>
      <c r="AG27" s="16">
        <v>15</v>
      </c>
      <c r="AH27" s="16">
        <v>0</v>
      </c>
      <c r="AI27" s="16">
        <v>0</v>
      </c>
      <c r="AJ27" s="16">
        <v>0</v>
      </c>
      <c r="AK27" s="125"/>
      <c r="AL27" s="4"/>
      <c r="AM27" s="47" t="s">
        <v>76</v>
      </c>
      <c r="AN27" s="48"/>
      <c r="AO27" s="16">
        <v>0</v>
      </c>
      <c r="AP27" s="16">
        <v>0</v>
      </c>
      <c r="AQ27" s="16">
        <v>5</v>
      </c>
      <c r="AR27" s="16">
        <v>1</v>
      </c>
      <c r="AS27" s="16">
        <v>0</v>
      </c>
      <c r="AT27" s="16">
        <v>0</v>
      </c>
      <c r="AU27" s="16">
        <v>0</v>
      </c>
      <c r="AV27" s="16">
        <v>0</v>
      </c>
      <c r="AW27" s="16">
        <v>28</v>
      </c>
      <c r="AX27" s="16">
        <v>0</v>
      </c>
      <c r="AY27" s="16">
        <v>5</v>
      </c>
      <c r="AZ27" s="16">
        <v>0</v>
      </c>
      <c r="BA27" s="16">
        <v>0</v>
      </c>
      <c r="BB27" s="16">
        <v>0</v>
      </c>
      <c r="BC27" s="16">
        <v>0</v>
      </c>
      <c r="BD27" s="16">
        <v>0</v>
      </c>
      <c r="BE27" s="16">
        <v>0</v>
      </c>
      <c r="BF27" s="16">
        <v>0</v>
      </c>
      <c r="BG27" s="16">
        <v>0</v>
      </c>
      <c r="BH27" s="16">
        <v>0</v>
      </c>
      <c r="BI27" s="16">
        <v>0</v>
      </c>
      <c r="BJ27" s="16">
        <v>2</v>
      </c>
      <c r="BK27" s="16">
        <v>0</v>
      </c>
      <c r="BL27" s="16">
        <v>0</v>
      </c>
      <c r="BM27" s="16">
        <v>0</v>
      </c>
      <c r="BN27" s="16">
        <v>2</v>
      </c>
      <c r="BO27" s="16">
        <v>0</v>
      </c>
      <c r="BP27" s="16">
        <v>2</v>
      </c>
      <c r="BQ27" s="16">
        <v>0</v>
      </c>
      <c r="BR27" s="16">
        <v>0</v>
      </c>
      <c r="BS27" s="16">
        <v>1</v>
      </c>
    </row>
    <row r="28" spans="1:71" ht="18.600000000000001" customHeight="1" x14ac:dyDescent="0.25">
      <c r="A28" s="125" t="s">
        <v>82</v>
      </c>
      <c r="B28" s="4"/>
      <c r="C28" s="47" t="s">
        <v>75</v>
      </c>
      <c r="D28" s="48"/>
      <c r="E28" s="28">
        <f t="shared" si="0"/>
        <v>4009</v>
      </c>
      <c r="F28" s="16">
        <v>2</v>
      </c>
      <c r="G28" s="16">
        <v>1</v>
      </c>
      <c r="H28" s="16">
        <v>1</v>
      </c>
      <c r="I28" s="16">
        <v>0</v>
      </c>
      <c r="J28" s="16">
        <v>0</v>
      </c>
      <c r="K28" s="16">
        <v>2</v>
      </c>
      <c r="L28" s="16">
        <v>2015</v>
      </c>
      <c r="M28" s="16">
        <v>490</v>
      </c>
      <c r="N28" s="16">
        <v>19</v>
      </c>
      <c r="O28" s="16">
        <v>17</v>
      </c>
      <c r="P28" s="16">
        <v>11</v>
      </c>
      <c r="Q28" s="16">
        <v>0</v>
      </c>
      <c r="R28" s="16">
        <v>104</v>
      </c>
      <c r="S28" s="16">
        <v>16</v>
      </c>
      <c r="T28" s="16">
        <v>0</v>
      </c>
      <c r="U28" s="16">
        <v>12</v>
      </c>
      <c r="V28" s="16">
        <v>47</v>
      </c>
      <c r="W28" s="16">
        <v>1</v>
      </c>
      <c r="X28" s="16">
        <v>2</v>
      </c>
      <c r="Y28" s="16">
        <v>14</v>
      </c>
      <c r="Z28" s="16">
        <v>40</v>
      </c>
      <c r="AA28" s="16">
        <v>14</v>
      </c>
      <c r="AB28" s="16">
        <v>19</v>
      </c>
      <c r="AC28" s="16">
        <v>16</v>
      </c>
      <c r="AD28" s="16">
        <v>180</v>
      </c>
      <c r="AE28" s="16">
        <v>49</v>
      </c>
      <c r="AF28" s="16">
        <v>0</v>
      </c>
      <c r="AG28" s="16">
        <v>223</v>
      </c>
      <c r="AH28" s="16">
        <v>0</v>
      </c>
      <c r="AI28" s="16">
        <v>0</v>
      </c>
      <c r="AJ28" s="16">
        <v>27</v>
      </c>
      <c r="AK28" s="125" t="s">
        <v>82</v>
      </c>
      <c r="AL28" s="4"/>
      <c r="AM28" s="47" t="s">
        <v>75</v>
      </c>
      <c r="AN28" s="48"/>
      <c r="AO28" s="16">
        <v>10</v>
      </c>
      <c r="AP28" s="16">
        <v>0</v>
      </c>
      <c r="AQ28" s="16">
        <v>40</v>
      </c>
      <c r="AR28" s="16">
        <v>13</v>
      </c>
      <c r="AS28" s="16">
        <v>0</v>
      </c>
      <c r="AT28" s="16">
        <v>0</v>
      </c>
      <c r="AU28" s="16">
        <v>0</v>
      </c>
      <c r="AV28" s="16">
        <v>1</v>
      </c>
      <c r="AW28" s="16">
        <v>17</v>
      </c>
      <c r="AX28" s="16">
        <v>0</v>
      </c>
      <c r="AY28" s="16">
        <v>18</v>
      </c>
      <c r="AZ28" s="16">
        <v>22</v>
      </c>
      <c r="BA28" s="16">
        <v>12</v>
      </c>
      <c r="BB28" s="16">
        <v>2</v>
      </c>
      <c r="BC28" s="16">
        <v>3</v>
      </c>
      <c r="BD28" s="16">
        <v>0</v>
      </c>
      <c r="BE28" s="16">
        <v>0</v>
      </c>
      <c r="BF28" s="16">
        <v>13</v>
      </c>
      <c r="BG28" s="16">
        <v>1</v>
      </c>
      <c r="BH28" s="16">
        <v>0</v>
      </c>
      <c r="BI28" s="16">
        <v>10</v>
      </c>
      <c r="BJ28" s="16">
        <v>14</v>
      </c>
      <c r="BK28" s="16">
        <v>11</v>
      </c>
      <c r="BL28" s="16">
        <v>0</v>
      </c>
      <c r="BM28" s="16">
        <v>0</v>
      </c>
      <c r="BN28" s="16">
        <v>152</v>
      </c>
      <c r="BO28" s="16">
        <v>142</v>
      </c>
      <c r="BP28" s="16">
        <v>203</v>
      </c>
      <c r="BQ28" s="16">
        <v>0</v>
      </c>
      <c r="BR28" s="16">
        <v>0</v>
      </c>
      <c r="BS28" s="16">
        <v>3</v>
      </c>
    </row>
    <row r="29" spans="1:71" ht="18.600000000000001" customHeight="1" x14ac:dyDescent="0.25">
      <c r="A29" s="125"/>
      <c r="B29" s="4"/>
      <c r="C29" s="47" t="s">
        <v>76</v>
      </c>
      <c r="D29" s="48"/>
      <c r="E29" s="28">
        <f t="shared" si="0"/>
        <v>16</v>
      </c>
      <c r="F29" s="26">
        <v>0</v>
      </c>
      <c r="G29" s="26">
        <v>0</v>
      </c>
      <c r="H29" s="26">
        <v>0</v>
      </c>
      <c r="I29" s="26">
        <v>0</v>
      </c>
      <c r="J29" s="26">
        <v>0</v>
      </c>
      <c r="K29" s="26">
        <v>0</v>
      </c>
      <c r="L29" s="26">
        <v>0</v>
      </c>
      <c r="M29" s="26">
        <v>1</v>
      </c>
      <c r="N29" s="26">
        <v>0</v>
      </c>
      <c r="O29" s="26">
        <v>0</v>
      </c>
      <c r="P29" s="26">
        <v>0</v>
      </c>
      <c r="Q29" s="26">
        <v>0</v>
      </c>
      <c r="R29" s="26">
        <v>1</v>
      </c>
      <c r="S29" s="26">
        <v>0</v>
      </c>
      <c r="T29" s="26">
        <v>0</v>
      </c>
      <c r="U29" s="16">
        <v>0</v>
      </c>
      <c r="V29" s="16">
        <v>0</v>
      </c>
      <c r="W29" s="16">
        <v>0</v>
      </c>
      <c r="X29" s="16">
        <v>0</v>
      </c>
      <c r="Y29" s="16">
        <v>0</v>
      </c>
      <c r="Z29" s="16">
        <v>0</v>
      </c>
      <c r="AA29" s="16">
        <v>0</v>
      </c>
      <c r="AB29" s="16">
        <v>1</v>
      </c>
      <c r="AC29" s="16">
        <v>0</v>
      </c>
      <c r="AD29" s="16">
        <v>0</v>
      </c>
      <c r="AE29" s="16">
        <v>0</v>
      </c>
      <c r="AF29" s="16">
        <v>0</v>
      </c>
      <c r="AG29" s="16">
        <v>4</v>
      </c>
      <c r="AH29" s="16">
        <v>0</v>
      </c>
      <c r="AI29" s="16">
        <v>0</v>
      </c>
      <c r="AJ29" s="16">
        <v>0</v>
      </c>
      <c r="AK29" s="125"/>
      <c r="AL29" s="4"/>
      <c r="AM29" s="47" t="s">
        <v>76</v>
      </c>
      <c r="AN29" s="48"/>
      <c r="AO29" s="16">
        <v>0</v>
      </c>
      <c r="AP29" s="16">
        <v>0</v>
      </c>
      <c r="AQ29" s="16">
        <v>1</v>
      </c>
      <c r="AR29" s="16">
        <v>0</v>
      </c>
      <c r="AS29" s="16">
        <v>0</v>
      </c>
      <c r="AT29" s="16">
        <v>0</v>
      </c>
      <c r="AU29" s="16">
        <v>0</v>
      </c>
      <c r="AV29" s="16">
        <v>0</v>
      </c>
      <c r="AW29" s="16">
        <v>1</v>
      </c>
      <c r="AX29" s="16">
        <v>0</v>
      </c>
      <c r="AY29" s="16">
        <v>2</v>
      </c>
      <c r="AZ29" s="16">
        <v>3</v>
      </c>
      <c r="BA29" s="16">
        <v>0</v>
      </c>
      <c r="BB29" s="16">
        <v>0</v>
      </c>
      <c r="BC29" s="16">
        <v>0</v>
      </c>
      <c r="BD29" s="16">
        <v>0</v>
      </c>
      <c r="BE29" s="16">
        <v>0</v>
      </c>
      <c r="BF29" s="16">
        <v>1</v>
      </c>
      <c r="BG29" s="16">
        <v>0</v>
      </c>
      <c r="BH29" s="16">
        <v>0</v>
      </c>
      <c r="BI29" s="16">
        <v>0</v>
      </c>
      <c r="BJ29" s="16">
        <v>0</v>
      </c>
      <c r="BK29" s="16">
        <v>0</v>
      </c>
      <c r="BL29" s="16">
        <v>0</v>
      </c>
      <c r="BM29" s="16">
        <v>0</v>
      </c>
      <c r="BN29" s="16">
        <v>1</v>
      </c>
      <c r="BO29" s="16">
        <v>0</v>
      </c>
      <c r="BP29" s="16">
        <v>0</v>
      </c>
      <c r="BQ29" s="16">
        <v>0</v>
      </c>
      <c r="BR29" s="16">
        <v>0</v>
      </c>
      <c r="BS29" s="16">
        <v>0</v>
      </c>
    </row>
    <row r="30" spans="1:71" ht="18.600000000000001" customHeight="1" x14ac:dyDescent="0.25">
      <c r="A30" s="125" t="s">
        <v>83</v>
      </c>
      <c r="B30" s="4"/>
      <c r="C30" s="47" t="s">
        <v>75</v>
      </c>
      <c r="D30" s="48"/>
      <c r="E30" s="28">
        <f t="shared" si="0"/>
        <v>10550</v>
      </c>
      <c r="F30" s="16">
        <v>10</v>
      </c>
      <c r="G30" s="16">
        <v>0</v>
      </c>
      <c r="H30" s="16">
        <v>0</v>
      </c>
      <c r="I30" s="16">
        <v>0</v>
      </c>
      <c r="J30" s="16">
        <v>0</v>
      </c>
      <c r="K30" s="16">
        <v>1</v>
      </c>
      <c r="L30" s="16">
        <v>2638</v>
      </c>
      <c r="M30" s="16">
        <v>2130</v>
      </c>
      <c r="N30" s="16">
        <v>12</v>
      </c>
      <c r="O30" s="16">
        <v>39</v>
      </c>
      <c r="P30" s="16">
        <v>8</v>
      </c>
      <c r="Q30" s="16">
        <v>0</v>
      </c>
      <c r="R30" s="16">
        <v>66</v>
      </c>
      <c r="S30" s="16">
        <v>33</v>
      </c>
      <c r="T30" s="16">
        <v>0</v>
      </c>
      <c r="U30" s="16">
        <v>75</v>
      </c>
      <c r="V30" s="16">
        <v>101</v>
      </c>
      <c r="W30" s="16">
        <v>3</v>
      </c>
      <c r="X30" s="16">
        <v>2</v>
      </c>
      <c r="Y30" s="16">
        <v>15</v>
      </c>
      <c r="Z30" s="16">
        <v>219</v>
      </c>
      <c r="AA30" s="16">
        <v>50</v>
      </c>
      <c r="AB30" s="16">
        <v>46</v>
      </c>
      <c r="AC30" s="16">
        <v>36</v>
      </c>
      <c r="AD30" s="16">
        <v>360</v>
      </c>
      <c r="AE30" s="16">
        <v>39</v>
      </c>
      <c r="AF30" s="16">
        <v>0</v>
      </c>
      <c r="AG30" s="16">
        <v>396</v>
      </c>
      <c r="AH30" s="16">
        <v>2</v>
      </c>
      <c r="AI30" s="16">
        <v>2</v>
      </c>
      <c r="AJ30" s="16">
        <v>31</v>
      </c>
      <c r="AK30" s="125" t="s">
        <v>83</v>
      </c>
      <c r="AL30" s="4"/>
      <c r="AM30" s="47" t="s">
        <v>75</v>
      </c>
      <c r="AN30" s="48"/>
      <c r="AO30" s="16">
        <v>6</v>
      </c>
      <c r="AP30" s="16">
        <v>0</v>
      </c>
      <c r="AQ30" s="16">
        <v>104</v>
      </c>
      <c r="AR30" s="16">
        <v>11</v>
      </c>
      <c r="AS30" s="16">
        <v>0</v>
      </c>
      <c r="AT30" s="16">
        <v>0</v>
      </c>
      <c r="AU30" s="16">
        <v>0</v>
      </c>
      <c r="AV30" s="16">
        <v>0</v>
      </c>
      <c r="AW30" s="16">
        <v>42</v>
      </c>
      <c r="AX30" s="16">
        <v>0</v>
      </c>
      <c r="AY30" s="16">
        <v>29</v>
      </c>
      <c r="AZ30" s="16">
        <v>176</v>
      </c>
      <c r="BA30" s="16">
        <v>18</v>
      </c>
      <c r="BB30" s="16">
        <v>4</v>
      </c>
      <c r="BC30" s="16">
        <v>1</v>
      </c>
      <c r="BD30" s="16">
        <v>0</v>
      </c>
      <c r="BE30" s="16">
        <v>2</v>
      </c>
      <c r="BF30" s="16">
        <v>12</v>
      </c>
      <c r="BG30" s="16">
        <v>2</v>
      </c>
      <c r="BH30" s="16">
        <v>0</v>
      </c>
      <c r="BI30" s="16">
        <v>6</v>
      </c>
      <c r="BJ30" s="16">
        <v>27</v>
      </c>
      <c r="BK30" s="16">
        <v>5</v>
      </c>
      <c r="BL30" s="16">
        <v>0</v>
      </c>
      <c r="BM30" s="16">
        <v>0</v>
      </c>
      <c r="BN30" s="16">
        <v>3062</v>
      </c>
      <c r="BO30" s="16">
        <v>596</v>
      </c>
      <c r="BP30" s="16">
        <v>119</v>
      </c>
      <c r="BQ30" s="16">
        <v>0</v>
      </c>
      <c r="BR30" s="16">
        <v>0</v>
      </c>
      <c r="BS30" s="16">
        <v>14</v>
      </c>
    </row>
    <row r="31" spans="1:71" ht="18.600000000000001" customHeight="1" x14ac:dyDescent="0.25">
      <c r="A31" s="125"/>
      <c r="B31" s="4"/>
      <c r="C31" s="47" t="s">
        <v>76</v>
      </c>
      <c r="D31" s="48"/>
      <c r="E31" s="28">
        <f t="shared" si="0"/>
        <v>22</v>
      </c>
      <c r="F31" s="26">
        <v>0</v>
      </c>
      <c r="G31" s="26">
        <v>0</v>
      </c>
      <c r="H31" s="26">
        <v>0</v>
      </c>
      <c r="I31" s="26">
        <v>0</v>
      </c>
      <c r="J31" s="26">
        <v>0</v>
      </c>
      <c r="K31" s="26">
        <v>0</v>
      </c>
      <c r="L31" s="26">
        <v>0</v>
      </c>
      <c r="M31" s="26">
        <v>0</v>
      </c>
      <c r="N31" s="26">
        <v>0</v>
      </c>
      <c r="O31" s="26">
        <v>0</v>
      </c>
      <c r="P31" s="26">
        <v>0</v>
      </c>
      <c r="Q31" s="26">
        <v>0</v>
      </c>
      <c r="R31" s="26">
        <v>0</v>
      </c>
      <c r="S31" s="26">
        <v>0</v>
      </c>
      <c r="T31" s="26">
        <v>0</v>
      </c>
      <c r="U31" s="16">
        <v>0</v>
      </c>
      <c r="V31" s="16">
        <v>0</v>
      </c>
      <c r="W31" s="16">
        <v>0</v>
      </c>
      <c r="X31" s="16">
        <v>0</v>
      </c>
      <c r="Y31" s="16">
        <v>0</v>
      </c>
      <c r="Z31" s="16">
        <v>0</v>
      </c>
      <c r="AA31" s="16">
        <v>0</v>
      </c>
      <c r="AB31" s="16">
        <v>0</v>
      </c>
      <c r="AC31" s="16">
        <v>3</v>
      </c>
      <c r="AD31" s="16">
        <v>1</v>
      </c>
      <c r="AE31" s="16">
        <v>0</v>
      </c>
      <c r="AF31" s="16">
        <v>0</v>
      </c>
      <c r="AG31" s="16">
        <v>17</v>
      </c>
      <c r="AH31" s="16">
        <v>0</v>
      </c>
      <c r="AI31" s="16">
        <v>0</v>
      </c>
      <c r="AJ31" s="16">
        <v>0</v>
      </c>
      <c r="AK31" s="125"/>
      <c r="AL31" s="4"/>
      <c r="AM31" s="47" t="s">
        <v>76</v>
      </c>
      <c r="AN31" s="48"/>
      <c r="AO31" s="16">
        <v>0</v>
      </c>
      <c r="AP31" s="16">
        <v>0</v>
      </c>
      <c r="AQ31" s="16">
        <v>0</v>
      </c>
      <c r="AR31" s="16">
        <v>0</v>
      </c>
      <c r="AS31" s="16">
        <v>0</v>
      </c>
      <c r="AT31" s="16">
        <v>0</v>
      </c>
      <c r="AU31" s="16">
        <v>0</v>
      </c>
      <c r="AV31" s="16">
        <v>0</v>
      </c>
      <c r="AW31" s="16">
        <v>0</v>
      </c>
      <c r="AX31" s="16">
        <v>0</v>
      </c>
      <c r="AY31" s="16">
        <v>0</v>
      </c>
      <c r="AZ31" s="16">
        <v>1</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row>
    <row r="32" spans="1:71" ht="18.600000000000001" customHeight="1" x14ac:dyDescent="0.25">
      <c r="A32" s="125" t="s">
        <v>84</v>
      </c>
      <c r="B32" s="4"/>
      <c r="C32" s="47" t="s">
        <v>75</v>
      </c>
      <c r="D32" s="48"/>
      <c r="E32" s="28">
        <f t="shared" si="0"/>
        <v>48348</v>
      </c>
      <c r="F32" s="16">
        <v>142</v>
      </c>
      <c r="G32" s="16">
        <v>70</v>
      </c>
      <c r="H32" s="16">
        <v>16</v>
      </c>
      <c r="I32" s="16">
        <v>22</v>
      </c>
      <c r="J32" s="16">
        <v>62</v>
      </c>
      <c r="K32" s="16">
        <v>96</v>
      </c>
      <c r="L32" s="16">
        <v>4929</v>
      </c>
      <c r="M32" s="16">
        <v>4282</v>
      </c>
      <c r="N32" s="16">
        <v>68</v>
      </c>
      <c r="O32" s="16">
        <v>541</v>
      </c>
      <c r="P32" s="16">
        <v>314</v>
      </c>
      <c r="Q32" s="16">
        <v>0</v>
      </c>
      <c r="R32" s="16">
        <v>637</v>
      </c>
      <c r="S32" s="16">
        <v>352</v>
      </c>
      <c r="T32" s="16">
        <v>37</v>
      </c>
      <c r="U32" s="16">
        <v>414</v>
      </c>
      <c r="V32" s="16">
        <v>1501</v>
      </c>
      <c r="W32" s="16">
        <v>12</v>
      </c>
      <c r="X32" s="16">
        <v>18</v>
      </c>
      <c r="Y32" s="16">
        <v>111</v>
      </c>
      <c r="Z32" s="16">
        <v>1002</v>
      </c>
      <c r="AA32" s="16">
        <v>173</v>
      </c>
      <c r="AB32" s="16">
        <v>220</v>
      </c>
      <c r="AC32" s="16">
        <v>474</v>
      </c>
      <c r="AD32" s="16">
        <v>2237</v>
      </c>
      <c r="AE32" s="16">
        <v>1281</v>
      </c>
      <c r="AF32" s="16">
        <v>0</v>
      </c>
      <c r="AG32" s="16">
        <v>1404</v>
      </c>
      <c r="AH32" s="16">
        <v>180</v>
      </c>
      <c r="AI32" s="16">
        <v>32</v>
      </c>
      <c r="AJ32" s="16">
        <v>258</v>
      </c>
      <c r="AK32" s="125" t="s">
        <v>84</v>
      </c>
      <c r="AL32" s="4"/>
      <c r="AM32" s="47" t="s">
        <v>75</v>
      </c>
      <c r="AN32" s="48"/>
      <c r="AO32" s="16">
        <v>27</v>
      </c>
      <c r="AP32" s="16">
        <v>0</v>
      </c>
      <c r="AQ32" s="16">
        <v>415</v>
      </c>
      <c r="AR32" s="16">
        <v>159</v>
      </c>
      <c r="AS32" s="16">
        <f>118+114+0</f>
        <v>232</v>
      </c>
      <c r="AT32" s="16">
        <f>22+5+0</f>
        <v>27</v>
      </c>
      <c r="AU32" s="16">
        <f>478+178+0</f>
        <v>656</v>
      </c>
      <c r="AV32" s="16">
        <v>731</v>
      </c>
      <c r="AW32" s="16">
        <v>237</v>
      </c>
      <c r="AX32" s="16">
        <v>34</v>
      </c>
      <c r="AY32" s="16">
        <v>2315</v>
      </c>
      <c r="AZ32" s="16">
        <v>775</v>
      </c>
      <c r="BA32" s="16">
        <v>28</v>
      </c>
      <c r="BB32" s="16">
        <v>672</v>
      </c>
      <c r="BC32" s="16">
        <v>118</v>
      </c>
      <c r="BD32" s="16">
        <f>407+165+0</f>
        <v>572</v>
      </c>
      <c r="BE32" s="16">
        <v>532</v>
      </c>
      <c r="BF32" s="16">
        <v>417</v>
      </c>
      <c r="BG32" s="16">
        <v>107</v>
      </c>
      <c r="BH32" s="16">
        <v>244</v>
      </c>
      <c r="BI32" s="16">
        <v>615</v>
      </c>
      <c r="BJ32" s="16">
        <v>263</v>
      </c>
      <c r="BK32" s="16">
        <v>658</v>
      </c>
      <c r="BL32" s="16">
        <v>1698</v>
      </c>
      <c r="BM32" s="16">
        <f>602+329+2</f>
        <v>933</v>
      </c>
      <c r="BN32" s="16">
        <v>11985</v>
      </c>
      <c r="BO32" s="16">
        <v>822</v>
      </c>
      <c r="BP32" s="16">
        <v>1807</v>
      </c>
      <c r="BQ32" s="16">
        <v>2</v>
      </c>
      <c r="BR32" s="16">
        <v>0</v>
      </c>
      <c r="BS32" s="16">
        <f>10+371+1</f>
        <v>382</v>
      </c>
    </row>
    <row r="33" spans="1:71" ht="18.600000000000001" customHeight="1" x14ac:dyDescent="0.25">
      <c r="A33" s="125"/>
      <c r="B33" s="4"/>
      <c r="C33" s="47" t="s">
        <v>76</v>
      </c>
      <c r="D33" s="48"/>
      <c r="E33" s="28">
        <f t="shared" si="0"/>
        <v>100</v>
      </c>
      <c r="F33" s="26">
        <v>0</v>
      </c>
      <c r="G33" s="26">
        <v>0</v>
      </c>
      <c r="H33" s="26">
        <v>0</v>
      </c>
      <c r="I33" s="26">
        <v>0</v>
      </c>
      <c r="J33" s="26">
        <v>0</v>
      </c>
      <c r="K33" s="26">
        <v>0</v>
      </c>
      <c r="L33" s="26">
        <v>1</v>
      </c>
      <c r="M33" s="26">
        <v>18</v>
      </c>
      <c r="N33" s="26">
        <v>0</v>
      </c>
      <c r="O33" s="26">
        <v>0</v>
      </c>
      <c r="P33" s="26">
        <v>2</v>
      </c>
      <c r="Q33" s="26">
        <v>0</v>
      </c>
      <c r="R33" s="26">
        <v>2</v>
      </c>
      <c r="S33" s="26">
        <v>3</v>
      </c>
      <c r="T33" s="26">
        <v>0</v>
      </c>
      <c r="U33" s="26">
        <v>0</v>
      </c>
      <c r="V33" s="26">
        <v>7</v>
      </c>
      <c r="W33" s="26">
        <v>0</v>
      </c>
      <c r="X33" s="26">
        <v>0</v>
      </c>
      <c r="Y33" s="26">
        <v>1</v>
      </c>
      <c r="Z33" s="26">
        <v>0</v>
      </c>
      <c r="AA33" s="26">
        <v>0</v>
      </c>
      <c r="AB33" s="26">
        <v>4</v>
      </c>
      <c r="AC33" s="26">
        <v>0</v>
      </c>
      <c r="AD33" s="26">
        <v>8</v>
      </c>
      <c r="AE33" s="26">
        <v>3</v>
      </c>
      <c r="AF33" s="26">
        <v>0</v>
      </c>
      <c r="AG33" s="26">
        <v>16</v>
      </c>
      <c r="AH33" s="26">
        <v>0</v>
      </c>
      <c r="AI33" s="26">
        <v>0</v>
      </c>
      <c r="AJ33" s="26">
        <v>1</v>
      </c>
      <c r="AK33" s="125"/>
      <c r="AL33" s="4"/>
      <c r="AM33" s="47" t="s">
        <v>76</v>
      </c>
      <c r="AN33" s="48"/>
      <c r="AO33" s="16">
        <v>0</v>
      </c>
      <c r="AP33" s="16">
        <v>0</v>
      </c>
      <c r="AQ33" s="16">
        <v>4</v>
      </c>
      <c r="AR33" s="16">
        <v>0</v>
      </c>
      <c r="AS33" s="16">
        <v>0</v>
      </c>
      <c r="AT33" s="16">
        <v>0</v>
      </c>
      <c r="AU33" s="16">
        <v>0</v>
      </c>
      <c r="AV33" s="16">
        <v>1</v>
      </c>
      <c r="AW33" s="16">
        <v>0</v>
      </c>
      <c r="AX33" s="16">
        <v>0</v>
      </c>
      <c r="AY33" s="16">
        <v>3</v>
      </c>
      <c r="AZ33" s="16">
        <v>10</v>
      </c>
      <c r="BA33" s="16">
        <v>0</v>
      </c>
      <c r="BB33" s="16">
        <v>0</v>
      </c>
      <c r="BC33" s="16">
        <v>0</v>
      </c>
      <c r="BD33" s="16">
        <v>1</v>
      </c>
      <c r="BE33" s="16">
        <v>1</v>
      </c>
      <c r="BF33" s="16">
        <v>5</v>
      </c>
      <c r="BG33" s="16">
        <v>0</v>
      </c>
      <c r="BH33" s="16">
        <v>0</v>
      </c>
      <c r="BI33" s="16">
        <v>0</v>
      </c>
      <c r="BJ33" s="16">
        <v>1</v>
      </c>
      <c r="BK33" s="16">
        <v>2</v>
      </c>
      <c r="BL33" s="16">
        <v>2</v>
      </c>
      <c r="BM33" s="16">
        <v>0</v>
      </c>
      <c r="BN33" s="16">
        <v>0</v>
      </c>
      <c r="BO33" s="16">
        <v>2</v>
      </c>
      <c r="BP33" s="16">
        <v>1</v>
      </c>
      <c r="BQ33" s="16">
        <v>0</v>
      </c>
      <c r="BR33" s="16">
        <v>0</v>
      </c>
      <c r="BS33" s="16">
        <f>0+1+0</f>
        <v>1</v>
      </c>
    </row>
    <row r="34" spans="1:71" ht="18.600000000000001" customHeight="1" x14ac:dyDescent="0.25">
      <c r="A34" s="125" t="s">
        <v>85</v>
      </c>
      <c r="C34" s="47" t="s">
        <v>75</v>
      </c>
      <c r="D34" s="48"/>
      <c r="E34" s="28">
        <f t="shared" si="0"/>
        <v>14011</v>
      </c>
      <c r="F34" s="16">
        <v>5</v>
      </c>
      <c r="G34" s="16">
        <v>0</v>
      </c>
      <c r="H34" s="16">
        <v>0</v>
      </c>
      <c r="I34" s="16">
        <v>1</v>
      </c>
      <c r="J34" s="16">
        <v>2</v>
      </c>
      <c r="K34" s="16">
        <v>0</v>
      </c>
      <c r="L34" s="26">
        <v>2845</v>
      </c>
      <c r="M34" s="26">
        <v>1875</v>
      </c>
      <c r="N34" s="26">
        <v>44</v>
      </c>
      <c r="O34" s="26">
        <v>38</v>
      </c>
      <c r="P34" s="26">
        <v>17</v>
      </c>
      <c r="Q34" s="26">
        <v>0</v>
      </c>
      <c r="R34" s="26">
        <v>97</v>
      </c>
      <c r="S34" s="26">
        <v>66</v>
      </c>
      <c r="T34" s="26">
        <v>0</v>
      </c>
      <c r="U34" s="26">
        <v>60</v>
      </c>
      <c r="V34" s="26">
        <v>162</v>
      </c>
      <c r="W34" s="26">
        <v>4</v>
      </c>
      <c r="X34" s="26">
        <v>7</v>
      </c>
      <c r="Y34" s="26">
        <v>72</v>
      </c>
      <c r="Z34" s="26">
        <v>283</v>
      </c>
      <c r="AA34" s="26">
        <v>51</v>
      </c>
      <c r="AB34" s="26">
        <v>36</v>
      </c>
      <c r="AC34" s="26">
        <v>15</v>
      </c>
      <c r="AD34" s="26">
        <v>605</v>
      </c>
      <c r="AE34" s="26">
        <v>43</v>
      </c>
      <c r="AF34" s="26">
        <v>0</v>
      </c>
      <c r="AG34" s="26">
        <v>384</v>
      </c>
      <c r="AH34" s="26">
        <v>2</v>
      </c>
      <c r="AI34" s="26">
        <v>0</v>
      </c>
      <c r="AJ34" s="26">
        <v>79</v>
      </c>
      <c r="AK34" s="125" t="s">
        <v>85</v>
      </c>
      <c r="AM34" s="47" t="s">
        <v>75</v>
      </c>
      <c r="AN34" s="48"/>
      <c r="AO34" s="16">
        <v>4</v>
      </c>
      <c r="AP34" s="16">
        <v>0</v>
      </c>
      <c r="AQ34" s="16">
        <v>162</v>
      </c>
      <c r="AR34" s="16">
        <v>39</v>
      </c>
      <c r="AS34" s="16">
        <v>0</v>
      </c>
      <c r="AT34" s="16">
        <v>0</v>
      </c>
      <c r="AU34" s="16">
        <v>21</v>
      </c>
      <c r="AV34" s="16">
        <v>31</v>
      </c>
      <c r="AW34" s="16">
        <v>27</v>
      </c>
      <c r="AX34" s="16">
        <v>3</v>
      </c>
      <c r="AY34" s="16">
        <v>182</v>
      </c>
      <c r="AZ34" s="16">
        <v>175</v>
      </c>
      <c r="BA34" s="16">
        <v>13</v>
      </c>
      <c r="BB34" s="16">
        <v>50</v>
      </c>
      <c r="BC34" s="16">
        <v>7</v>
      </c>
      <c r="BD34" s="16">
        <v>8</v>
      </c>
      <c r="BE34" s="16">
        <v>16</v>
      </c>
      <c r="BF34" s="16">
        <v>13</v>
      </c>
      <c r="BG34" s="16">
        <v>0</v>
      </c>
      <c r="BH34" s="16">
        <v>1</v>
      </c>
      <c r="BI34" s="16">
        <v>30</v>
      </c>
      <c r="BJ34" s="16">
        <v>36</v>
      </c>
      <c r="BK34" s="16">
        <v>22</v>
      </c>
      <c r="BL34" s="16">
        <v>42</v>
      </c>
      <c r="BM34" s="16">
        <v>0</v>
      </c>
      <c r="BN34" s="16">
        <v>5402</v>
      </c>
      <c r="BO34" s="16">
        <v>590</v>
      </c>
      <c r="BP34" s="16">
        <v>341</v>
      </c>
      <c r="BQ34" s="16">
        <v>0</v>
      </c>
      <c r="BR34" s="16">
        <v>0</v>
      </c>
      <c r="BS34" s="16">
        <v>3</v>
      </c>
    </row>
    <row r="35" spans="1:71" ht="18.600000000000001" customHeight="1" x14ac:dyDescent="0.25">
      <c r="A35" s="125"/>
      <c r="C35" s="47" t="s">
        <v>76</v>
      </c>
      <c r="D35" s="48"/>
      <c r="E35" s="28">
        <f t="shared" si="0"/>
        <v>47</v>
      </c>
      <c r="F35" s="26">
        <v>0</v>
      </c>
      <c r="G35" s="26">
        <v>0</v>
      </c>
      <c r="H35" s="26">
        <v>0</v>
      </c>
      <c r="I35" s="26">
        <v>0</v>
      </c>
      <c r="J35" s="26">
        <v>0</v>
      </c>
      <c r="K35" s="26">
        <v>0</v>
      </c>
      <c r="L35" s="26">
        <v>0</v>
      </c>
      <c r="M35" s="26">
        <v>6</v>
      </c>
      <c r="N35" s="26">
        <v>0</v>
      </c>
      <c r="O35" s="26">
        <v>0</v>
      </c>
      <c r="P35" s="26">
        <v>0</v>
      </c>
      <c r="Q35" s="26">
        <v>0</v>
      </c>
      <c r="R35" s="26">
        <v>0</v>
      </c>
      <c r="S35" s="26">
        <v>0</v>
      </c>
      <c r="T35" s="26">
        <v>0</v>
      </c>
      <c r="U35" s="26">
        <v>0</v>
      </c>
      <c r="V35" s="26">
        <v>0</v>
      </c>
      <c r="W35" s="26">
        <v>0</v>
      </c>
      <c r="X35" s="26">
        <v>0</v>
      </c>
      <c r="Y35" s="26">
        <v>0</v>
      </c>
      <c r="Z35" s="26">
        <v>0</v>
      </c>
      <c r="AA35" s="26">
        <v>0</v>
      </c>
      <c r="AB35" s="26">
        <v>1</v>
      </c>
      <c r="AC35" s="26">
        <v>0</v>
      </c>
      <c r="AD35" s="26">
        <v>1</v>
      </c>
      <c r="AE35" s="26">
        <v>0</v>
      </c>
      <c r="AF35" s="26">
        <v>0</v>
      </c>
      <c r="AG35" s="26">
        <v>22</v>
      </c>
      <c r="AH35" s="26">
        <v>0</v>
      </c>
      <c r="AI35" s="26">
        <v>0</v>
      </c>
      <c r="AJ35" s="26">
        <v>0</v>
      </c>
      <c r="AK35" s="125"/>
      <c r="AM35" s="47" t="s">
        <v>76</v>
      </c>
      <c r="AN35" s="48"/>
      <c r="AO35" s="16">
        <v>0</v>
      </c>
      <c r="AP35" s="16">
        <v>0</v>
      </c>
      <c r="AQ35" s="16">
        <v>2</v>
      </c>
      <c r="AR35" s="16">
        <v>0</v>
      </c>
      <c r="AS35" s="16">
        <v>0</v>
      </c>
      <c r="AT35" s="16">
        <v>0</v>
      </c>
      <c r="AU35" s="16">
        <v>0</v>
      </c>
      <c r="AV35" s="16">
        <v>0</v>
      </c>
      <c r="AW35" s="16">
        <v>1</v>
      </c>
      <c r="AX35" s="16">
        <v>0</v>
      </c>
      <c r="AY35" s="16">
        <v>5</v>
      </c>
      <c r="AZ35" s="16">
        <v>6</v>
      </c>
      <c r="BA35" s="16">
        <v>0</v>
      </c>
      <c r="BB35" s="16">
        <v>0</v>
      </c>
      <c r="BC35" s="16">
        <v>0</v>
      </c>
      <c r="BD35" s="16">
        <v>0</v>
      </c>
      <c r="BE35" s="16">
        <v>0</v>
      </c>
      <c r="BF35" s="16">
        <v>0</v>
      </c>
      <c r="BG35" s="16">
        <v>0</v>
      </c>
      <c r="BH35" s="16">
        <v>0</v>
      </c>
      <c r="BI35" s="16">
        <v>0</v>
      </c>
      <c r="BJ35" s="16">
        <v>0</v>
      </c>
      <c r="BK35" s="16">
        <v>0</v>
      </c>
      <c r="BL35" s="16">
        <v>0</v>
      </c>
      <c r="BM35" s="16">
        <v>0</v>
      </c>
      <c r="BN35" s="16">
        <v>1</v>
      </c>
      <c r="BO35" s="16">
        <v>2</v>
      </c>
      <c r="BP35" s="16">
        <v>0</v>
      </c>
      <c r="BQ35" s="16">
        <v>0</v>
      </c>
      <c r="BR35" s="16">
        <v>0</v>
      </c>
      <c r="BS35" s="16">
        <v>0</v>
      </c>
    </row>
    <row r="36" spans="1:71" ht="18.600000000000001" customHeight="1" x14ac:dyDescent="0.25">
      <c r="A36" s="125" t="s">
        <v>86</v>
      </c>
      <c r="B36" s="4"/>
      <c r="C36" s="47" t="s">
        <v>75</v>
      </c>
      <c r="D36" s="48"/>
      <c r="E36" s="28">
        <f t="shared" si="0"/>
        <v>11969</v>
      </c>
      <c r="F36" s="16">
        <v>73</v>
      </c>
      <c r="G36" s="16">
        <v>94</v>
      </c>
      <c r="H36" s="16">
        <v>31</v>
      </c>
      <c r="I36" s="16">
        <v>3</v>
      </c>
      <c r="J36" s="16">
        <v>3</v>
      </c>
      <c r="K36" s="16">
        <v>45</v>
      </c>
      <c r="L36" s="26">
        <v>3437</v>
      </c>
      <c r="M36" s="26">
        <v>1340</v>
      </c>
      <c r="N36" s="26">
        <v>19</v>
      </c>
      <c r="O36" s="26">
        <v>28</v>
      </c>
      <c r="P36" s="26">
        <v>15</v>
      </c>
      <c r="Q36" s="26">
        <v>0</v>
      </c>
      <c r="R36" s="26">
        <v>70</v>
      </c>
      <c r="S36" s="26">
        <v>38</v>
      </c>
      <c r="T36" s="26">
        <v>3</v>
      </c>
      <c r="U36" s="26">
        <v>42</v>
      </c>
      <c r="V36" s="26">
        <v>208</v>
      </c>
      <c r="W36" s="26">
        <v>15</v>
      </c>
      <c r="X36" s="26">
        <v>5</v>
      </c>
      <c r="Y36" s="26">
        <v>19</v>
      </c>
      <c r="Z36" s="26">
        <v>463</v>
      </c>
      <c r="AA36" s="26">
        <v>14</v>
      </c>
      <c r="AB36" s="26">
        <v>56</v>
      </c>
      <c r="AC36" s="26">
        <v>54</v>
      </c>
      <c r="AD36" s="26">
        <v>1299</v>
      </c>
      <c r="AE36" s="26">
        <v>205</v>
      </c>
      <c r="AF36" s="26">
        <v>0</v>
      </c>
      <c r="AG36" s="26">
        <v>407</v>
      </c>
      <c r="AH36" s="26">
        <v>9</v>
      </c>
      <c r="AI36" s="26">
        <v>2</v>
      </c>
      <c r="AJ36" s="26">
        <v>108</v>
      </c>
      <c r="AK36" s="125" t="s">
        <v>86</v>
      </c>
      <c r="AL36" s="4"/>
      <c r="AM36" s="47" t="s">
        <v>75</v>
      </c>
      <c r="AN36" s="48"/>
      <c r="AO36" s="16">
        <v>1</v>
      </c>
      <c r="AP36" s="16">
        <v>0</v>
      </c>
      <c r="AQ36" s="16">
        <v>67</v>
      </c>
      <c r="AR36" s="16">
        <v>18</v>
      </c>
      <c r="AS36" s="16">
        <v>3</v>
      </c>
      <c r="AT36" s="16">
        <v>0</v>
      </c>
      <c r="AU36" s="16">
        <f>14+1+0</f>
        <v>15</v>
      </c>
      <c r="AV36" s="16">
        <v>24</v>
      </c>
      <c r="AW36" s="16">
        <v>16</v>
      </c>
      <c r="AX36" s="16">
        <v>11</v>
      </c>
      <c r="AY36" s="16">
        <v>865</v>
      </c>
      <c r="AZ36" s="16">
        <v>444</v>
      </c>
      <c r="BA36" s="16">
        <v>18</v>
      </c>
      <c r="BB36" s="16">
        <v>70</v>
      </c>
      <c r="BC36" s="16">
        <v>8</v>
      </c>
      <c r="BD36" s="16">
        <f>36+144+18</f>
        <v>198</v>
      </c>
      <c r="BE36" s="16">
        <v>31</v>
      </c>
      <c r="BF36" s="16">
        <v>13</v>
      </c>
      <c r="BG36" s="16">
        <v>0</v>
      </c>
      <c r="BH36" s="16">
        <v>0</v>
      </c>
      <c r="BI36" s="16">
        <v>96</v>
      </c>
      <c r="BJ36" s="16">
        <v>32</v>
      </c>
      <c r="BK36" s="16">
        <v>14</v>
      </c>
      <c r="BL36" s="16">
        <v>11</v>
      </c>
      <c r="BM36" s="16">
        <f>1+187+2</f>
        <v>190</v>
      </c>
      <c r="BN36" s="16">
        <v>903</v>
      </c>
      <c r="BO36" s="16">
        <v>386</v>
      </c>
      <c r="BP36" s="16">
        <v>413</v>
      </c>
      <c r="BQ36" s="16">
        <v>0</v>
      </c>
      <c r="BR36" s="16">
        <v>0</v>
      </c>
      <c r="BS36" s="16">
        <v>17</v>
      </c>
    </row>
    <row r="37" spans="1:71" ht="18.600000000000001" customHeight="1" x14ac:dyDescent="0.25">
      <c r="A37" s="125"/>
      <c r="B37" s="4"/>
      <c r="C37" s="47" t="s">
        <v>76</v>
      </c>
      <c r="D37" s="48"/>
      <c r="E37" s="28">
        <f t="shared" si="0"/>
        <v>29</v>
      </c>
      <c r="F37" s="26">
        <v>0</v>
      </c>
      <c r="G37" s="26">
        <v>0</v>
      </c>
      <c r="H37" s="26">
        <v>0</v>
      </c>
      <c r="I37" s="26">
        <v>0</v>
      </c>
      <c r="J37" s="26">
        <v>0</v>
      </c>
      <c r="K37" s="26">
        <v>0</v>
      </c>
      <c r="L37" s="26">
        <v>0</v>
      </c>
      <c r="M37" s="26">
        <v>2</v>
      </c>
      <c r="N37" s="26">
        <v>0</v>
      </c>
      <c r="O37" s="26">
        <v>0</v>
      </c>
      <c r="P37" s="26">
        <v>0</v>
      </c>
      <c r="Q37" s="26">
        <v>0</v>
      </c>
      <c r="R37" s="26">
        <v>2</v>
      </c>
      <c r="S37" s="26">
        <v>0</v>
      </c>
      <c r="T37" s="26">
        <v>0</v>
      </c>
      <c r="U37" s="26">
        <v>0</v>
      </c>
      <c r="V37" s="26">
        <v>2</v>
      </c>
      <c r="W37" s="26">
        <v>0</v>
      </c>
      <c r="X37" s="26">
        <v>0</v>
      </c>
      <c r="Y37" s="26">
        <v>0</v>
      </c>
      <c r="Z37" s="26">
        <v>0</v>
      </c>
      <c r="AA37" s="26">
        <v>0</v>
      </c>
      <c r="AB37" s="26">
        <v>3</v>
      </c>
      <c r="AC37" s="26">
        <v>1</v>
      </c>
      <c r="AD37" s="26">
        <v>1</v>
      </c>
      <c r="AE37" s="26">
        <v>3</v>
      </c>
      <c r="AF37" s="26">
        <v>0</v>
      </c>
      <c r="AG37" s="26">
        <v>0</v>
      </c>
      <c r="AH37" s="26">
        <v>0</v>
      </c>
      <c r="AI37" s="26">
        <v>0</v>
      </c>
      <c r="AJ37" s="26">
        <v>0</v>
      </c>
      <c r="AK37" s="125"/>
      <c r="AL37" s="4"/>
      <c r="AM37" s="47" t="s">
        <v>76</v>
      </c>
      <c r="AN37" s="48"/>
      <c r="AO37" s="16">
        <v>0</v>
      </c>
      <c r="AP37" s="16">
        <v>0</v>
      </c>
      <c r="AQ37" s="16">
        <v>6</v>
      </c>
      <c r="AR37" s="16">
        <v>0</v>
      </c>
      <c r="AS37" s="16">
        <v>0</v>
      </c>
      <c r="AT37" s="16">
        <v>0</v>
      </c>
      <c r="AU37" s="16">
        <v>0</v>
      </c>
      <c r="AV37" s="16">
        <v>1</v>
      </c>
      <c r="AW37" s="16">
        <v>1</v>
      </c>
      <c r="AX37" s="16">
        <v>0</v>
      </c>
      <c r="AY37" s="16">
        <v>0</v>
      </c>
      <c r="AZ37" s="16">
        <v>2</v>
      </c>
      <c r="BA37" s="16">
        <v>0</v>
      </c>
      <c r="BB37" s="16">
        <v>0</v>
      </c>
      <c r="BC37" s="16">
        <v>0</v>
      </c>
      <c r="BD37" s="16">
        <v>1</v>
      </c>
      <c r="BE37" s="16">
        <v>0</v>
      </c>
      <c r="BF37" s="16">
        <v>0</v>
      </c>
      <c r="BG37" s="16">
        <v>0</v>
      </c>
      <c r="BH37" s="16">
        <v>0</v>
      </c>
      <c r="BI37" s="16">
        <v>1</v>
      </c>
      <c r="BJ37" s="16">
        <v>0</v>
      </c>
      <c r="BK37" s="16">
        <v>0</v>
      </c>
      <c r="BL37" s="16">
        <v>0</v>
      </c>
      <c r="BM37" s="16">
        <f>0+0+2</f>
        <v>2</v>
      </c>
      <c r="BN37" s="16">
        <v>0</v>
      </c>
      <c r="BO37" s="16">
        <v>1</v>
      </c>
      <c r="BP37" s="16">
        <v>0</v>
      </c>
      <c r="BQ37" s="16">
        <v>0</v>
      </c>
      <c r="BR37" s="16">
        <v>0</v>
      </c>
      <c r="BS37" s="16">
        <v>0</v>
      </c>
    </row>
    <row r="38" spans="1:71" ht="18.600000000000001" customHeight="1" x14ac:dyDescent="0.25">
      <c r="A38" s="125" t="s">
        <v>87</v>
      </c>
      <c r="B38" s="4"/>
      <c r="C38" s="47" t="s">
        <v>75</v>
      </c>
      <c r="D38" s="48"/>
      <c r="E38" s="28">
        <f t="shared" si="0"/>
        <v>17623</v>
      </c>
      <c r="F38" s="16">
        <v>54</v>
      </c>
      <c r="G38" s="16">
        <v>24</v>
      </c>
      <c r="H38" s="16">
        <v>15</v>
      </c>
      <c r="I38" s="16">
        <v>0</v>
      </c>
      <c r="J38" s="16">
        <v>4</v>
      </c>
      <c r="K38" s="16">
        <v>12</v>
      </c>
      <c r="L38" s="26">
        <v>2809</v>
      </c>
      <c r="M38" s="26">
        <v>3103</v>
      </c>
      <c r="N38" s="26">
        <v>142</v>
      </c>
      <c r="O38" s="26">
        <v>66</v>
      </c>
      <c r="P38" s="26">
        <v>41</v>
      </c>
      <c r="Q38" s="26">
        <v>0</v>
      </c>
      <c r="R38" s="26">
        <v>56</v>
      </c>
      <c r="S38" s="26">
        <v>145</v>
      </c>
      <c r="T38" s="26">
        <v>7</v>
      </c>
      <c r="U38" s="26">
        <v>97</v>
      </c>
      <c r="V38" s="26">
        <v>265</v>
      </c>
      <c r="W38" s="26">
        <v>29</v>
      </c>
      <c r="X38" s="26">
        <v>8</v>
      </c>
      <c r="Y38" s="26">
        <v>69</v>
      </c>
      <c r="Z38" s="26">
        <v>768</v>
      </c>
      <c r="AA38" s="26">
        <v>150</v>
      </c>
      <c r="AB38" s="26">
        <v>109</v>
      </c>
      <c r="AC38" s="26">
        <v>121</v>
      </c>
      <c r="AD38" s="26">
        <v>812</v>
      </c>
      <c r="AE38" s="26">
        <v>328</v>
      </c>
      <c r="AF38" s="26">
        <v>0</v>
      </c>
      <c r="AG38" s="26">
        <v>714</v>
      </c>
      <c r="AH38" s="26">
        <v>9</v>
      </c>
      <c r="AI38" s="26">
        <v>1</v>
      </c>
      <c r="AJ38" s="26">
        <v>139</v>
      </c>
      <c r="AK38" s="125" t="s">
        <v>87</v>
      </c>
      <c r="AL38" s="4"/>
      <c r="AM38" s="47" t="s">
        <v>75</v>
      </c>
      <c r="AN38" s="48"/>
      <c r="AO38" s="16">
        <v>6</v>
      </c>
      <c r="AP38" s="16">
        <v>0</v>
      </c>
      <c r="AQ38" s="16">
        <v>257</v>
      </c>
      <c r="AR38" s="16">
        <v>59</v>
      </c>
      <c r="AS38" s="16">
        <v>1</v>
      </c>
      <c r="AT38" s="16">
        <v>0</v>
      </c>
      <c r="AU38" s="16">
        <v>116</v>
      </c>
      <c r="AV38" s="16">
        <v>114</v>
      </c>
      <c r="AW38" s="16">
        <v>142</v>
      </c>
      <c r="AX38" s="16">
        <v>25</v>
      </c>
      <c r="AY38" s="16">
        <v>489</v>
      </c>
      <c r="AZ38" s="16">
        <v>548</v>
      </c>
      <c r="BA38" s="16">
        <v>15</v>
      </c>
      <c r="BB38" s="16">
        <v>63</v>
      </c>
      <c r="BC38" s="16">
        <v>12</v>
      </c>
      <c r="BD38" s="16">
        <v>5</v>
      </c>
      <c r="BE38" s="16">
        <v>0</v>
      </c>
      <c r="BF38" s="16">
        <v>15</v>
      </c>
      <c r="BG38" s="16">
        <v>0</v>
      </c>
      <c r="BH38" s="16">
        <v>0</v>
      </c>
      <c r="BI38" s="16">
        <v>60</v>
      </c>
      <c r="BJ38" s="16">
        <v>68</v>
      </c>
      <c r="BK38" s="16">
        <v>70</v>
      </c>
      <c r="BL38" s="16">
        <v>2</v>
      </c>
      <c r="BM38" s="16">
        <v>1</v>
      </c>
      <c r="BN38" s="16">
        <v>4508</v>
      </c>
      <c r="BO38" s="16">
        <v>590</v>
      </c>
      <c r="BP38" s="16">
        <v>328</v>
      </c>
      <c r="BQ38" s="16">
        <v>0</v>
      </c>
      <c r="BR38" s="16">
        <v>0</v>
      </c>
      <c r="BS38" s="16">
        <v>32</v>
      </c>
    </row>
    <row r="39" spans="1:71" ht="18.600000000000001" customHeight="1" x14ac:dyDescent="0.25">
      <c r="A39" s="125"/>
      <c r="B39" s="4"/>
      <c r="C39" s="47" t="s">
        <v>76</v>
      </c>
      <c r="D39" s="48"/>
      <c r="E39" s="28">
        <f t="shared" si="0"/>
        <v>38</v>
      </c>
      <c r="F39" s="26">
        <v>0</v>
      </c>
      <c r="G39" s="26">
        <v>0</v>
      </c>
      <c r="H39" s="26">
        <v>0</v>
      </c>
      <c r="I39" s="26">
        <v>0</v>
      </c>
      <c r="J39" s="26">
        <v>0</v>
      </c>
      <c r="K39" s="26">
        <v>0</v>
      </c>
      <c r="L39" s="26">
        <v>1</v>
      </c>
      <c r="M39" s="26">
        <v>2</v>
      </c>
      <c r="N39" s="26">
        <v>0</v>
      </c>
      <c r="O39" s="26">
        <v>0</v>
      </c>
      <c r="P39" s="26">
        <v>0</v>
      </c>
      <c r="Q39" s="26">
        <v>0</v>
      </c>
      <c r="R39" s="26">
        <v>0</v>
      </c>
      <c r="S39" s="26">
        <v>0</v>
      </c>
      <c r="T39" s="26">
        <v>0</v>
      </c>
      <c r="U39" s="26">
        <v>0</v>
      </c>
      <c r="V39" s="26">
        <v>2</v>
      </c>
      <c r="W39" s="26">
        <v>0</v>
      </c>
      <c r="X39" s="26">
        <v>0</v>
      </c>
      <c r="Y39" s="26">
        <v>0</v>
      </c>
      <c r="Z39" s="26">
        <v>1</v>
      </c>
      <c r="AA39" s="26">
        <v>3</v>
      </c>
      <c r="AB39" s="26">
        <v>0</v>
      </c>
      <c r="AC39" s="26">
        <v>0</v>
      </c>
      <c r="AD39" s="26">
        <v>4</v>
      </c>
      <c r="AE39" s="26">
        <v>0</v>
      </c>
      <c r="AF39" s="26">
        <v>0</v>
      </c>
      <c r="AG39" s="26">
        <v>7</v>
      </c>
      <c r="AH39" s="26">
        <v>0</v>
      </c>
      <c r="AI39" s="26">
        <v>0</v>
      </c>
      <c r="AJ39" s="26">
        <v>0</v>
      </c>
      <c r="AK39" s="125"/>
      <c r="AL39" s="4"/>
      <c r="AM39" s="47" t="s">
        <v>76</v>
      </c>
      <c r="AN39" s="48"/>
      <c r="AO39" s="16">
        <v>0</v>
      </c>
      <c r="AP39" s="16">
        <v>0</v>
      </c>
      <c r="AQ39" s="16">
        <v>2</v>
      </c>
      <c r="AR39" s="16">
        <v>2</v>
      </c>
      <c r="AS39" s="16">
        <v>0</v>
      </c>
      <c r="AT39" s="16">
        <v>0</v>
      </c>
      <c r="AU39" s="16">
        <v>0</v>
      </c>
      <c r="AV39" s="16">
        <v>1</v>
      </c>
      <c r="AW39" s="16">
        <v>2</v>
      </c>
      <c r="AX39" s="16">
        <v>0</v>
      </c>
      <c r="AY39" s="16">
        <v>1</v>
      </c>
      <c r="AZ39" s="16">
        <v>0</v>
      </c>
      <c r="BA39" s="16">
        <v>0</v>
      </c>
      <c r="BB39" s="16">
        <v>0</v>
      </c>
      <c r="BC39" s="16">
        <v>0</v>
      </c>
      <c r="BD39" s="16">
        <v>0</v>
      </c>
      <c r="BE39" s="16">
        <v>0</v>
      </c>
      <c r="BF39" s="16">
        <v>0</v>
      </c>
      <c r="BG39" s="16">
        <v>0</v>
      </c>
      <c r="BH39" s="16">
        <v>0</v>
      </c>
      <c r="BI39" s="16">
        <v>0</v>
      </c>
      <c r="BJ39" s="16">
        <v>2</v>
      </c>
      <c r="BK39" s="16">
        <v>2</v>
      </c>
      <c r="BL39" s="16">
        <v>2</v>
      </c>
      <c r="BM39" s="16">
        <v>0</v>
      </c>
      <c r="BN39" s="16">
        <v>2</v>
      </c>
      <c r="BO39" s="16">
        <v>2</v>
      </c>
      <c r="BP39" s="16">
        <v>0</v>
      </c>
      <c r="BQ39" s="16">
        <v>0</v>
      </c>
      <c r="BR39" s="16">
        <v>0</v>
      </c>
      <c r="BS39" s="16">
        <v>0</v>
      </c>
    </row>
    <row r="40" spans="1:71" ht="18.600000000000001" customHeight="1" x14ac:dyDescent="0.25">
      <c r="A40" s="125" t="s">
        <v>88</v>
      </c>
      <c r="C40" s="47" t="s">
        <v>75</v>
      </c>
      <c r="D40" s="48"/>
      <c r="E40" s="28">
        <f t="shared" si="0"/>
        <v>12328</v>
      </c>
      <c r="F40" s="16">
        <v>8</v>
      </c>
      <c r="G40" s="16">
        <v>0</v>
      </c>
      <c r="H40" s="16">
        <v>0</v>
      </c>
      <c r="I40" s="16">
        <v>0</v>
      </c>
      <c r="J40" s="16">
        <v>3</v>
      </c>
      <c r="K40" s="16">
        <v>0</v>
      </c>
      <c r="L40" s="26">
        <v>5281</v>
      </c>
      <c r="M40" s="26">
        <v>2963</v>
      </c>
      <c r="N40" s="26">
        <v>104</v>
      </c>
      <c r="O40" s="26">
        <v>68</v>
      </c>
      <c r="P40" s="26">
        <v>55</v>
      </c>
      <c r="Q40" s="26">
        <v>0</v>
      </c>
      <c r="R40" s="26">
        <v>111</v>
      </c>
      <c r="S40" s="26">
        <v>55</v>
      </c>
      <c r="T40" s="26">
        <v>5</v>
      </c>
      <c r="U40" s="26">
        <v>56</v>
      </c>
      <c r="V40" s="26">
        <v>185</v>
      </c>
      <c r="W40" s="26">
        <v>10</v>
      </c>
      <c r="X40" s="26">
        <v>2</v>
      </c>
      <c r="Y40" s="26">
        <v>69</v>
      </c>
      <c r="Z40" s="26">
        <v>61</v>
      </c>
      <c r="AA40" s="26">
        <v>55</v>
      </c>
      <c r="AB40" s="26">
        <v>87</v>
      </c>
      <c r="AC40" s="26">
        <v>59</v>
      </c>
      <c r="AD40" s="26">
        <v>283</v>
      </c>
      <c r="AE40" s="26">
        <v>79</v>
      </c>
      <c r="AF40" s="26">
        <v>0</v>
      </c>
      <c r="AG40" s="26">
        <v>725</v>
      </c>
      <c r="AH40" s="26">
        <v>5</v>
      </c>
      <c r="AI40" s="26">
        <v>0</v>
      </c>
      <c r="AJ40" s="26">
        <v>96</v>
      </c>
      <c r="AK40" s="125" t="s">
        <v>88</v>
      </c>
      <c r="AM40" s="47" t="s">
        <v>75</v>
      </c>
      <c r="AN40" s="48"/>
      <c r="AO40" s="16">
        <v>2</v>
      </c>
      <c r="AP40" s="16">
        <v>0</v>
      </c>
      <c r="AQ40" s="16">
        <v>127</v>
      </c>
      <c r="AR40" s="16">
        <v>43</v>
      </c>
      <c r="AS40" s="16">
        <v>0</v>
      </c>
      <c r="AT40" s="16">
        <v>0</v>
      </c>
      <c r="AU40" s="16">
        <v>6</v>
      </c>
      <c r="AV40" s="16">
        <v>17</v>
      </c>
      <c r="AW40" s="16">
        <v>73</v>
      </c>
      <c r="AX40" s="16">
        <v>2</v>
      </c>
      <c r="AY40" s="16">
        <v>93</v>
      </c>
      <c r="AZ40" s="16">
        <v>285</v>
      </c>
      <c r="BA40" s="16">
        <v>21</v>
      </c>
      <c r="BB40" s="16">
        <v>33</v>
      </c>
      <c r="BC40" s="16">
        <v>2</v>
      </c>
      <c r="BD40" s="16">
        <v>1</v>
      </c>
      <c r="BE40" s="16">
        <v>0</v>
      </c>
      <c r="BF40" s="16">
        <v>13</v>
      </c>
      <c r="BG40" s="16">
        <v>0</v>
      </c>
      <c r="BH40" s="16">
        <v>0</v>
      </c>
      <c r="BI40" s="16">
        <v>71</v>
      </c>
      <c r="BJ40" s="16">
        <v>78</v>
      </c>
      <c r="BK40" s="16">
        <v>19</v>
      </c>
      <c r="BL40" s="16">
        <v>1</v>
      </c>
      <c r="BM40" s="16">
        <f>3+7+0</f>
        <v>10</v>
      </c>
      <c r="BN40" s="16">
        <v>510</v>
      </c>
      <c r="BO40" s="16">
        <v>219</v>
      </c>
      <c r="BP40" s="16">
        <v>246</v>
      </c>
      <c r="BQ40" s="16">
        <v>0</v>
      </c>
      <c r="BR40" s="16">
        <v>0</v>
      </c>
      <c r="BS40" s="16">
        <f>27+4+0</f>
        <v>31</v>
      </c>
    </row>
    <row r="41" spans="1:71" ht="18.600000000000001" customHeight="1" x14ac:dyDescent="0.25">
      <c r="A41" s="125"/>
      <c r="C41" s="47" t="s">
        <v>76</v>
      </c>
      <c r="D41" s="48"/>
      <c r="E41" s="28">
        <f t="shared" si="0"/>
        <v>47</v>
      </c>
      <c r="F41" s="26">
        <v>0</v>
      </c>
      <c r="G41" s="26">
        <v>0</v>
      </c>
      <c r="H41" s="26">
        <v>0</v>
      </c>
      <c r="I41" s="26">
        <v>0</v>
      </c>
      <c r="J41" s="26">
        <v>0</v>
      </c>
      <c r="K41" s="26">
        <v>0</v>
      </c>
      <c r="L41" s="26">
        <v>1</v>
      </c>
      <c r="M41" s="26">
        <v>2</v>
      </c>
      <c r="N41" s="26">
        <v>0</v>
      </c>
      <c r="O41" s="26">
        <v>0</v>
      </c>
      <c r="P41" s="26">
        <v>0</v>
      </c>
      <c r="Q41" s="26">
        <v>0</v>
      </c>
      <c r="R41" s="26">
        <v>0</v>
      </c>
      <c r="S41" s="26">
        <v>0</v>
      </c>
      <c r="T41" s="26">
        <v>0</v>
      </c>
      <c r="U41" s="26">
        <v>0</v>
      </c>
      <c r="V41" s="26">
        <v>0</v>
      </c>
      <c r="W41" s="26">
        <v>0</v>
      </c>
      <c r="X41" s="26">
        <v>0</v>
      </c>
      <c r="Y41" s="26">
        <v>0</v>
      </c>
      <c r="Z41" s="26">
        <v>0</v>
      </c>
      <c r="AA41" s="26">
        <v>0</v>
      </c>
      <c r="AB41" s="26">
        <v>0</v>
      </c>
      <c r="AC41" s="26">
        <v>0</v>
      </c>
      <c r="AD41" s="26">
        <v>1</v>
      </c>
      <c r="AE41" s="26">
        <v>2</v>
      </c>
      <c r="AF41" s="26">
        <v>0</v>
      </c>
      <c r="AG41" s="26">
        <v>15</v>
      </c>
      <c r="AH41" s="26">
        <v>0</v>
      </c>
      <c r="AI41" s="26">
        <v>0</v>
      </c>
      <c r="AJ41" s="26">
        <v>0</v>
      </c>
      <c r="AK41" s="125"/>
      <c r="AM41" s="47" t="s">
        <v>76</v>
      </c>
      <c r="AN41" s="48"/>
      <c r="AO41" s="16">
        <v>0</v>
      </c>
      <c r="AP41" s="16">
        <v>0</v>
      </c>
      <c r="AQ41" s="16">
        <v>0</v>
      </c>
      <c r="AR41" s="16">
        <v>1</v>
      </c>
      <c r="AS41" s="16">
        <v>0</v>
      </c>
      <c r="AT41" s="16">
        <v>0</v>
      </c>
      <c r="AU41" s="16">
        <v>0</v>
      </c>
      <c r="AV41" s="16">
        <v>0</v>
      </c>
      <c r="AW41" s="16">
        <v>9</v>
      </c>
      <c r="AX41" s="16">
        <v>0</v>
      </c>
      <c r="AY41" s="16">
        <v>5</v>
      </c>
      <c r="AZ41" s="16">
        <v>0</v>
      </c>
      <c r="BA41" s="16">
        <v>0</v>
      </c>
      <c r="BB41" s="16">
        <v>0</v>
      </c>
      <c r="BC41" s="16">
        <v>0</v>
      </c>
      <c r="BD41" s="16">
        <v>0</v>
      </c>
      <c r="BE41" s="16">
        <v>0</v>
      </c>
      <c r="BF41" s="16">
        <v>0</v>
      </c>
      <c r="BG41" s="16">
        <v>0</v>
      </c>
      <c r="BH41" s="16">
        <v>0</v>
      </c>
      <c r="BI41" s="16">
        <v>1</v>
      </c>
      <c r="BJ41" s="16">
        <v>1</v>
      </c>
      <c r="BK41" s="16">
        <v>0</v>
      </c>
      <c r="BL41" s="16">
        <v>0</v>
      </c>
      <c r="BM41" s="16">
        <v>0</v>
      </c>
      <c r="BN41" s="16">
        <v>1</v>
      </c>
      <c r="BO41" s="16">
        <v>3</v>
      </c>
      <c r="BP41" s="16">
        <v>0</v>
      </c>
      <c r="BQ41" s="16">
        <v>0</v>
      </c>
      <c r="BR41" s="16">
        <v>0</v>
      </c>
      <c r="BS41" s="16">
        <f>2+3+0</f>
        <v>5</v>
      </c>
    </row>
    <row r="42" spans="1:71" ht="18.600000000000001" customHeight="1" x14ac:dyDescent="0.25">
      <c r="A42" s="125" t="s">
        <v>89</v>
      </c>
      <c r="B42" s="4"/>
      <c r="C42" s="47" t="s">
        <v>75</v>
      </c>
      <c r="D42" s="48"/>
      <c r="E42" s="28">
        <f t="shared" si="0"/>
        <v>11098</v>
      </c>
      <c r="F42" s="16">
        <v>12</v>
      </c>
      <c r="G42" s="16">
        <v>3</v>
      </c>
      <c r="H42" s="16">
        <v>1</v>
      </c>
      <c r="I42" s="16">
        <v>3</v>
      </c>
      <c r="J42" s="16">
        <v>1</v>
      </c>
      <c r="K42" s="16">
        <v>2</v>
      </c>
      <c r="L42" s="26">
        <v>3391</v>
      </c>
      <c r="M42" s="26">
        <v>2193</v>
      </c>
      <c r="N42" s="26">
        <v>137</v>
      </c>
      <c r="O42" s="26">
        <v>34</v>
      </c>
      <c r="P42" s="26">
        <v>14</v>
      </c>
      <c r="Q42" s="26">
        <v>0</v>
      </c>
      <c r="R42" s="26">
        <v>43</v>
      </c>
      <c r="S42" s="26">
        <v>171</v>
      </c>
      <c r="T42" s="26">
        <v>13</v>
      </c>
      <c r="U42" s="26">
        <v>52</v>
      </c>
      <c r="V42" s="26">
        <v>340</v>
      </c>
      <c r="W42" s="26">
        <v>13</v>
      </c>
      <c r="X42" s="26">
        <v>27</v>
      </c>
      <c r="Y42" s="26">
        <v>39</v>
      </c>
      <c r="Z42" s="26">
        <v>897</v>
      </c>
      <c r="AA42" s="26">
        <v>152</v>
      </c>
      <c r="AB42" s="26">
        <v>33</v>
      </c>
      <c r="AC42" s="26">
        <v>105</v>
      </c>
      <c r="AD42" s="26">
        <v>702</v>
      </c>
      <c r="AE42" s="26">
        <v>163</v>
      </c>
      <c r="AF42" s="26">
        <v>0</v>
      </c>
      <c r="AG42" s="26">
        <v>395</v>
      </c>
      <c r="AH42" s="26">
        <v>108</v>
      </c>
      <c r="AI42" s="26">
        <v>0</v>
      </c>
      <c r="AJ42" s="26">
        <v>116</v>
      </c>
      <c r="AK42" s="125" t="s">
        <v>89</v>
      </c>
      <c r="AL42" s="4"/>
      <c r="AM42" s="47" t="s">
        <v>75</v>
      </c>
      <c r="AN42" s="48"/>
      <c r="AO42" s="16">
        <v>17</v>
      </c>
      <c r="AP42" s="16">
        <v>0</v>
      </c>
      <c r="AQ42" s="16">
        <v>77</v>
      </c>
      <c r="AR42" s="16">
        <v>52</v>
      </c>
      <c r="AS42" s="16">
        <v>0</v>
      </c>
      <c r="AT42" s="16">
        <v>0</v>
      </c>
      <c r="AU42" s="16">
        <v>13</v>
      </c>
      <c r="AV42" s="16">
        <v>1</v>
      </c>
      <c r="AW42" s="16">
        <v>40</v>
      </c>
      <c r="AX42" s="16">
        <v>43</v>
      </c>
      <c r="AY42" s="16">
        <v>321</v>
      </c>
      <c r="AZ42" s="16">
        <v>36</v>
      </c>
      <c r="BA42" s="16">
        <v>28</v>
      </c>
      <c r="BB42" s="16">
        <v>29</v>
      </c>
      <c r="BC42" s="16">
        <v>4</v>
      </c>
      <c r="BD42" s="16">
        <f>67+3+0</f>
        <v>70</v>
      </c>
      <c r="BE42" s="16">
        <v>136</v>
      </c>
      <c r="BF42" s="16">
        <v>26</v>
      </c>
      <c r="BG42" s="16">
        <v>0</v>
      </c>
      <c r="BH42" s="16">
        <v>0</v>
      </c>
      <c r="BI42" s="16">
        <v>35</v>
      </c>
      <c r="BJ42" s="16">
        <v>71</v>
      </c>
      <c r="BK42" s="16">
        <v>106</v>
      </c>
      <c r="BL42" s="16">
        <v>14</v>
      </c>
      <c r="BM42" s="16">
        <v>0</v>
      </c>
      <c r="BN42" s="16">
        <v>238</v>
      </c>
      <c r="BO42" s="16">
        <v>115</v>
      </c>
      <c r="BP42" s="16">
        <v>414</v>
      </c>
      <c r="BQ42" s="16">
        <v>0</v>
      </c>
      <c r="BR42" s="16">
        <v>0</v>
      </c>
      <c r="BS42" s="16">
        <v>52</v>
      </c>
    </row>
    <row r="43" spans="1:71" ht="18.600000000000001" customHeight="1" x14ac:dyDescent="0.25">
      <c r="A43" s="125"/>
      <c r="B43" s="4"/>
      <c r="C43" s="47" t="s">
        <v>76</v>
      </c>
      <c r="D43" s="48"/>
      <c r="E43" s="28">
        <f t="shared" si="0"/>
        <v>29</v>
      </c>
      <c r="F43" s="26">
        <v>0</v>
      </c>
      <c r="G43" s="26">
        <v>0</v>
      </c>
      <c r="H43" s="26">
        <v>0</v>
      </c>
      <c r="I43" s="26">
        <v>0</v>
      </c>
      <c r="J43" s="26">
        <v>0</v>
      </c>
      <c r="K43" s="26">
        <v>0</v>
      </c>
      <c r="L43" s="26">
        <v>5</v>
      </c>
      <c r="M43" s="26">
        <v>0</v>
      </c>
      <c r="N43" s="26">
        <v>0</v>
      </c>
      <c r="O43" s="26">
        <v>0</v>
      </c>
      <c r="P43" s="26">
        <v>0</v>
      </c>
      <c r="Q43" s="26">
        <v>0</v>
      </c>
      <c r="R43" s="26">
        <v>0</v>
      </c>
      <c r="S43" s="26">
        <v>0</v>
      </c>
      <c r="T43" s="26">
        <v>0</v>
      </c>
      <c r="U43" s="26">
        <v>0</v>
      </c>
      <c r="V43" s="26">
        <v>0</v>
      </c>
      <c r="W43" s="26">
        <v>0</v>
      </c>
      <c r="X43" s="26">
        <v>0</v>
      </c>
      <c r="Y43" s="26">
        <v>1</v>
      </c>
      <c r="Z43" s="26">
        <v>0</v>
      </c>
      <c r="AA43" s="26">
        <v>0</v>
      </c>
      <c r="AB43" s="26">
        <v>2</v>
      </c>
      <c r="AC43" s="26">
        <v>1</v>
      </c>
      <c r="AD43" s="26">
        <v>0</v>
      </c>
      <c r="AE43" s="26">
        <v>0</v>
      </c>
      <c r="AF43" s="26">
        <v>0</v>
      </c>
      <c r="AG43" s="26">
        <v>16</v>
      </c>
      <c r="AH43" s="26">
        <v>0</v>
      </c>
      <c r="AI43" s="26">
        <v>0</v>
      </c>
      <c r="AJ43" s="26">
        <v>1</v>
      </c>
      <c r="AK43" s="125"/>
      <c r="AL43" s="4"/>
      <c r="AM43" s="47" t="s">
        <v>76</v>
      </c>
      <c r="AN43" s="48"/>
      <c r="AO43" s="16">
        <v>0</v>
      </c>
      <c r="AP43" s="16">
        <v>0</v>
      </c>
      <c r="AQ43" s="16">
        <v>1</v>
      </c>
      <c r="AR43" s="16">
        <v>0</v>
      </c>
      <c r="AS43" s="16">
        <v>0</v>
      </c>
      <c r="AT43" s="16">
        <v>0</v>
      </c>
      <c r="AU43" s="16">
        <v>0</v>
      </c>
      <c r="AV43" s="16">
        <v>0</v>
      </c>
      <c r="AW43" s="16">
        <v>0</v>
      </c>
      <c r="AX43" s="16">
        <v>0</v>
      </c>
      <c r="AY43" s="16">
        <v>1</v>
      </c>
      <c r="AZ43" s="16">
        <v>0</v>
      </c>
      <c r="BA43" s="16">
        <v>0</v>
      </c>
      <c r="BB43" s="16">
        <v>0</v>
      </c>
      <c r="BC43" s="16">
        <v>0</v>
      </c>
      <c r="BD43" s="16">
        <v>0</v>
      </c>
      <c r="BE43" s="16">
        <v>0</v>
      </c>
      <c r="BF43" s="16">
        <v>0</v>
      </c>
      <c r="BG43" s="16">
        <v>0</v>
      </c>
      <c r="BH43" s="16">
        <v>0</v>
      </c>
      <c r="BI43" s="16">
        <v>0</v>
      </c>
      <c r="BJ43" s="16">
        <v>0</v>
      </c>
      <c r="BK43" s="16">
        <v>0</v>
      </c>
      <c r="BL43" s="16">
        <v>0</v>
      </c>
      <c r="BM43" s="16">
        <v>0</v>
      </c>
      <c r="BN43" s="16">
        <v>1</v>
      </c>
      <c r="BO43" s="16">
        <v>0</v>
      </c>
      <c r="BP43" s="16">
        <v>0</v>
      </c>
      <c r="BQ43" s="16">
        <v>0</v>
      </c>
      <c r="BR43" s="16">
        <v>0</v>
      </c>
      <c r="BS43" s="16">
        <v>0</v>
      </c>
    </row>
    <row r="44" spans="1:71" ht="18.600000000000001" customHeight="1" x14ac:dyDescent="0.25">
      <c r="A44" s="125" t="s">
        <v>90</v>
      </c>
      <c r="B44" s="4"/>
      <c r="C44" s="47" t="s">
        <v>75</v>
      </c>
      <c r="D44" s="48"/>
      <c r="E44" s="28">
        <f t="shared" si="0"/>
        <v>11413</v>
      </c>
      <c r="F44" s="16">
        <v>66</v>
      </c>
      <c r="G44" s="16">
        <v>31</v>
      </c>
      <c r="H44" s="16">
        <v>7</v>
      </c>
      <c r="I44" s="16">
        <v>0</v>
      </c>
      <c r="J44" s="16">
        <v>0</v>
      </c>
      <c r="K44" s="16">
        <v>12</v>
      </c>
      <c r="L44" s="26">
        <v>5798</v>
      </c>
      <c r="M44" s="26">
        <v>1761</v>
      </c>
      <c r="N44" s="26">
        <v>322</v>
      </c>
      <c r="O44" s="26">
        <v>77</v>
      </c>
      <c r="P44" s="26">
        <v>46</v>
      </c>
      <c r="Q44" s="26">
        <v>0</v>
      </c>
      <c r="R44" s="26">
        <v>66</v>
      </c>
      <c r="S44" s="26">
        <v>57</v>
      </c>
      <c r="T44" s="26">
        <v>0</v>
      </c>
      <c r="U44" s="26">
        <v>47</v>
      </c>
      <c r="V44" s="26">
        <v>101</v>
      </c>
      <c r="W44" s="26">
        <v>33</v>
      </c>
      <c r="X44" s="26">
        <v>1</v>
      </c>
      <c r="Y44" s="26">
        <v>10</v>
      </c>
      <c r="Z44" s="26">
        <v>234</v>
      </c>
      <c r="AA44" s="26">
        <v>61</v>
      </c>
      <c r="AB44" s="26">
        <v>35</v>
      </c>
      <c r="AC44" s="26">
        <v>48</v>
      </c>
      <c r="AD44" s="26">
        <v>428</v>
      </c>
      <c r="AE44" s="26">
        <v>124</v>
      </c>
      <c r="AF44" s="26">
        <v>0</v>
      </c>
      <c r="AG44" s="26">
        <v>442</v>
      </c>
      <c r="AH44" s="26">
        <v>0</v>
      </c>
      <c r="AI44" s="26">
        <v>0</v>
      </c>
      <c r="AJ44" s="26">
        <v>56</v>
      </c>
      <c r="AK44" s="125" t="s">
        <v>90</v>
      </c>
      <c r="AL44" s="4"/>
      <c r="AM44" s="47" t="s">
        <v>75</v>
      </c>
      <c r="AN44" s="48"/>
      <c r="AO44" s="16">
        <v>1</v>
      </c>
      <c r="AP44" s="16">
        <v>0</v>
      </c>
      <c r="AQ44" s="16">
        <v>52</v>
      </c>
      <c r="AR44" s="16">
        <v>34</v>
      </c>
      <c r="AS44" s="16">
        <v>0</v>
      </c>
      <c r="AT44" s="16">
        <v>1</v>
      </c>
      <c r="AU44" s="16">
        <v>89</v>
      </c>
      <c r="AV44" s="16">
        <v>12</v>
      </c>
      <c r="AW44" s="16">
        <v>26</v>
      </c>
      <c r="AX44" s="16">
        <v>0</v>
      </c>
      <c r="AY44" s="16">
        <v>224</v>
      </c>
      <c r="AZ44" s="16">
        <v>73</v>
      </c>
      <c r="BA44" s="16">
        <v>13</v>
      </c>
      <c r="BB44" s="16">
        <v>19</v>
      </c>
      <c r="BC44" s="16">
        <v>8</v>
      </c>
      <c r="BD44" s="16">
        <v>0</v>
      </c>
      <c r="BE44" s="16">
        <v>0</v>
      </c>
      <c r="BF44" s="16">
        <v>15</v>
      </c>
      <c r="BG44" s="16">
        <v>0</v>
      </c>
      <c r="BH44" s="16">
        <v>0</v>
      </c>
      <c r="BI44" s="16">
        <v>14</v>
      </c>
      <c r="BJ44" s="16">
        <v>34</v>
      </c>
      <c r="BK44" s="16">
        <v>57</v>
      </c>
      <c r="BL44" s="16">
        <v>1</v>
      </c>
      <c r="BM44" s="16">
        <v>0</v>
      </c>
      <c r="BN44" s="16">
        <v>693</v>
      </c>
      <c r="BO44" s="16">
        <v>56</v>
      </c>
      <c r="BP44" s="16">
        <v>115</v>
      </c>
      <c r="BQ44" s="16">
        <v>0</v>
      </c>
      <c r="BR44" s="16">
        <v>0</v>
      </c>
      <c r="BS44" s="16">
        <v>13</v>
      </c>
    </row>
    <row r="45" spans="1:71" ht="18.600000000000001" customHeight="1" x14ac:dyDescent="0.25">
      <c r="A45" s="125"/>
      <c r="B45" s="4"/>
      <c r="C45" s="47" t="s">
        <v>76</v>
      </c>
      <c r="D45" s="48"/>
      <c r="E45" s="28">
        <f t="shared" si="0"/>
        <v>29</v>
      </c>
      <c r="F45" s="26">
        <v>0</v>
      </c>
      <c r="G45" s="26">
        <v>0</v>
      </c>
      <c r="H45" s="26">
        <v>0</v>
      </c>
      <c r="I45" s="26">
        <v>0</v>
      </c>
      <c r="J45" s="26">
        <v>0</v>
      </c>
      <c r="K45" s="26">
        <v>0</v>
      </c>
      <c r="L45" s="26">
        <v>0</v>
      </c>
      <c r="M45" s="26">
        <v>0</v>
      </c>
      <c r="N45" s="26">
        <v>0</v>
      </c>
      <c r="O45" s="26">
        <v>0</v>
      </c>
      <c r="P45" s="26">
        <v>0</v>
      </c>
      <c r="Q45" s="26">
        <v>0</v>
      </c>
      <c r="R45" s="26">
        <v>0</v>
      </c>
      <c r="S45" s="26">
        <v>0</v>
      </c>
      <c r="T45" s="26">
        <v>0</v>
      </c>
      <c r="U45" s="26">
        <v>1</v>
      </c>
      <c r="V45" s="26">
        <v>0</v>
      </c>
      <c r="W45" s="26">
        <v>0</v>
      </c>
      <c r="X45" s="26">
        <v>0</v>
      </c>
      <c r="Y45" s="26">
        <v>1</v>
      </c>
      <c r="Z45" s="26">
        <v>0</v>
      </c>
      <c r="AA45" s="26">
        <v>0</v>
      </c>
      <c r="AB45" s="26">
        <v>1</v>
      </c>
      <c r="AC45" s="26">
        <v>0</v>
      </c>
      <c r="AD45" s="26">
        <v>3</v>
      </c>
      <c r="AE45" s="26">
        <v>0</v>
      </c>
      <c r="AF45" s="26">
        <v>0</v>
      </c>
      <c r="AG45" s="26">
        <v>15</v>
      </c>
      <c r="AH45" s="26">
        <v>0</v>
      </c>
      <c r="AI45" s="26">
        <v>0</v>
      </c>
      <c r="AJ45" s="26">
        <v>0</v>
      </c>
      <c r="AK45" s="125"/>
      <c r="AL45" s="4"/>
      <c r="AM45" s="47" t="s">
        <v>76</v>
      </c>
      <c r="AN45" s="48"/>
      <c r="AO45" s="16">
        <v>0</v>
      </c>
      <c r="AP45" s="16">
        <v>0</v>
      </c>
      <c r="AQ45" s="16">
        <v>1</v>
      </c>
      <c r="AR45" s="16">
        <v>1</v>
      </c>
      <c r="AS45" s="16">
        <v>0</v>
      </c>
      <c r="AT45" s="16">
        <v>0</v>
      </c>
      <c r="AU45" s="16">
        <v>0</v>
      </c>
      <c r="AV45" s="16">
        <v>0</v>
      </c>
      <c r="AW45" s="16">
        <v>2</v>
      </c>
      <c r="AX45" s="16">
        <v>0</v>
      </c>
      <c r="AY45" s="16">
        <v>2</v>
      </c>
      <c r="AZ45" s="16">
        <v>0</v>
      </c>
      <c r="BA45" s="16">
        <v>0</v>
      </c>
      <c r="BB45" s="16">
        <v>0</v>
      </c>
      <c r="BC45" s="16">
        <v>0</v>
      </c>
      <c r="BD45" s="16">
        <v>0</v>
      </c>
      <c r="BE45" s="16">
        <v>0</v>
      </c>
      <c r="BF45" s="16">
        <v>1</v>
      </c>
      <c r="BG45" s="16">
        <v>0</v>
      </c>
      <c r="BH45" s="16">
        <v>0</v>
      </c>
      <c r="BI45" s="16">
        <v>0</v>
      </c>
      <c r="BJ45" s="16">
        <v>0</v>
      </c>
      <c r="BK45" s="16">
        <v>0</v>
      </c>
      <c r="BL45" s="16">
        <v>0</v>
      </c>
      <c r="BM45" s="16">
        <v>0</v>
      </c>
      <c r="BN45" s="16">
        <v>1</v>
      </c>
      <c r="BO45" s="16">
        <v>0</v>
      </c>
      <c r="BP45" s="16">
        <v>0</v>
      </c>
      <c r="BQ45" s="16">
        <v>0</v>
      </c>
      <c r="BR45" s="16">
        <v>0</v>
      </c>
      <c r="BS45" s="16">
        <v>0</v>
      </c>
    </row>
    <row r="46" spans="1:71" ht="18.600000000000001" customHeight="1" x14ac:dyDescent="0.25">
      <c r="A46" s="125" t="s">
        <v>91</v>
      </c>
      <c r="B46" s="4"/>
      <c r="C46" s="47" t="s">
        <v>75</v>
      </c>
      <c r="D46" s="48"/>
      <c r="E46" s="28">
        <f t="shared" si="0"/>
        <v>3354</v>
      </c>
      <c r="F46" s="16">
        <v>17</v>
      </c>
      <c r="G46" s="16">
        <v>13</v>
      </c>
      <c r="H46" s="16">
        <v>0</v>
      </c>
      <c r="I46" s="16">
        <v>0</v>
      </c>
      <c r="J46" s="16">
        <v>0</v>
      </c>
      <c r="K46" s="16">
        <v>0</v>
      </c>
      <c r="L46" s="26">
        <v>990</v>
      </c>
      <c r="M46" s="26">
        <v>263</v>
      </c>
      <c r="N46" s="26">
        <v>23</v>
      </c>
      <c r="O46" s="26">
        <v>17</v>
      </c>
      <c r="P46" s="26">
        <v>6</v>
      </c>
      <c r="Q46" s="26">
        <v>0</v>
      </c>
      <c r="R46" s="26">
        <v>39</v>
      </c>
      <c r="S46" s="26">
        <v>16</v>
      </c>
      <c r="T46" s="26">
        <v>16</v>
      </c>
      <c r="U46" s="26">
        <v>10</v>
      </c>
      <c r="V46" s="26">
        <v>19</v>
      </c>
      <c r="W46" s="26">
        <v>2</v>
      </c>
      <c r="X46" s="26">
        <v>1</v>
      </c>
      <c r="Y46" s="26">
        <v>11</v>
      </c>
      <c r="Z46" s="26">
        <v>221</v>
      </c>
      <c r="AA46" s="26">
        <v>21</v>
      </c>
      <c r="AB46" s="26">
        <v>17</v>
      </c>
      <c r="AC46" s="26">
        <v>17</v>
      </c>
      <c r="AD46" s="26">
        <v>348</v>
      </c>
      <c r="AE46" s="26">
        <v>25</v>
      </c>
      <c r="AF46" s="26">
        <v>0</v>
      </c>
      <c r="AG46" s="26">
        <v>134</v>
      </c>
      <c r="AH46" s="26">
        <v>5</v>
      </c>
      <c r="AI46" s="26">
        <v>0</v>
      </c>
      <c r="AJ46" s="26">
        <v>14</v>
      </c>
      <c r="AK46" s="125" t="s">
        <v>91</v>
      </c>
      <c r="AL46" s="4"/>
      <c r="AM46" s="47" t="s">
        <v>75</v>
      </c>
      <c r="AN46" s="48"/>
      <c r="AO46" s="16">
        <v>8</v>
      </c>
      <c r="AP46" s="16">
        <v>0</v>
      </c>
      <c r="AQ46" s="16">
        <v>19</v>
      </c>
      <c r="AR46" s="16">
        <v>11</v>
      </c>
      <c r="AS46" s="16">
        <v>0</v>
      </c>
      <c r="AT46" s="16">
        <v>0</v>
      </c>
      <c r="AU46" s="16">
        <v>5</v>
      </c>
      <c r="AV46" s="16">
        <v>0</v>
      </c>
      <c r="AW46" s="16">
        <v>24</v>
      </c>
      <c r="AX46" s="16">
        <v>66</v>
      </c>
      <c r="AY46" s="16">
        <v>333</v>
      </c>
      <c r="AZ46" s="16">
        <v>180</v>
      </c>
      <c r="BA46" s="16">
        <v>7</v>
      </c>
      <c r="BB46" s="16">
        <v>12</v>
      </c>
      <c r="BC46" s="16">
        <v>0</v>
      </c>
      <c r="BD46" s="16">
        <v>4</v>
      </c>
      <c r="BE46" s="16">
        <v>4</v>
      </c>
      <c r="BF46" s="16">
        <v>10</v>
      </c>
      <c r="BG46" s="16">
        <v>0</v>
      </c>
      <c r="BH46" s="16">
        <v>0</v>
      </c>
      <c r="BI46" s="16">
        <v>18</v>
      </c>
      <c r="BJ46" s="16">
        <v>35</v>
      </c>
      <c r="BK46" s="16">
        <v>8</v>
      </c>
      <c r="BL46" s="16">
        <v>2</v>
      </c>
      <c r="BM46" s="16">
        <v>0</v>
      </c>
      <c r="BN46" s="16">
        <v>184</v>
      </c>
      <c r="BO46" s="16">
        <v>124</v>
      </c>
      <c r="BP46" s="16">
        <v>52</v>
      </c>
      <c r="BQ46" s="16">
        <v>0</v>
      </c>
      <c r="BR46" s="16">
        <v>0</v>
      </c>
      <c r="BS46" s="16">
        <v>3</v>
      </c>
    </row>
    <row r="47" spans="1:71" ht="18.600000000000001" customHeight="1" x14ac:dyDescent="0.25">
      <c r="A47" s="125"/>
      <c r="B47" s="4"/>
      <c r="C47" s="47" t="s">
        <v>76</v>
      </c>
      <c r="D47" s="48"/>
      <c r="E47" s="28">
        <f t="shared" si="0"/>
        <v>20</v>
      </c>
      <c r="F47" s="26">
        <v>0</v>
      </c>
      <c r="G47" s="26">
        <v>0</v>
      </c>
      <c r="H47" s="26">
        <v>0</v>
      </c>
      <c r="I47" s="26">
        <v>0</v>
      </c>
      <c r="J47" s="26">
        <v>0</v>
      </c>
      <c r="K47" s="26">
        <v>0</v>
      </c>
      <c r="L47" s="26">
        <v>0</v>
      </c>
      <c r="M47" s="26">
        <v>0</v>
      </c>
      <c r="N47" s="26">
        <v>0</v>
      </c>
      <c r="O47" s="26">
        <v>0</v>
      </c>
      <c r="P47" s="26">
        <v>0</v>
      </c>
      <c r="Q47" s="26">
        <v>0</v>
      </c>
      <c r="R47" s="26">
        <v>0</v>
      </c>
      <c r="S47" s="26">
        <v>2</v>
      </c>
      <c r="T47" s="26">
        <v>0</v>
      </c>
      <c r="U47" s="26">
        <v>0</v>
      </c>
      <c r="V47" s="26">
        <v>0</v>
      </c>
      <c r="W47" s="26">
        <v>0</v>
      </c>
      <c r="X47" s="26">
        <v>0</v>
      </c>
      <c r="Y47" s="26">
        <v>0</v>
      </c>
      <c r="Z47" s="26">
        <v>0</v>
      </c>
      <c r="AA47" s="26">
        <v>0</v>
      </c>
      <c r="AB47" s="26">
        <v>0</v>
      </c>
      <c r="AC47" s="26">
        <v>0</v>
      </c>
      <c r="AD47" s="26">
        <v>2</v>
      </c>
      <c r="AE47" s="26">
        <v>0</v>
      </c>
      <c r="AF47" s="26">
        <v>0</v>
      </c>
      <c r="AG47" s="26">
        <v>0</v>
      </c>
      <c r="AH47" s="26">
        <v>0</v>
      </c>
      <c r="AI47" s="26">
        <v>0</v>
      </c>
      <c r="AJ47" s="26">
        <v>0</v>
      </c>
      <c r="AK47" s="125"/>
      <c r="AL47" s="4"/>
      <c r="AM47" s="47" t="s">
        <v>76</v>
      </c>
      <c r="AN47" s="48"/>
      <c r="AO47" s="16">
        <v>0</v>
      </c>
      <c r="AP47" s="16">
        <v>0</v>
      </c>
      <c r="AQ47" s="16">
        <v>1</v>
      </c>
      <c r="AR47" s="16">
        <v>1</v>
      </c>
      <c r="AS47" s="16">
        <v>0</v>
      </c>
      <c r="AT47" s="16">
        <v>0</v>
      </c>
      <c r="AU47" s="16">
        <v>0</v>
      </c>
      <c r="AV47" s="16">
        <v>0</v>
      </c>
      <c r="AW47" s="16">
        <v>1</v>
      </c>
      <c r="AX47" s="16">
        <v>0</v>
      </c>
      <c r="AY47" s="16">
        <v>10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3</v>
      </c>
      <c r="BP47" s="16">
        <v>0</v>
      </c>
      <c r="BQ47" s="16">
        <v>0</v>
      </c>
      <c r="BR47" s="16">
        <v>0</v>
      </c>
      <c r="BS47" s="16">
        <v>0</v>
      </c>
    </row>
    <row r="48" spans="1:71" ht="18.600000000000001" customHeight="1" x14ac:dyDescent="0.25">
      <c r="A48" s="125" t="s">
        <v>92</v>
      </c>
      <c r="B48" s="4"/>
      <c r="C48" s="47" t="s">
        <v>75</v>
      </c>
      <c r="D48" s="48"/>
      <c r="E48" s="28">
        <f t="shared" si="0"/>
        <v>11437</v>
      </c>
      <c r="F48" s="16">
        <v>1</v>
      </c>
      <c r="G48" s="16">
        <v>0</v>
      </c>
      <c r="H48" s="16">
        <v>0</v>
      </c>
      <c r="I48" s="16">
        <v>0</v>
      </c>
      <c r="J48" s="16">
        <v>0</v>
      </c>
      <c r="K48" s="16">
        <v>2</v>
      </c>
      <c r="L48" s="26">
        <v>5061</v>
      </c>
      <c r="M48" s="26">
        <v>2796</v>
      </c>
      <c r="N48" s="26">
        <v>97</v>
      </c>
      <c r="O48" s="26">
        <v>34</v>
      </c>
      <c r="P48" s="26">
        <v>24</v>
      </c>
      <c r="Q48" s="26">
        <v>0</v>
      </c>
      <c r="R48" s="26">
        <v>97</v>
      </c>
      <c r="S48" s="26">
        <v>118</v>
      </c>
      <c r="T48" s="26">
        <v>7</v>
      </c>
      <c r="U48" s="26">
        <v>56</v>
      </c>
      <c r="V48" s="26">
        <v>100</v>
      </c>
      <c r="W48" s="26">
        <v>0</v>
      </c>
      <c r="X48" s="26">
        <v>1</v>
      </c>
      <c r="Y48" s="26">
        <v>27</v>
      </c>
      <c r="Z48" s="26">
        <v>160</v>
      </c>
      <c r="AA48" s="26">
        <v>73</v>
      </c>
      <c r="AB48" s="26">
        <v>26</v>
      </c>
      <c r="AC48" s="26">
        <v>30</v>
      </c>
      <c r="AD48" s="26">
        <v>466</v>
      </c>
      <c r="AE48" s="26">
        <v>100</v>
      </c>
      <c r="AF48" s="26">
        <v>0</v>
      </c>
      <c r="AG48" s="26">
        <v>395</v>
      </c>
      <c r="AH48" s="26">
        <v>22</v>
      </c>
      <c r="AI48" s="26">
        <v>0</v>
      </c>
      <c r="AJ48" s="26">
        <v>23</v>
      </c>
      <c r="AK48" s="125" t="s">
        <v>92</v>
      </c>
      <c r="AL48" s="4"/>
      <c r="AM48" s="47" t="s">
        <v>75</v>
      </c>
      <c r="AN48" s="48"/>
      <c r="AO48" s="16">
        <v>3</v>
      </c>
      <c r="AP48" s="16">
        <v>0</v>
      </c>
      <c r="AQ48" s="16">
        <v>104</v>
      </c>
      <c r="AR48" s="16">
        <v>28</v>
      </c>
      <c r="AS48" s="16">
        <v>7</v>
      </c>
      <c r="AT48" s="16">
        <v>0</v>
      </c>
      <c r="AU48" s="16">
        <v>19</v>
      </c>
      <c r="AV48" s="16">
        <v>43</v>
      </c>
      <c r="AW48" s="16">
        <v>55</v>
      </c>
      <c r="AX48" s="16">
        <v>1</v>
      </c>
      <c r="AY48" s="16">
        <v>118</v>
      </c>
      <c r="AZ48" s="16">
        <v>26</v>
      </c>
      <c r="BA48" s="16">
        <v>12</v>
      </c>
      <c r="BB48" s="16">
        <v>19</v>
      </c>
      <c r="BC48" s="16">
        <v>12</v>
      </c>
      <c r="BD48" s="16">
        <v>1</v>
      </c>
      <c r="BE48" s="16">
        <v>1</v>
      </c>
      <c r="BF48" s="16">
        <v>21</v>
      </c>
      <c r="BG48" s="16">
        <v>1</v>
      </c>
      <c r="BH48" s="16">
        <v>0</v>
      </c>
      <c r="BI48" s="16">
        <v>27</v>
      </c>
      <c r="BJ48" s="16">
        <v>45</v>
      </c>
      <c r="BK48" s="16">
        <v>21</v>
      </c>
      <c r="BL48" s="16">
        <v>16</v>
      </c>
      <c r="BM48" s="16">
        <v>0</v>
      </c>
      <c r="BN48" s="16">
        <v>768</v>
      </c>
      <c r="BO48" s="16">
        <v>130</v>
      </c>
      <c r="BP48" s="16">
        <v>150</v>
      </c>
      <c r="BQ48" s="16">
        <v>0</v>
      </c>
      <c r="BR48" s="16">
        <v>0</v>
      </c>
      <c r="BS48" s="16">
        <v>93</v>
      </c>
    </row>
    <row r="49" spans="1:195" ht="18.600000000000001" customHeight="1" x14ac:dyDescent="0.25">
      <c r="A49" s="125"/>
      <c r="B49" s="4"/>
      <c r="C49" s="47" t="s">
        <v>76</v>
      </c>
      <c r="D49" s="48"/>
      <c r="E49" s="28">
        <f t="shared" si="0"/>
        <v>72</v>
      </c>
      <c r="F49" s="26">
        <v>0</v>
      </c>
      <c r="G49" s="26">
        <v>0</v>
      </c>
      <c r="H49" s="26">
        <v>0</v>
      </c>
      <c r="I49" s="26">
        <v>0</v>
      </c>
      <c r="J49" s="26">
        <v>0</v>
      </c>
      <c r="K49" s="26">
        <v>0</v>
      </c>
      <c r="L49" s="26">
        <v>1</v>
      </c>
      <c r="M49" s="26">
        <v>7</v>
      </c>
      <c r="N49" s="26">
        <v>0</v>
      </c>
      <c r="O49" s="26">
        <v>0</v>
      </c>
      <c r="P49" s="26">
        <v>0</v>
      </c>
      <c r="Q49" s="26">
        <v>0</v>
      </c>
      <c r="R49" s="26">
        <v>0</v>
      </c>
      <c r="S49" s="26">
        <v>0</v>
      </c>
      <c r="T49" s="26">
        <v>0</v>
      </c>
      <c r="U49" s="26">
        <v>0</v>
      </c>
      <c r="V49" s="26">
        <v>0</v>
      </c>
      <c r="W49" s="26">
        <v>0</v>
      </c>
      <c r="X49" s="26">
        <v>0</v>
      </c>
      <c r="Y49" s="26">
        <v>0</v>
      </c>
      <c r="Z49" s="26">
        <v>0</v>
      </c>
      <c r="AA49" s="26">
        <v>0</v>
      </c>
      <c r="AB49" s="26">
        <v>0</v>
      </c>
      <c r="AC49" s="26">
        <v>0</v>
      </c>
      <c r="AD49" s="26">
        <v>3</v>
      </c>
      <c r="AE49" s="26">
        <v>5</v>
      </c>
      <c r="AF49" s="26">
        <v>0</v>
      </c>
      <c r="AG49" s="26">
        <v>4</v>
      </c>
      <c r="AH49" s="26">
        <v>0</v>
      </c>
      <c r="AI49" s="26">
        <v>0</v>
      </c>
      <c r="AJ49" s="26">
        <v>0</v>
      </c>
      <c r="AK49" s="125"/>
      <c r="AL49" s="4"/>
      <c r="AM49" s="47" t="s">
        <v>76</v>
      </c>
      <c r="AN49" s="48"/>
      <c r="AO49" s="16">
        <v>0</v>
      </c>
      <c r="AP49" s="16">
        <v>0</v>
      </c>
      <c r="AQ49" s="16">
        <v>0</v>
      </c>
      <c r="AR49" s="16">
        <v>0</v>
      </c>
      <c r="AS49" s="16">
        <v>0</v>
      </c>
      <c r="AT49" s="16">
        <v>0</v>
      </c>
      <c r="AU49" s="16">
        <v>0</v>
      </c>
      <c r="AV49" s="16">
        <v>21</v>
      </c>
      <c r="AW49" s="16">
        <v>5</v>
      </c>
      <c r="AX49" s="16">
        <v>0</v>
      </c>
      <c r="AY49" s="16">
        <v>6</v>
      </c>
      <c r="AZ49" s="16">
        <v>0</v>
      </c>
      <c r="BA49" s="16">
        <v>0</v>
      </c>
      <c r="BB49" s="16">
        <v>0</v>
      </c>
      <c r="BC49" s="16">
        <v>0</v>
      </c>
      <c r="BD49" s="16">
        <v>0</v>
      </c>
      <c r="BE49" s="16">
        <v>0</v>
      </c>
      <c r="BF49" s="16">
        <v>2</v>
      </c>
      <c r="BG49" s="16">
        <v>0</v>
      </c>
      <c r="BH49" s="16">
        <v>0</v>
      </c>
      <c r="BI49" s="16">
        <v>0</v>
      </c>
      <c r="BJ49" s="16">
        <v>0</v>
      </c>
      <c r="BK49" s="16">
        <v>0</v>
      </c>
      <c r="BL49" s="16">
        <v>13</v>
      </c>
      <c r="BM49" s="16">
        <v>0</v>
      </c>
      <c r="BN49" s="16">
        <v>2</v>
      </c>
      <c r="BO49" s="16">
        <v>1</v>
      </c>
      <c r="BP49" s="16">
        <v>1</v>
      </c>
      <c r="BQ49" s="16">
        <v>0</v>
      </c>
      <c r="BR49" s="16">
        <v>0</v>
      </c>
      <c r="BS49" s="16">
        <v>1</v>
      </c>
    </row>
    <row r="50" spans="1:195" ht="18.600000000000001" customHeight="1" x14ac:dyDescent="0.25">
      <c r="A50" s="125" t="s">
        <v>93</v>
      </c>
      <c r="C50" s="47" t="s">
        <v>75</v>
      </c>
      <c r="D50" s="48"/>
      <c r="E50" s="28">
        <f t="shared" si="0"/>
        <v>4160</v>
      </c>
      <c r="F50" s="16">
        <v>0</v>
      </c>
      <c r="G50" s="16">
        <v>0</v>
      </c>
      <c r="H50" s="16">
        <v>0</v>
      </c>
      <c r="I50" s="16">
        <v>0</v>
      </c>
      <c r="J50" s="16">
        <v>0</v>
      </c>
      <c r="K50" s="16">
        <v>0</v>
      </c>
      <c r="L50" s="26">
        <v>1994</v>
      </c>
      <c r="M50" s="26">
        <v>600</v>
      </c>
      <c r="N50" s="26">
        <v>57</v>
      </c>
      <c r="O50" s="26">
        <v>12</v>
      </c>
      <c r="P50" s="26">
        <v>9</v>
      </c>
      <c r="Q50" s="26">
        <v>0</v>
      </c>
      <c r="R50" s="26">
        <v>40</v>
      </c>
      <c r="S50" s="26">
        <v>29</v>
      </c>
      <c r="T50" s="26">
        <v>0</v>
      </c>
      <c r="U50" s="26">
        <v>17</v>
      </c>
      <c r="V50" s="26">
        <v>42</v>
      </c>
      <c r="W50" s="26">
        <v>18</v>
      </c>
      <c r="X50" s="26">
        <v>0</v>
      </c>
      <c r="Y50" s="26">
        <v>7</v>
      </c>
      <c r="Z50" s="26">
        <v>103</v>
      </c>
      <c r="AA50" s="26">
        <v>19</v>
      </c>
      <c r="AB50" s="26">
        <v>16</v>
      </c>
      <c r="AC50" s="26">
        <v>12</v>
      </c>
      <c r="AD50" s="26">
        <v>149</v>
      </c>
      <c r="AE50" s="26">
        <v>15</v>
      </c>
      <c r="AF50" s="26">
        <v>0</v>
      </c>
      <c r="AG50" s="26">
        <v>205</v>
      </c>
      <c r="AH50" s="26">
        <v>0</v>
      </c>
      <c r="AI50" s="26">
        <v>2</v>
      </c>
      <c r="AJ50" s="26">
        <v>14</v>
      </c>
      <c r="AK50" s="125" t="s">
        <v>93</v>
      </c>
      <c r="AM50" s="47" t="s">
        <v>75</v>
      </c>
      <c r="AN50" s="48"/>
      <c r="AO50" s="16">
        <v>0</v>
      </c>
      <c r="AP50" s="16">
        <v>0</v>
      </c>
      <c r="AQ50" s="16">
        <v>38</v>
      </c>
      <c r="AR50" s="16">
        <v>4</v>
      </c>
      <c r="AS50" s="16">
        <v>0</v>
      </c>
      <c r="AT50" s="16">
        <v>0</v>
      </c>
      <c r="AU50" s="16">
        <v>0</v>
      </c>
      <c r="AV50" s="16">
        <v>0</v>
      </c>
      <c r="AW50" s="16">
        <v>19</v>
      </c>
      <c r="AX50" s="16">
        <v>3</v>
      </c>
      <c r="AY50" s="16">
        <v>46</v>
      </c>
      <c r="AZ50" s="16">
        <v>200</v>
      </c>
      <c r="BA50" s="16">
        <v>16</v>
      </c>
      <c r="BB50" s="16">
        <v>0</v>
      </c>
      <c r="BC50" s="16">
        <v>0</v>
      </c>
      <c r="BD50" s="16">
        <v>0</v>
      </c>
      <c r="BE50" s="16">
        <v>0</v>
      </c>
      <c r="BF50" s="16">
        <v>14</v>
      </c>
      <c r="BG50" s="16">
        <v>1</v>
      </c>
      <c r="BH50" s="16">
        <v>0</v>
      </c>
      <c r="BI50" s="16">
        <v>13</v>
      </c>
      <c r="BJ50" s="16">
        <v>19</v>
      </c>
      <c r="BK50" s="16">
        <v>9</v>
      </c>
      <c r="BL50" s="16">
        <v>0</v>
      </c>
      <c r="BM50" s="16">
        <v>0</v>
      </c>
      <c r="BN50" s="16">
        <v>238</v>
      </c>
      <c r="BO50" s="16">
        <v>33</v>
      </c>
      <c r="BP50" s="16">
        <v>146</v>
      </c>
      <c r="BQ50" s="16">
        <v>0</v>
      </c>
      <c r="BR50" s="16">
        <v>0</v>
      </c>
      <c r="BS50" s="16">
        <v>1</v>
      </c>
    </row>
    <row r="51" spans="1:195" ht="18.600000000000001" customHeight="1" x14ac:dyDescent="0.25">
      <c r="A51" s="125"/>
      <c r="C51" s="47" t="s">
        <v>76</v>
      </c>
      <c r="D51" s="48"/>
      <c r="E51" s="28">
        <f t="shared" si="0"/>
        <v>13</v>
      </c>
      <c r="F51" s="26">
        <v>0</v>
      </c>
      <c r="G51" s="26">
        <v>0</v>
      </c>
      <c r="H51" s="26">
        <v>0</v>
      </c>
      <c r="I51" s="26">
        <v>0</v>
      </c>
      <c r="J51" s="26">
        <v>0</v>
      </c>
      <c r="K51" s="26">
        <v>0</v>
      </c>
      <c r="L51" s="26">
        <v>1</v>
      </c>
      <c r="M51" s="26">
        <v>0</v>
      </c>
      <c r="N51" s="26">
        <v>0</v>
      </c>
      <c r="O51" s="26">
        <v>0</v>
      </c>
      <c r="P51" s="26">
        <v>0</v>
      </c>
      <c r="Q51" s="26">
        <v>0</v>
      </c>
      <c r="R51" s="26">
        <v>0</v>
      </c>
      <c r="S51" s="26">
        <v>0</v>
      </c>
      <c r="T51" s="26">
        <v>0</v>
      </c>
      <c r="U51" s="26">
        <v>1</v>
      </c>
      <c r="V51" s="26">
        <v>1</v>
      </c>
      <c r="W51" s="26">
        <v>0</v>
      </c>
      <c r="X51" s="26">
        <v>0</v>
      </c>
      <c r="Y51" s="26">
        <v>0</v>
      </c>
      <c r="Z51" s="26">
        <v>0</v>
      </c>
      <c r="AA51" s="26">
        <v>0</v>
      </c>
      <c r="AB51" s="26">
        <v>2</v>
      </c>
      <c r="AC51" s="26">
        <v>0</v>
      </c>
      <c r="AD51" s="26">
        <v>2</v>
      </c>
      <c r="AE51" s="26">
        <v>0</v>
      </c>
      <c r="AF51" s="26">
        <v>0</v>
      </c>
      <c r="AG51" s="26">
        <v>2</v>
      </c>
      <c r="AH51" s="26">
        <v>0</v>
      </c>
      <c r="AI51" s="26">
        <v>0</v>
      </c>
      <c r="AJ51" s="26">
        <v>0</v>
      </c>
      <c r="AK51" s="125"/>
      <c r="AM51" s="47" t="s">
        <v>76</v>
      </c>
      <c r="AN51" s="48"/>
      <c r="AO51" s="16">
        <v>0</v>
      </c>
      <c r="AP51" s="16">
        <v>0</v>
      </c>
      <c r="AQ51" s="16">
        <v>0</v>
      </c>
      <c r="AR51" s="16">
        <v>0</v>
      </c>
      <c r="AS51" s="16">
        <v>0</v>
      </c>
      <c r="AT51" s="16">
        <v>0</v>
      </c>
      <c r="AU51" s="16">
        <v>0</v>
      </c>
      <c r="AV51" s="16">
        <v>0</v>
      </c>
      <c r="AW51" s="16">
        <v>0</v>
      </c>
      <c r="AX51" s="16">
        <v>0</v>
      </c>
      <c r="AY51" s="16">
        <v>3</v>
      </c>
      <c r="AZ51" s="16">
        <v>0</v>
      </c>
      <c r="BA51" s="16">
        <v>0</v>
      </c>
      <c r="BB51" s="16">
        <v>0</v>
      </c>
      <c r="BC51" s="16">
        <v>0</v>
      </c>
      <c r="BD51" s="16">
        <v>0</v>
      </c>
      <c r="BE51" s="16">
        <v>0</v>
      </c>
      <c r="BF51" s="16">
        <v>0</v>
      </c>
      <c r="BG51" s="16">
        <v>0</v>
      </c>
      <c r="BH51" s="16">
        <v>0</v>
      </c>
      <c r="BI51" s="16">
        <v>0</v>
      </c>
      <c r="BJ51" s="16">
        <v>0</v>
      </c>
      <c r="BK51" s="16">
        <v>1</v>
      </c>
      <c r="BL51" s="16">
        <v>0</v>
      </c>
      <c r="BM51" s="16">
        <v>0</v>
      </c>
      <c r="BN51" s="16">
        <v>0</v>
      </c>
      <c r="BO51" s="16">
        <v>0</v>
      </c>
      <c r="BP51" s="16">
        <v>0</v>
      </c>
      <c r="BQ51" s="16">
        <v>0</v>
      </c>
      <c r="BR51" s="16">
        <v>0</v>
      </c>
      <c r="BS51" s="16">
        <v>0</v>
      </c>
    </row>
    <row r="52" spans="1:195" ht="18.600000000000001" customHeight="1" x14ac:dyDescent="0.25">
      <c r="A52" s="125" t="s">
        <v>94</v>
      </c>
      <c r="B52" s="4"/>
      <c r="C52" s="47" t="s">
        <v>75</v>
      </c>
      <c r="D52" s="48"/>
      <c r="E52" s="28">
        <f t="shared" si="0"/>
        <v>9076</v>
      </c>
      <c r="F52" s="16">
        <v>1</v>
      </c>
      <c r="G52" s="16">
        <v>0</v>
      </c>
      <c r="H52" s="16">
        <v>0</v>
      </c>
      <c r="I52" s="16">
        <v>3</v>
      </c>
      <c r="J52" s="16">
        <v>20</v>
      </c>
      <c r="K52" s="16">
        <v>2</v>
      </c>
      <c r="L52" s="26">
        <v>1801</v>
      </c>
      <c r="M52" s="26">
        <v>3083</v>
      </c>
      <c r="N52" s="26">
        <v>22</v>
      </c>
      <c r="O52" s="26">
        <v>34</v>
      </c>
      <c r="P52" s="26">
        <v>27</v>
      </c>
      <c r="Q52" s="26">
        <v>0</v>
      </c>
      <c r="R52" s="26">
        <v>62</v>
      </c>
      <c r="S52" s="26">
        <v>131</v>
      </c>
      <c r="T52" s="26">
        <v>0</v>
      </c>
      <c r="U52" s="26">
        <v>17</v>
      </c>
      <c r="V52" s="26">
        <v>129</v>
      </c>
      <c r="W52" s="26">
        <v>6</v>
      </c>
      <c r="X52" s="26">
        <v>0</v>
      </c>
      <c r="Y52" s="26">
        <v>17</v>
      </c>
      <c r="Z52" s="26">
        <v>259</v>
      </c>
      <c r="AA52" s="26">
        <v>34</v>
      </c>
      <c r="AB52" s="26">
        <v>23</v>
      </c>
      <c r="AC52" s="26">
        <v>63</v>
      </c>
      <c r="AD52" s="26">
        <v>516</v>
      </c>
      <c r="AE52" s="26">
        <v>81</v>
      </c>
      <c r="AF52" s="26">
        <v>0</v>
      </c>
      <c r="AG52" s="26">
        <v>296</v>
      </c>
      <c r="AH52" s="26">
        <v>2</v>
      </c>
      <c r="AI52" s="26">
        <v>1</v>
      </c>
      <c r="AJ52" s="26">
        <v>7</v>
      </c>
      <c r="AK52" s="125" t="s">
        <v>94</v>
      </c>
      <c r="AL52" s="4"/>
      <c r="AM52" s="47" t="s">
        <v>75</v>
      </c>
      <c r="AN52" s="48"/>
      <c r="AO52" s="16">
        <v>15</v>
      </c>
      <c r="AP52" s="16">
        <v>0</v>
      </c>
      <c r="AQ52" s="16">
        <v>66</v>
      </c>
      <c r="AR52" s="16">
        <v>54</v>
      </c>
      <c r="AS52" s="16">
        <v>2</v>
      </c>
      <c r="AT52" s="16">
        <v>0</v>
      </c>
      <c r="AU52" s="16">
        <v>8</v>
      </c>
      <c r="AV52" s="16">
        <v>0</v>
      </c>
      <c r="AW52" s="16">
        <v>24</v>
      </c>
      <c r="AX52" s="16">
        <v>36</v>
      </c>
      <c r="AY52" s="16">
        <v>123</v>
      </c>
      <c r="AZ52" s="16">
        <v>82</v>
      </c>
      <c r="BA52" s="16">
        <v>19</v>
      </c>
      <c r="BB52" s="16">
        <v>4</v>
      </c>
      <c r="BC52" s="16">
        <v>2</v>
      </c>
      <c r="BD52" s="16">
        <f>0+18+0</f>
        <v>18</v>
      </c>
      <c r="BE52" s="16">
        <v>21</v>
      </c>
      <c r="BF52" s="16">
        <v>14</v>
      </c>
      <c r="BG52" s="16">
        <v>0</v>
      </c>
      <c r="BH52" s="16">
        <v>0</v>
      </c>
      <c r="BI52" s="16">
        <v>42</v>
      </c>
      <c r="BJ52" s="16">
        <v>180</v>
      </c>
      <c r="BK52" s="16">
        <v>5</v>
      </c>
      <c r="BL52" s="16">
        <v>1</v>
      </c>
      <c r="BM52" s="16">
        <f>0+3+0</f>
        <v>3</v>
      </c>
      <c r="BN52" s="16">
        <v>138</v>
      </c>
      <c r="BO52" s="16">
        <v>107</v>
      </c>
      <c r="BP52" s="16">
        <v>1466</v>
      </c>
      <c r="BQ52" s="16">
        <v>0</v>
      </c>
      <c r="BR52" s="16">
        <v>0</v>
      </c>
      <c r="BS52" s="16">
        <v>9</v>
      </c>
    </row>
    <row r="53" spans="1:195" ht="18.600000000000001" customHeight="1" x14ac:dyDescent="0.25">
      <c r="A53" s="125"/>
      <c r="B53" s="4"/>
      <c r="C53" s="47" t="s">
        <v>76</v>
      </c>
      <c r="D53" s="48"/>
      <c r="E53" s="28">
        <f t="shared" si="0"/>
        <v>41</v>
      </c>
      <c r="F53" s="26">
        <v>0</v>
      </c>
      <c r="G53" s="26">
        <v>0</v>
      </c>
      <c r="H53" s="26">
        <v>0</v>
      </c>
      <c r="I53" s="26">
        <v>0</v>
      </c>
      <c r="J53" s="26">
        <v>0</v>
      </c>
      <c r="K53" s="26">
        <v>0</v>
      </c>
      <c r="L53" s="26">
        <v>0</v>
      </c>
      <c r="M53" s="26">
        <v>2</v>
      </c>
      <c r="N53" s="26">
        <v>0</v>
      </c>
      <c r="O53" s="26">
        <v>0</v>
      </c>
      <c r="P53" s="26">
        <v>0</v>
      </c>
      <c r="Q53" s="26">
        <v>0</v>
      </c>
      <c r="R53" s="26">
        <v>0</v>
      </c>
      <c r="S53" s="26">
        <v>0</v>
      </c>
      <c r="T53" s="26">
        <v>0</v>
      </c>
      <c r="U53" s="26">
        <v>0</v>
      </c>
      <c r="V53" s="26">
        <v>7</v>
      </c>
      <c r="W53" s="26">
        <v>0</v>
      </c>
      <c r="X53" s="26">
        <v>0</v>
      </c>
      <c r="Y53" s="26">
        <v>0</v>
      </c>
      <c r="Z53" s="26">
        <v>0</v>
      </c>
      <c r="AA53" s="26">
        <v>3</v>
      </c>
      <c r="AB53" s="26">
        <v>0</v>
      </c>
      <c r="AC53" s="26">
        <v>0</v>
      </c>
      <c r="AD53" s="26">
        <v>3</v>
      </c>
      <c r="AE53" s="26">
        <v>1</v>
      </c>
      <c r="AF53" s="26">
        <v>0</v>
      </c>
      <c r="AG53" s="26">
        <v>2</v>
      </c>
      <c r="AH53" s="26">
        <v>0</v>
      </c>
      <c r="AI53" s="26">
        <v>0</v>
      </c>
      <c r="AJ53" s="26">
        <v>0</v>
      </c>
      <c r="AK53" s="125"/>
      <c r="AL53" s="4"/>
      <c r="AM53" s="47" t="s">
        <v>76</v>
      </c>
      <c r="AN53" s="48"/>
      <c r="AO53" s="16">
        <v>0</v>
      </c>
      <c r="AP53" s="16">
        <v>0</v>
      </c>
      <c r="AQ53" s="16">
        <v>2</v>
      </c>
      <c r="AR53" s="16">
        <v>2</v>
      </c>
      <c r="AS53" s="16">
        <v>0</v>
      </c>
      <c r="AT53" s="16">
        <v>0</v>
      </c>
      <c r="AU53" s="16">
        <v>0</v>
      </c>
      <c r="AV53" s="16">
        <v>0</v>
      </c>
      <c r="AW53" s="16">
        <v>7</v>
      </c>
      <c r="AX53" s="16">
        <v>0</v>
      </c>
      <c r="AY53" s="16">
        <v>11</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1</v>
      </c>
      <c r="BP53" s="16">
        <v>0</v>
      </c>
      <c r="BQ53" s="16">
        <v>0</v>
      </c>
      <c r="BR53" s="16">
        <v>0</v>
      </c>
      <c r="BS53" s="16">
        <v>0</v>
      </c>
    </row>
    <row r="54" spans="1:195" ht="18.600000000000001" customHeight="1" x14ac:dyDescent="0.25">
      <c r="A54" s="125" t="s">
        <v>95</v>
      </c>
      <c r="B54" s="4"/>
      <c r="C54" s="47" t="s">
        <v>75</v>
      </c>
      <c r="D54" s="48"/>
      <c r="E54" s="28">
        <f t="shared" si="0"/>
        <v>3828</v>
      </c>
      <c r="F54" s="16">
        <v>0</v>
      </c>
      <c r="G54" s="16">
        <v>0</v>
      </c>
      <c r="H54" s="16">
        <v>0</v>
      </c>
      <c r="I54" s="16">
        <v>0</v>
      </c>
      <c r="J54" s="16">
        <v>1</v>
      </c>
      <c r="K54" s="16">
        <v>1</v>
      </c>
      <c r="L54" s="26">
        <v>1239</v>
      </c>
      <c r="M54" s="26">
        <v>605</v>
      </c>
      <c r="N54" s="26">
        <v>27</v>
      </c>
      <c r="O54" s="26">
        <v>0</v>
      </c>
      <c r="P54" s="26">
        <v>16</v>
      </c>
      <c r="Q54" s="26">
        <v>0</v>
      </c>
      <c r="R54" s="26">
        <v>119</v>
      </c>
      <c r="S54" s="26">
        <v>20</v>
      </c>
      <c r="T54" s="26">
        <v>1</v>
      </c>
      <c r="U54" s="26">
        <v>7</v>
      </c>
      <c r="V54" s="26">
        <v>77</v>
      </c>
      <c r="W54" s="26">
        <v>0</v>
      </c>
      <c r="X54" s="26">
        <v>0</v>
      </c>
      <c r="Y54" s="26">
        <v>21</v>
      </c>
      <c r="Z54" s="26">
        <v>23</v>
      </c>
      <c r="AA54" s="26">
        <v>32</v>
      </c>
      <c r="AB54" s="26">
        <v>226</v>
      </c>
      <c r="AC54" s="26">
        <v>9</v>
      </c>
      <c r="AD54" s="26">
        <v>131</v>
      </c>
      <c r="AE54" s="26">
        <v>24</v>
      </c>
      <c r="AF54" s="26">
        <v>0</v>
      </c>
      <c r="AG54" s="26">
        <v>439</v>
      </c>
      <c r="AH54" s="26">
        <v>0</v>
      </c>
      <c r="AI54" s="26">
        <v>0</v>
      </c>
      <c r="AJ54" s="26">
        <v>9</v>
      </c>
      <c r="AK54" s="125" t="s">
        <v>95</v>
      </c>
      <c r="AL54" s="4"/>
      <c r="AM54" s="47" t="s">
        <v>75</v>
      </c>
      <c r="AN54" s="48"/>
      <c r="AO54" s="16">
        <v>4</v>
      </c>
      <c r="AP54" s="16">
        <v>0</v>
      </c>
      <c r="AQ54" s="16">
        <v>69</v>
      </c>
      <c r="AR54" s="16">
        <v>8</v>
      </c>
      <c r="AS54" s="16">
        <v>0</v>
      </c>
      <c r="AT54" s="16">
        <v>0</v>
      </c>
      <c r="AU54" s="16">
        <v>10</v>
      </c>
      <c r="AV54" s="16">
        <v>2</v>
      </c>
      <c r="AW54" s="16">
        <v>6</v>
      </c>
      <c r="AX54" s="16">
        <v>2</v>
      </c>
      <c r="AY54" s="16">
        <v>144</v>
      </c>
      <c r="AZ54" s="16">
        <v>124</v>
      </c>
      <c r="BA54" s="16">
        <v>1</v>
      </c>
      <c r="BB54" s="16">
        <v>25</v>
      </c>
      <c r="BC54" s="16">
        <v>0</v>
      </c>
      <c r="BD54" s="16">
        <v>0</v>
      </c>
      <c r="BE54" s="16">
        <v>0</v>
      </c>
      <c r="BF54" s="16">
        <v>10</v>
      </c>
      <c r="BG54" s="16">
        <v>4</v>
      </c>
      <c r="BH54" s="16">
        <v>0</v>
      </c>
      <c r="BI54" s="16">
        <v>6</v>
      </c>
      <c r="BJ54" s="16">
        <v>15</v>
      </c>
      <c r="BK54" s="16">
        <v>8</v>
      </c>
      <c r="BL54" s="16">
        <v>1</v>
      </c>
      <c r="BM54" s="16">
        <v>0</v>
      </c>
      <c r="BN54" s="16">
        <v>153</v>
      </c>
      <c r="BO54" s="16">
        <v>108</v>
      </c>
      <c r="BP54" s="16">
        <v>69</v>
      </c>
      <c r="BQ54" s="16">
        <v>0</v>
      </c>
      <c r="BR54" s="16">
        <v>0</v>
      </c>
      <c r="BS54" s="16">
        <v>32</v>
      </c>
    </row>
    <row r="55" spans="1:195" ht="18.600000000000001" customHeight="1" x14ac:dyDescent="0.25">
      <c r="A55" s="125"/>
      <c r="B55" s="4"/>
      <c r="C55" s="47" t="s">
        <v>76</v>
      </c>
      <c r="D55" s="48"/>
      <c r="E55" s="28">
        <f t="shared" si="0"/>
        <v>13</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0</v>
      </c>
      <c r="AE55" s="26">
        <v>0</v>
      </c>
      <c r="AF55" s="26">
        <v>0</v>
      </c>
      <c r="AG55" s="26">
        <v>12</v>
      </c>
      <c r="AH55" s="26">
        <v>0</v>
      </c>
      <c r="AI55" s="26">
        <v>0</v>
      </c>
      <c r="AJ55" s="26">
        <v>0</v>
      </c>
      <c r="AK55" s="125"/>
      <c r="AL55" s="4"/>
      <c r="AM55" s="47" t="s">
        <v>76</v>
      </c>
      <c r="AN55" s="48"/>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1</v>
      </c>
      <c r="BO55" s="16">
        <v>0</v>
      </c>
      <c r="BP55" s="16">
        <v>0</v>
      </c>
      <c r="BQ55" s="16">
        <v>0</v>
      </c>
      <c r="BR55" s="16">
        <v>0</v>
      </c>
      <c r="BS55" s="16">
        <v>0</v>
      </c>
    </row>
    <row r="56" spans="1:195" ht="18.600000000000001" customHeight="1" x14ac:dyDescent="0.25">
      <c r="A56" s="125" t="s">
        <v>96</v>
      </c>
      <c r="B56" s="4"/>
      <c r="C56" s="47" t="s">
        <v>75</v>
      </c>
      <c r="D56" s="48"/>
      <c r="E56" s="28">
        <f t="shared" si="0"/>
        <v>1280</v>
      </c>
      <c r="F56" s="16">
        <v>0</v>
      </c>
      <c r="G56" s="16">
        <v>0</v>
      </c>
      <c r="H56" s="16">
        <v>0</v>
      </c>
      <c r="I56" s="16">
        <v>0</v>
      </c>
      <c r="J56" s="16">
        <v>0</v>
      </c>
      <c r="K56" s="16">
        <v>0</v>
      </c>
      <c r="L56" s="26">
        <v>735</v>
      </c>
      <c r="M56" s="26">
        <v>92</v>
      </c>
      <c r="N56" s="26">
        <v>5</v>
      </c>
      <c r="O56" s="26">
        <v>0</v>
      </c>
      <c r="P56" s="26">
        <v>0</v>
      </c>
      <c r="Q56" s="26">
        <v>0</v>
      </c>
      <c r="R56" s="26">
        <v>58</v>
      </c>
      <c r="S56" s="26">
        <v>15</v>
      </c>
      <c r="T56" s="26">
        <v>0</v>
      </c>
      <c r="U56" s="26">
        <v>2</v>
      </c>
      <c r="V56" s="26">
        <v>12</v>
      </c>
      <c r="W56" s="26">
        <v>2</v>
      </c>
      <c r="X56" s="26">
        <v>1</v>
      </c>
      <c r="Y56" s="26">
        <v>7</v>
      </c>
      <c r="Z56" s="26">
        <v>18</v>
      </c>
      <c r="AA56" s="26">
        <v>8</v>
      </c>
      <c r="AB56" s="26">
        <v>2</v>
      </c>
      <c r="AC56" s="26">
        <v>5</v>
      </c>
      <c r="AD56" s="26">
        <v>25</v>
      </c>
      <c r="AE56" s="26">
        <v>11</v>
      </c>
      <c r="AF56" s="26">
        <v>0</v>
      </c>
      <c r="AG56" s="26">
        <v>151</v>
      </c>
      <c r="AH56" s="26">
        <v>0</v>
      </c>
      <c r="AI56" s="26">
        <v>0</v>
      </c>
      <c r="AJ56" s="26">
        <v>10</v>
      </c>
      <c r="AK56" s="125" t="s">
        <v>96</v>
      </c>
      <c r="AL56" s="4"/>
      <c r="AM56" s="47" t="s">
        <v>75</v>
      </c>
      <c r="AN56" s="48"/>
      <c r="AO56" s="16">
        <v>1</v>
      </c>
      <c r="AP56" s="16">
        <v>0</v>
      </c>
      <c r="AQ56" s="16">
        <v>16</v>
      </c>
      <c r="AR56" s="16">
        <v>7</v>
      </c>
      <c r="AS56" s="16">
        <v>0</v>
      </c>
      <c r="AT56" s="16">
        <v>0</v>
      </c>
      <c r="AU56" s="16">
        <v>4</v>
      </c>
      <c r="AV56" s="16">
        <v>0</v>
      </c>
      <c r="AW56" s="16">
        <v>15</v>
      </c>
      <c r="AX56" s="16">
        <v>0</v>
      </c>
      <c r="AY56" s="16">
        <v>5</v>
      </c>
      <c r="AZ56" s="16">
        <v>2</v>
      </c>
      <c r="BA56" s="16">
        <v>0</v>
      </c>
      <c r="BB56" s="16">
        <v>0</v>
      </c>
      <c r="BC56" s="16">
        <v>0</v>
      </c>
      <c r="BD56" s="16">
        <v>0</v>
      </c>
      <c r="BE56" s="16">
        <v>0</v>
      </c>
      <c r="BF56" s="16">
        <v>10</v>
      </c>
      <c r="BG56" s="16">
        <v>0</v>
      </c>
      <c r="BH56" s="16">
        <v>0</v>
      </c>
      <c r="BI56" s="16">
        <v>0</v>
      </c>
      <c r="BJ56" s="16">
        <v>5</v>
      </c>
      <c r="BK56" s="16">
        <v>0</v>
      </c>
      <c r="BL56" s="16">
        <v>0</v>
      </c>
      <c r="BM56" s="16">
        <v>0</v>
      </c>
      <c r="BN56" s="16">
        <v>51</v>
      </c>
      <c r="BO56" s="16">
        <v>2</v>
      </c>
      <c r="BP56" s="16">
        <v>3</v>
      </c>
      <c r="BQ56" s="16">
        <v>0</v>
      </c>
      <c r="BR56" s="16">
        <v>0</v>
      </c>
      <c r="BS56" s="16">
        <v>0</v>
      </c>
    </row>
    <row r="57" spans="1:195" ht="18.600000000000001" customHeight="1" x14ac:dyDescent="0.25">
      <c r="A57" s="134"/>
      <c r="B57" s="6"/>
      <c r="C57" s="49" t="s">
        <v>76</v>
      </c>
      <c r="D57" s="50"/>
      <c r="E57" s="79">
        <f t="shared" si="0"/>
        <v>11</v>
      </c>
      <c r="F57" s="56">
        <v>0</v>
      </c>
      <c r="G57" s="56">
        <v>0</v>
      </c>
      <c r="H57" s="56">
        <v>0</v>
      </c>
      <c r="I57" s="56">
        <v>0</v>
      </c>
      <c r="J57" s="56">
        <v>0</v>
      </c>
      <c r="K57" s="56">
        <v>0</v>
      </c>
      <c r="L57" s="56">
        <v>0</v>
      </c>
      <c r="M57" s="56">
        <v>0</v>
      </c>
      <c r="N57" s="56">
        <v>0</v>
      </c>
      <c r="O57" s="56">
        <v>0</v>
      </c>
      <c r="P57" s="56">
        <v>0</v>
      </c>
      <c r="Q57" s="56">
        <v>0</v>
      </c>
      <c r="R57" s="56">
        <v>1</v>
      </c>
      <c r="S57" s="56">
        <v>0</v>
      </c>
      <c r="T57" s="56">
        <v>0</v>
      </c>
      <c r="U57" s="56">
        <v>0</v>
      </c>
      <c r="V57" s="56">
        <v>0</v>
      </c>
      <c r="W57" s="56">
        <v>0</v>
      </c>
      <c r="X57" s="56">
        <v>0</v>
      </c>
      <c r="Y57" s="56">
        <v>0</v>
      </c>
      <c r="Z57" s="56">
        <v>0</v>
      </c>
      <c r="AA57" s="56">
        <v>0</v>
      </c>
      <c r="AB57" s="56">
        <v>0</v>
      </c>
      <c r="AC57" s="56">
        <v>0</v>
      </c>
      <c r="AD57" s="56">
        <v>0</v>
      </c>
      <c r="AE57" s="56">
        <v>0</v>
      </c>
      <c r="AF57" s="56">
        <v>0</v>
      </c>
      <c r="AG57" s="56">
        <v>6</v>
      </c>
      <c r="AH57" s="56">
        <v>0</v>
      </c>
      <c r="AI57" s="56">
        <v>0</v>
      </c>
      <c r="AJ57" s="56">
        <v>0</v>
      </c>
      <c r="AK57" s="134"/>
      <c r="AL57" s="6"/>
      <c r="AM57" s="49" t="s">
        <v>76</v>
      </c>
      <c r="AN57" s="50"/>
      <c r="AO57" s="57">
        <v>0</v>
      </c>
      <c r="AP57" s="57">
        <v>0</v>
      </c>
      <c r="AQ57" s="57">
        <v>4</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c r="BQ57" s="57">
        <v>0</v>
      </c>
      <c r="BR57" s="57">
        <v>0</v>
      </c>
      <c r="BS57" s="57">
        <v>0</v>
      </c>
    </row>
    <row r="58" spans="1:195" s="58" customFormat="1" ht="18" customHeight="1" x14ac:dyDescent="0.3">
      <c r="AA58" s="59"/>
      <c r="AC58" s="60"/>
      <c r="AG58" s="61"/>
      <c r="AI58" s="62"/>
      <c r="AK58" s="63" t="s">
        <v>191</v>
      </c>
      <c r="AN58" s="63"/>
      <c r="AO58" s="63"/>
      <c r="AP58" s="64"/>
      <c r="AR58" s="63"/>
      <c r="AS58" s="63" t="s">
        <v>178</v>
      </c>
      <c r="AT58" s="63"/>
      <c r="AU58" s="62"/>
      <c r="AW58" s="63"/>
      <c r="AY58" s="64"/>
      <c r="AZ58" s="64"/>
      <c r="BA58" s="62" t="s">
        <v>179</v>
      </c>
      <c r="BC58" s="63"/>
      <c r="BD58" s="62"/>
      <c r="BE58" s="65"/>
      <c r="BF58" s="64"/>
      <c r="BH58" s="62" t="s">
        <v>180</v>
      </c>
      <c r="BK58" s="62"/>
      <c r="BL58" s="62"/>
      <c r="BM58" s="62"/>
      <c r="BN58" s="62"/>
      <c r="BP58" s="62"/>
      <c r="BQ58" s="62"/>
      <c r="BR58" s="62"/>
      <c r="BS58" s="66"/>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row>
    <row r="59" spans="1:195" s="58" customFormat="1" ht="12" customHeight="1" x14ac:dyDescent="0.3">
      <c r="AG59" s="61"/>
      <c r="AI59" s="62"/>
      <c r="AK59" s="63"/>
      <c r="AN59" s="63"/>
      <c r="AO59" s="63"/>
      <c r="AP59" s="64"/>
      <c r="AQ59" s="64"/>
      <c r="AR59" s="65"/>
      <c r="AS59" s="63"/>
      <c r="AT59" s="63"/>
      <c r="AU59" s="63"/>
      <c r="AW59" s="63"/>
      <c r="AY59" s="63"/>
      <c r="AZ59" s="63"/>
      <c r="BA59" s="65" t="s">
        <v>181</v>
      </c>
      <c r="BB59" s="63"/>
      <c r="BC59" s="63"/>
      <c r="BD59" s="62"/>
      <c r="BE59" s="65"/>
      <c r="BF59" s="63"/>
      <c r="BG59" s="62"/>
      <c r="BK59" s="65"/>
      <c r="BL59" s="62"/>
      <c r="BM59" s="63"/>
      <c r="BN59" s="63"/>
      <c r="BO59" s="63"/>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row>
  </sheetData>
  <mergeCells count="138">
    <mergeCell ref="A56:A57"/>
    <mergeCell ref="AK56:AK57"/>
    <mergeCell ref="A50:A51"/>
    <mergeCell ref="AK50:AK51"/>
    <mergeCell ref="A52:A53"/>
    <mergeCell ref="AK52:AK53"/>
    <mergeCell ref="A54:A55"/>
    <mergeCell ref="AK54:AK55"/>
    <mergeCell ref="A44:A45"/>
    <mergeCell ref="AK44:AK45"/>
    <mergeCell ref="A46:A47"/>
    <mergeCell ref="AK46:AK47"/>
    <mergeCell ref="A48:A49"/>
    <mergeCell ref="AK48:AK49"/>
    <mergeCell ref="A38:A39"/>
    <mergeCell ref="AK38:AK39"/>
    <mergeCell ref="A40:A41"/>
    <mergeCell ref="AK40:AK41"/>
    <mergeCell ref="A42:A43"/>
    <mergeCell ref="AK42:AK43"/>
    <mergeCell ref="A32:A33"/>
    <mergeCell ref="AK32:AK33"/>
    <mergeCell ref="A34:A35"/>
    <mergeCell ref="AK34:AK35"/>
    <mergeCell ref="A36:A37"/>
    <mergeCell ref="AK36:AK37"/>
    <mergeCell ref="A26:A27"/>
    <mergeCell ref="AK26:AK27"/>
    <mergeCell ref="A28:A29"/>
    <mergeCell ref="AK28:AK29"/>
    <mergeCell ref="A30:A31"/>
    <mergeCell ref="AK30:AK31"/>
    <mergeCell ref="A20:A21"/>
    <mergeCell ref="AK20:AK21"/>
    <mergeCell ref="A22:A23"/>
    <mergeCell ref="AK22:AK23"/>
    <mergeCell ref="A24:A25"/>
    <mergeCell ref="AK24:AK25"/>
    <mergeCell ref="A14:A15"/>
    <mergeCell ref="AK14:AK15"/>
    <mergeCell ref="A16:A17"/>
    <mergeCell ref="AK16:AK17"/>
    <mergeCell ref="A18:A19"/>
    <mergeCell ref="AK18:AK19"/>
    <mergeCell ref="BP7:BP11"/>
    <mergeCell ref="BQ7:BQ11"/>
    <mergeCell ref="BR7:BR11"/>
    <mergeCell ref="AF7:AF11"/>
    <mergeCell ref="AG7:AG11"/>
    <mergeCell ref="AH7:AH11"/>
    <mergeCell ref="AI7:AI11"/>
    <mergeCell ref="AJ7:AJ11"/>
    <mergeCell ref="Y7:Y11"/>
    <mergeCell ref="Z7:Z11"/>
    <mergeCell ref="AA7:AA11"/>
    <mergeCell ref="AB7:AB11"/>
    <mergeCell ref="AC7:AC11"/>
    <mergeCell ref="AD7:AD11"/>
    <mergeCell ref="O7:O11"/>
    <mergeCell ref="P7:P11"/>
    <mergeCell ref="Q7:Q11"/>
    <mergeCell ref="R7:R11"/>
    <mergeCell ref="A12:A13"/>
    <mergeCell ref="AK12:AK13"/>
    <mergeCell ref="BG7:BG11"/>
    <mergeCell ref="BI7:BI11"/>
    <mergeCell ref="BJ7:BJ11"/>
    <mergeCell ref="BK7:BK11"/>
    <mergeCell ref="BN7:BN11"/>
    <mergeCell ref="BO7:BO11"/>
    <mergeCell ref="AU7:AU11"/>
    <mergeCell ref="AX7:AX11"/>
    <mergeCell ref="AY7:AY11"/>
    <mergeCell ref="AZ7:AZ11"/>
    <mergeCell ref="BA7:BA11"/>
    <mergeCell ref="BB7:BB11"/>
    <mergeCell ref="AW6:AW11"/>
    <mergeCell ref="AX6:AZ6"/>
    <mergeCell ref="AO7:AO11"/>
    <mergeCell ref="AP7:AP11"/>
    <mergeCell ref="AQ7:AQ11"/>
    <mergeCell ref="AR7:AR11"/>
    <mergeCell ref="AS7:AS11"/>
    <mergeCell ref="AT7:AT11"/>
    <mergeCell ref="AE7:AE11"/>
    <mergeCell ref="BI6:BK6"/>
    <mergeCell ref="BL6:BL11"/>
    <mergeCell ref="BM6:BM11"/>
    <mergeCell ref="BN6:BP6"/>
    <mergeCell ref="BQ6:BS6"/>
    <mergeCell ref="F7:F11"/>
    <mergeCell ref="G7:G11"/>
    <mergeCell ref="H7:H11"/>
    <mergeCell ref="I7:I11"/>
    <mergeCell ref="J7:J11"/>
    <mergeCell ref="BA6:BC6"/>
    <mergeCell ref="BD6:BE6"/>
    <mergeCell ref="BF6:BG6"/>
    <mergeCell ref="BH6:BH11"/>
    <mergeCell ref="BC7:BC11"/>
    <mergeCell ref="BD7:BD11"/>
    <mergeCell ref="BE7:BE11"/>
    <mergeCell ref="BF7:BF11"/>
    <mergeCell ref="U6:AF6"/>
    <mergeCell ref="AG6:AJ6"/>
    <mergeCell ref="AK6:AN11"/>
    <mergeCell ref="AO6:AR6"/>
    <mergeCell ref="BS7:BS11"/>
    <mergeCell ref="AS6:AU6"/>
    <mergeCell ref="AV6:AV11"/>
    <mergeCell ref="U7:U11"/>
    <mergeCell ref="V7:V11"/>
    <mergeCell ref="W7:W11"/>
    <mergeCell ref="X7:X11"/>
    <mergeCell ref="A6:D11"/>
    <mergeCell ref="E6:E11"/>
    <mergeCell ref="F6:K6"/>
    <mergeCell ref="L6:N6"/>
    <mergeCell ref="O6:Q6"/>
    <mergeCell ref="R6:T6"/>
    <mergeCell ref="K7:K11"/>
    <mergeCell ref="L7:L11"/>
    <mergeCell ref="M7:M11"/>
    <mergeCell ref="N7:N11"/>
    <mergeCell ref="S7:S11"/>
    <mergeCell ref="T7:T11"/>
    <mergeCell ref="A2:B2"/>
    <mergeCell ref="AK2:AL2"/>
    <mergeCell ref="AE2:AF2"/>
    <mergeCell ref="AG2:AJ2"/>
    <mergeCell ref="BN2:BO2"/>
    <mergeCell ref="BP2:BS2"/>
    <mergeCell ref="A1:B1"/>
    <mergeCell ref="AK1:AL1"/>
    <mergeCell ref="AE1:AF1"/>
    <mergeCell ref="AG1:AJ1"/>
    <mergeCell ref="BN1:BO1"/>
    <mergeCell ref="BP1:BS1"/>
  </mergeCells>
  <phoneticPr fontId="5" type="noConversion"/>
  <printOptions horizontalCentered="1"/>
  <pageMargins left="0.25" right="0.25" top="0.75" bottom="0.75" header="0.3" footer="0.3"/>
  <pageSetup paperSize="8" scale="65" firstPageNumber="41"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I61"/>
  <sheetViews>
    <sheetView zoomScale="80" zoomScaleNormal="80" workbookViewId="0">
      <selection sqref="A1:B1"/>
    </sheetView>
  </sheetViews>
  <sheetFormatPr defaultColWidth="9.6640625" defaultRowHeight="15.6" x14ac:dyDescent="0.25"/>
  <cols>
    <col min="1" max="1" width="18" style="5" customWidth="1"/>
    <col min="2" max="2" width="3" style="5" customWidth="1"/>
    <col min="3" max="3" width="26" style="5" customWidth="1"/>
    <col min="4" max="4" width="3" style="5" customWidth="1"/>
    <col min="5" max="5" width="15.6640625" style="5" customWidth="1"/>
    <col min="6" max="67" width="14" style="5" customWidth="1"/>
    <col min="68" max="16384" width="9.6640625" style="5"/>
  </cols>
  <sheetData>
    <row r="1" spans="1:69" s="37" customFormat="1" ht="16.5"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F1" s="170" t="s">
        <v>45</v>
      </c>
      <c r="AG1" s="171"/>
      <c r="AH1" s="172" t="s">
        <v>46</v>
      </c>
      <c r="AI1" s="173"/>
      <c r="AJ1" s="174"/>
      <c r="AK1" s="36"/>
      <c r="AL1" s="5"/>
      <c r="AM1" s="5"/>
      <c r="AN1" s="5"/>
      <c r="AO1" s="5"/>
      <c r="AP1" s="5"/>
      <c r="AQ1" s="5"/>
      <c r="AR1" s="5"/>
      <c r="AS1" s="5"/>
      <c r="AT1" s="5"/>
      <c r="AU1" s="5"/>
      <c r="AV1" s="5"/>
      <c r="AW1" s="5"/>
      <c r="AX1" s="5"/>
      <c r="AY1" s="5"/>
      <c r="AZ1" s="5"/>
      <c r="BA1" s="5"/>
      <c r="BB1" s="5"/>
      <c r="BC1" s="5"/>
      <c r="BD1" s="5"/>
      <c r="BE1" s="5"/>
      <c r="BF1" s="5"/>
      <c r="BG1" s="5"/>
      <c r="BH1" s="38"/>
      <c r="BK1" s="170" t="s">
        <v>45</v>
      </c>
      <c r="BL1" s="171"/>
      <c r="BM1" s="172" t="s">
        <v>46</v>
      </c>
      <c r="BN1" s="173"/>
      <c r="BO1" s="174"/>
      <c r="BP1" s="38"/>
      <c r="BQ1" s="38"/>
    </row>
    <row r="2" spans="1:69" s="37" customFormat="1" ht="17.25" customHeight="1" x14ac:dyDescent="0.3">
      <c r="A2" s="163" t="s">
        <v>391</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41"/>
      <c r="AF2" s="165" t="s">
        <v>392</v>
      </c>
      <c r="AG2" s="166"/>
      <c r="AH2" s="167" t="s">
        <v>376</v>
      </c>
      <c r="AI2" s="168"/>
      <c r="AJ2" s="169"/>
      <c r="AK2" s="40"/>
      <c r="AL2" s="33"/>
      <c r="AM2" s="33"/>
      <c r="AN2" s="33"/>
      <c r="AO2" s="33"/>
      <c r="AP2" s="33"/>
      <c r="AQ2" s="33"/>
      <c r="AR2" s="33"/>
      <c r="AS2" s="33"/>
      <c r="AT2" s="33"/>
      <c r="AU2" s="33"/>
      <c r="AV2" s="33"/>
      <c r="AW2" s="33"/>
      <c r="AX2" s="33"/>
      <c r="AY2" s="33"/>
      <c r="AZ2" s="33"/>
      <c r="BA2" s="33"/>
      <c r="BB2" s="33"/>
      <c r="BC2" s="33"/>
      <c r="BD2" s="33"/>
      <c r="BE2" s="33"/>
      <c r="BF2" s="33"/>
      <c r="BG2" s="33"/>
      <c r="BH2" s="42"/>
      <c r="BI2" s="41"/>
      <c r="BJ2" s="41"/>
      <c r="BK2" s="165" t="s">
        <v>392</v>
      </c>
      <c r="BL2" s="166"/>
      <c r="BM2" s="167" t="s">
        <v>376</v>
      </c>
      <c r="BN2" s="168"/>
      <c r="BO2" s="169"/>
      <c r="BP2" s="43"/>
      <c r="BQ2" s="43"/>
    </row>
    <row r="3" spans="1:69" s="37" customFormat="1" ht="6.6" customHeight="1" x14ac:dyDescent="0.25">
      <c r="A3" s="209"/>
      <c r="B3" s="36"/>
      <c r="C3" s="36"/>
      <c r="D3" s="36"/>
      <c r="E3" s="36"/>
      <c r="F3" s="36"/>
      <c r="G3" s="36"/>
      <c r="H3" s="36"/>
      <c r="I3" s="36"/>
      <c r="J3" s="36"/>
      <c r="K3" s="36"/>
      <c r="L3" s="36"/>
      <c r="M3" s="36"/>
      <c r="N3" s="36"/>
      <c r="O3" s="36"/>
      <c r="P3" s="36"/>
      <c r="Q3" s="36"/>
      <c r="R3" s="36"/>
      <c r="S3" s="36"/>
      <c r="T3" s="36"/>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210"/>
      <c r="BQ3" s="211"/>
    </row>
    <row r="4" spans="1:69" s="212" customFormat="1" ht="36" customHeight="1" x14ac:dyDescent="0.25">
      <c r="B4" s="213"/>
      <c r="C4" s="213"/>
      <c r="D4" s="213"/>
      <c r="E4" s="213"/>
      <c r="F4" s="213"/>
      <c r="G4" s="213"/>
      <c r="H4" s="213"/>
      <c r="I4" s="213"/>
      <c r="K4" s="213"/>
      <c r="M4" s="213"/>
      <c r="O4" s="213"/>
      <c r="P4" s="214" t="s">
        <v>384</v>
      </c>
      <c r="Q4" s="213"/>
      <c r="R4" s="213"/>
      <c r="S4" s="213"/>
      <c r="T4" s="213"/>
      <c r="U4" s="215"/>
      <c r="V4" s="215"/>
      <c r="W4" s="215"/>
      <c r="X4" s="215"/>
      <c r="Y4" s="215"/>
      <c r="Z4" s="215"/>
      <c r="AA4" s="216"/>
      <c r="AB4" s="216"/>
      <c r="AC4" s="216"/>
      <c r="AD4" s="216"/>
      <c r="AE4" s="216"/>
      <c r="AF4" s="216"/>
      <c r="AG4" s="216"/>
      <c r="AH4" s="216"/>
      <c r="AI4" s="216"/>
      <c r="AJ4" s="216"/>
      <c r="AK4" s="215"/>
      <c r="AL4" s="215"/>
      <c r="AM4" s="215"/>
      <c r="AN4" s="215"/>
      <c r="AO4" s="215"/>
      <c r="AP4" s="216"/>
      <c r="AQ4" s="217"/>
      <c r="AR4" s="217"/>
      <c r="AU4" s="214" t="s">
        <v>393</v>
      </c>
      <c r="AV4" s="217"/>
      <c r="AW4" s="217"/>
      <c r="AX4" s="217"/>
      <c r="AY4" s="215"/>
      <c r="AZ4" s="215"/>
      <c r="BA4" s="215"/>
      <c r="BB4" s="215"/>
      <c r="BC4" s="215"/>
      <c r="BD4" s="215"/>
      <c r="BE4" s="216"/>
      <c r="BF4" s="217"/>
      <c r="BG4" s="217"/>
      <c r="BH4" s="217"/>
      <c r="BI4" s="217"/>
      <c r="BJ4" s="217"/>
      <c r="BK4" s="217"/>
      <c r="BL4" s="217"/>
      <c r="BM4" s="217"/>
      <c r="BN4" s="217"/>
      <c r="BO4" s="217"/>
      <c r="BP4" s="218"/>
      <c r="BQ4" s="218"/>
    </row>
    <row r="5" spans="1:69" s="37" customFormat="1" ht="19.5" customHeight="1" x14ac:dyDescent="0.25">
      <c r="A5" s="40"/>
      <c r="B5" s="41"/>
      <c r="C5" s="41"/>
      <c r="D5" s="67"/>
      <c r="E5" s="67"/>
      <c r="F5" s="67"/>
      <c r="G5" s="67"/>
      <c r="H5" s="67"/>
      <c r="I5" s="67"/>
      <c r="J5" s="67"/>
      <c r="K5" s="67"/>
      <c r="L5" s="67"/>
      <c r="M5" s="67"/>
      <c r="N5" s="67"/>
      <c r="O5" s="41"/>
      <c r="P5" s="67"/>
      <c r="R5" s="44" t="s">
        <v>411</v>
      </c>
      <c r="S5" s="67"/>
      <c r="T5" s="33"/>
      <c r="V5" s="33"/>
      <c r="W5" s="33"/>
      <c r="X5" s="68"/>
      <c r="Y5" s="5"/>
      <c r="Z5" s="33"/>
      <c r="AA5" s="33"/>
      <c r="AB5" s="33"/>
      <c r="AC5" s="33"/>
      <c r="AD5" s="33"/>
      <c r="AE5" s="33"/>
      <c r="AF5" s="33"/>
      <c r="AH5" s="33"/>
      <c r="AI5" s="33"/>
      <c r="AJ5" s="45" t="s">
        <v>48</v>
      </c>
      <c r="AK5" s="45"/>
      <c r="AL5" s="33"/>
      <c r="AM5" s="33"/>
      <c r="AN5" s="33"/>
      <c r="AO5" s="33"/>
      <c r="AP5" s="33"/>
      <c r="AQ5" s="33"/>
      <c r="AR5" s="33"/>
      <c r="AS5" s="33"/>
      <c r="AT5" s="33"/>
      <c r="AU5" s="33"/>
      <c r="AV5" s="33"/>
      <c r="AW5" s="44" t="s">
        <v>412</v>
      </c>
      <c r="AX5" s="45"/>
      <c r="AY5" s="45"/>
      <c r="AZ5" s="45"/>
      <c r="BA5" s="45"/>
      <c r="BB5" s="5"/>
      <c r="BC5" s="33"/>
      <c r="BD5" s="33"/>
      <c r="BE5" s="33"/>
      <c r="BF5" s="33"/>
      <c r="BG5" s="33"/>
      <c r="BH5" s="33"/>
      <c r="BI5" s="5"/>
      <c r="BJ5" s="5"/>
      <c r="BK5" s="5"/>
      <c r="BL5" s="5"/>
      <c r="BM5" s="5"/>
      <c r="BO5" s="45" t="s">
        <v>48</v>
      </c>
    </row>
    <row r="6" spans="1:69" ht="17.25"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38" t="s">
        <v>147</v>
      </c>
      <c r="V6" s="138"/>
      <c r="W6" s="138"/>
      <c r="X6" s="138"/>
      <c r="Y6" s="138"/>
      <c r="Z6" s="138"/>
      <c r="AA6" s="138"/>
      <c r="AB6" s="138"/>
      <c r="AC6" s="138"/>
      <c r="AD6" s="138"/>
      <c r="AE6" s="138"/>
      <c r="AF6" s="138"/>
      <c r="AG6" s="145" t="s">
        <v>148</v>
      </c>
      <c r="AH6" s="146"/>
      <c r="AI6" s="146"/>
      <c r="AJ6" s="146"/>
      <c r="AK6" s="145" t="s">
        <v>148</v>
      </c>
      <c r="AL6" s="146"/>
      <c r="AM6" s="146"/>
      <c r="AN6" s="147"/>
      <c r="AO6" s="141" t="s">
        <v>149</v>
      </c>
      <c r="AP6" s="141"/>
      <c r="AQ6" s="141"/>
      <c r="AR6" s="140" t="s">
        <v>395</v>
      </c>
      <c r="AS6" s="140" t="s">
        <v>150</v>
      </c>
      <c r="AT6" s="141" t="s">
        <v>58</v>
      </c>
      <c r="AU6" s="141"/>
      <c r="AV6" s="141"/>
      <c r="AW6" s="142" t="s">
        <v>59</v>
      </c>
      <c r="AX6" s="142"/>
      <c r="AY6" s="143"/>
      <c r="AZ6" s="144" t="s">
        <v>60</v>
      </c>
      <c r="BA6" s="144"/>
      <c r="BB6" s="144" t="s">
        <v>151</v>
      </c>
      <c r="BC6" s="144"/>
      <c r="BD6" s="140" t="s">
        <v>198</v>
      </c>
      <c r="BE6" s="144" t="s">
        <v>63</v>
      </c>
      <c r="BF6" s="144"/>
      <c r="BG6" s="144"/>
      <c r="BH6" s="140" t="s">
        <v>152</v>
      </c>
      <c r="BI6" s="140" t="s">
        <v>153</v>
      </c>
      <c r="BJ6" s="141" t="s">
        <v>97</v>
      </c>
      <c r="BK6" s="149"/>
      <c r="BL6" s="149"/>
      <c r="BM6" s="149" t="s">
        <v>65</v>
      </c>
      <c r="BN6" s="143"/>
      <c r="BO6" s="151"/>
    </row>
    <row r="7" spans="1:69" ht="24.9" customHeight="1" x14ac:dyDescent="0.25">
      <c r="A7" s="125"/>
      <c r="B7" s="125"/>
      <c r="C7" s="125"/>
      <c r="D7" s="125"/>
      <c r="E7" s="136"/>
      <c r="F7" s="139" t="s">
        <v>154</v>
      </c>
      <c r="G7" s="139" t="s">
        <v>155</v>
      </c>
      <c r="H7" s="139" t="s">
        <v>230</v>
      </c>
      <c r="I7" s="139" t="s">
        <v>199</v>
      </c>
      <c r="J7" s="139" t="s">
        <v>66</v>
      </c>
      <c r="K7" s="139" t="s">
        <v>200</v>
      </c>
      <c r="L7" s="139" t="s">
        <v>156</v>
      </c>
      <c r="M7" s="139" t="s">
        <v>396</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9" t="s">
        <v>99</v>
      </c>
      <c r="AC7" s="139" t="s">
        <v>114</v>
      </c>
      <c r="AD7" s="139" t="s">
        <v>162</v>
      </c>
      <c r="AE7" s="139" t="s">
        <v>137</v>
      </c>
      <c r="AF7" s="139" t="s">
        <v>100</v>
      </c>
      <c r="AG7" s="139" t="s">
        <v>122</v>
      </c>
      <c r="AH7" s="139" t="s">
        <v>163</v>
      </c>
      <c r="AI7" s="139" t="s">
        <v>164</v>
      </c>
      <c r="AJ7" s="139" t="s">
        <v>165</v>
      </c>
      <c r="AK7" s="139" t="s">
        <v>166</v>
      </c>
      <c r="AL7" s="139" t="s">
        <v>167</v>
      </c>
      <c r="AM7" s="139" t="s">
        <v>168</v>
      </c>
      <c r="AN7" s="154" t="s">
        <v>232</v>
      </c>
      <c r="AO7" s="155" t="s">
        <v>169</v>
      </c>
      <c r="AP7" s="157" t="s">
        <v>397</v>
      </c>
      <c r="AQ7" s="226" t="s">
        <v>398</v>
      </c>
      <c r="AR7" s="140"/>
      <c r="AS7" s="140"/>
      <c r="AT7" s="140" t="s">
        <v>170</v>
      </c>
      <c r="AU7" s="140" t="s">
        <v>171</v>
      </c>
      <c r="AV7" s="140" t="s">
        <v>399</v>
      </c>
      <c r="AW7" s="140" t="s">
        <v>105</v>
      </c>
      <c r="AX7" s="140" t="s">
        <v>172</v>
      </c>
      <c r="AY7" s="140" t="s">
        <v>234</v>
      </c>
      <c r="AZ7" s="140" t="s">
        <v>400</v>
      </c>
      <c r="BA7" s="140" t="s">
        <v>173</v>
      </c>
      <c r="BB7" s="140" t="s">
        <v>110</v>
      </c>
      <c r="BC7" s="140" t="s">
        <v>236</v>
      </c>
      <c r="BD7" s="140"/>
      <c r="BE7" s="140" t="s">
        <v>237</v>
      </c>
      <c r="BF7" s="140" t="s">
        <v>174</v>
      </c>
      <c r="BG7" s="140" t="s">
        <v>238</v>
      </c>
      <c r="BH7" s="140"/>
      <c r="BI7" s="140"/>
      <c r="BJ7" s="140" t="s">
        <v>239</v>
      </c>
      <c r="BK7" s="140" t="s">
        <v>240</v>
      </c>
      <c r="BL7" s="140" t="s">
        <v>401</v>
      </c>
      <c r="BM7" s="140" t="s">
        <v>112</v>
      </c>
      <c r="BN7" s="140" t="s">
        <v>175</v>
      </c>
      <c r="BO7" s="150" t="s">
        <v>241</v>
      </c>
    </row>
    <row r="8" spans="1:69" ht="24.9"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54"/>
      <c r="AO8" s="156"/>
      <c r="AP8" s="227"/>
      <c r="AQ8" s="228"/>
      <c r="AR8" s="140"/>
      <c r="AS8" s="140"/>
      <c r="AT8" s="140"/>
      <c r="AU8" s="140"/>
      <c r="AV8" s="140"/>
      <c r="AW8" s="152"/>
      <c r="AX8" s="140"/>
      <c r="AY8" s="140"/>
      <c r="AZ8" s="143"/>
      <c r="BA8" s="143"/>
      <c r="BB8" s="152"/>
      <c r="BC8" s="140"/>
      <c r="BD8" s="140"/>
      <c r="BE8" s="153"/>
      <c r="BF8" s="153"/>
      <c r="BG8" s="152"/>
      <c r="BH8" s="140"/>
      <c r="BI8" s="140"/>
      <c r="BJ8" s="140"/>
      <c r="BK8" s="140"/>
      <c r="BL8" s="152"/>
      <c r="BM8" s="152"/>
      <c r="BN8" s="140"/>
      <c r="BO8" s="150"/>
    </row>
    <row r="9" spans="1:69" ht="24.9"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54"/>
      <c r="AO9" s="156"/>
      <c r="AP9" s="227"/>
      <c r="AQ9" s="228"/>
      <c r="AR9" s="140"/>
      <c r="AS9" s="140"/>
      <c r="AT9" s="140"/>
      <c r="AU9" s="140"/>
      <c r="AV9" s="140"/>
      <c r="AW9" s="152"/>
      <c r="AX9" s="140"/>
      <c r="AY9" s="140"/>
      <c r="AZ9" s="143"/>
      <c r="BA9" s="143"/>
      <c r="BB9" s="152"/>
      <c r="BC9" s="140"/>
      <c r="BD9" s="140"/>
      <c r="BE9" s="153"/>
      <c r="BF9" s="153"/>
      <c r="BG9" s="152"/>
      <c r="BH9" s="140"/>
      <c r="BI9" s="140"/>
      <c r="BJ9" s="140"/>
      <c r="BK9" s="140"/>
      <c r="BL9" s="152"/>
      <c r="BM9" s="152"/>
      <c r="BN9" s="140"/>
      <c r="BO9" s="150"/>
    </row>
    <row r="10" spans="1:69" ht="24.9"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54"/>
      <c r="AO10" s="156"/>
      <c r="AP10" s="227"/>
      <c r="AQ10" s="228"/>
      <c r="AR10" s="140"/>
      <c r="AS10" s="140"/>
      <c r="AT10" s="140"/>
      <c r="AU10" s="140"/>
      <c r="AV10" s="140"/>
      <c r="AW10" s="152"/>
      <c r="AX10" s="140"/>
      <c r="AY10" s="140"/>
      <c r="AZ10" s="143"/>
      <c r="BA10" s="143"/>
      <c r="BB10" s="152"/>
      <c r="BC10" s="140"/>
      <c r="BD10" s="140"/>
      <c r="BE10" s="153"/>
      <c r="BF10" s="153"/>
      <c r="BG10" s="152"/>
      <c r="BH10" s="140"/>
      <c r="BI10" s="140"/>
      <c r="BJ10" s="140"/>
      <c r="BK10" s="140"/>
      <c r="BL10" s="152"/>
      <c r="BM10" s="152"/>
      <c r="BN10" s="140"/>
      <c r="BO10" s="150"/>
    </row>
    <row r="11" spans="1:69" ht="24.9"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54"/>
      <c r="AO11" s="156"/>
      <c r="AP11" s="227"/>
      <c r="AQ11" s="228"/>
      <c r="AR11" s="140"/>
      <c r="AS11" s="140"/>
      <c r="AT11" s="140"/>
      <c r="AU11" s="140"/>
      <c r="AV11" s="140"/>
      <c r="AW11" s="152"/>
      <c r="AX11" s="140"/>
      <c r="AY11" s="140"/>
      <c r="AZ11" s="143"/>
      <c r="BA11" s="143"/>
      <c r="BB11" s="152"/>
      <c r="BC11" s="140"/>
      <c r="BD11" s="140"/>
      <c r="BE11" s="153"/>
      <c r="BF11" s="153"/>
      <c r="BG11" s="152"/>
      <c r="BH11" s="140"/>
      <c r="BI11" s="140"/>
      <c r="BJ11" s="140"/>
      <c r="BK11" s="140"/>
      <c r="BL11" s="152"/>
      <c r="BM11" s="152"/>
      <c r="BN11" s="140"/>
      <c r="BO11" s="150"/>
    </row>
    <row r="12" spans="1:69" ht="18.600000000000001" customHeight="1" x14ac:dyDescent="0.25">
      <c r="A12" s="231" t="s">
        <v>402</v>
      </c>
      <c r="B12" s="107"/>
      <c r="C12" s="232" t="s">
        <v>403</v>
      </c>
      <c r="D12" s="52"/>
      <c r="E12" s="16">
        <f t="shared" ref="E12:E57" si="0">SUM(F12:BO12)</f>
        <v>452864</v>
      </c>
      <c r="F12" s="16">
        <f>F14+F16+F18+F20+F22+F24+F26+F28+F30+F32+F34+F36+F38+F40+F42+F44+F46+F48+F50+F52+F54+F56</f>
        <v>3306</v>
      </c>
      <c r="G12" s="16">
        <f t="shared" ref="G12:BO13" si="1">G14+G16+G18+G20+G22+G24+G26+G28+G30+G32+G34+G36+G38+G40+G42+G44+G46+G48+G50+G52+G54+G56</f>
        <v>2580</v>
      </c>
      <c r="H12" s="16">
        <f t="shared" si="1"/>
        <v>1707</v>
      </c>
      <c r="I12" s="16">
        <f t="shared" si="1"/>
        <v>189</v>
      </c>
      <c r="J12" s="16">
        <f t="shared" si="1"/>
        <v>636</v>
      </c>
      <c r="K12" s="16">
        <f t="shared" si="1"/>
        <v>957</v>
      </c>
      <c r="L12" s="16">
        <f t="shared" si="1"/>
        <v>48992</v>
      </c>
      <c r="M12" s="16">
        <f t="shared" si="1"/>
        <v>25101</v>
      </c>
      <c r="N12" s="16">
        <f t="shared" si="1"/>
        <v>897</v>
      </c>
      <c r="O12" s="16">
        <f t="shared" si="1"/>
        <v>2026</v>
      </c>
      <c r="P12" s="16">
        <f t="shared" si="1"/>
        <v>1592</v>
      </c>
      <c r="Q12" s="16">
        <f t="shared" si="1"/>
        <v>7</v>
      </c>
      <c r="R12" s="16">
        <f t="shared" si="1"/>
        <v>4750</v>
      </c>
      <c r="S12" s="16">
        <f t="shared" si="1"/>
        <v>5361</v>
      </c>
      <c r="T12" s="16">
        <f t="shared" si="1"/>
        <v>1554</v>
      </c>
      <c r="U12" s="16">
        <f t="shared" si="1"/>
        <v>4169</v>
      </c>
      <c r="V12" s="16">
        <f t="shared" si="1"/>
        <v>13033</v>
      </c>
      <c r="W12" s="16">
        <f t="shared" si="1"/>
        <v>1044</v>
      </c>
      <c r="X12" s="16">
        <f t="shared" si="1"/>
        <v>557</v>
      </c>
      <c r="Y12" s="16">
        <f t="shared" si="1"/>
        <v>1659</v>
      </c>
      <c r="Z12" s="16">
        <f t="shared" si="1"/>
        <v>16165</v>
      </c>
      <c r="AA12" s="16">
        <f t="shared" si="1"/>
        <v>4243</v>
      </c>
      <c r="AB12" s="16">
        <f t="shared" si="1"/>
        <v>2991</v>
      </c>
      <c r="AC12" s="16">
        <f t="shared" si="1"/>
        <v>6672</v>
      </c>
      <c r="AD12" s="16">
        <f t="shared" si="1"/>
        <v>67150</v>
      </c>
      <c r="AE12" s="16">
        <f t="shared" si="1"/>
        <v>29071</v>
      </c>
      <c r="AF12" s="16">
        <f t="shared" si="1"/>
        <v>0</v>
      </c>
      <c r="AG12" s="16">
        <f t="shared" si="1"/>
        <v>28640</v>
      </c>
      <c r="AH12" s="16">
        <f t="shared" si="1"/>
        <v>2110</v>
      </c>
      <c r="AI12" s="16">
        <f t="shared" si="1"/>
        <v>382</v>
      </c>
      <c r="AJ12" s="16">
        <f t="shared" si="1"/>
        <v>7481</v>
      </c>
      <c r="AK12" s="16">
        <f t="shared" ref="AK12:AN13" si="2">AK14+AK16+AK18+AK20+AK22+AK24+AK26+AK28+AK30+AK32+AK34+AK36+AK38+AK40+AK42+AK44+AK46+AK48+AK50+AK52+AK54+AK56</f>
        <v>930</v>
      </c>
      <c r="AL12" s="16">
        <f t="shared" si="2"/>
        <v>0</v>
      </c>
      <c r="AM12" s="16">
        <f t="shared" si="2"/>
        <v>7249</v>
      </c>
      <c r="AN12" s="16">
        <f t="shared" si="2"/>
        <v>3469</v>
      </c>
      <c r="AO12" s="16">
        <f t="shared" si="1"/>
        <v>387</v>
      </c>
      <c r="AP12" s="16">
        <f t="shared" si="1"/>
        <v>45</v>
      </c>
      <c r="AQ12" s="16">
        <f t="shared" si="1"/>
        <v>639</v>
      </c>
      <c r="AR12" s="16">
        <f t="shared" si="1"/>
        <v>2901</v>
      </c>
      <c r="AS12" s="16">
        <f t="shared" si="1"/>
        <v>4226</v>
      </c>
      <c r="AT12" s="16">
        <f t="shared" si="1"/>
        <v>3992</v>
      </c>
      <c r="AU12" s="16">
        <f t="shared" si="1"/>
        <v>53494</v>
      </c>
      <c r="AV12" s="16">
        <f t="shared" si="1"/>
        <v>7945</v>
      </c>
      <c r="AW12" s="16">
        <f t="shared" si="1"/>
        <v>263</v>
      </c>
      <c r="AX12" s="16">
        <f t="shared" si="1"/>
        <v>6695</v>
      </c>
      <c r="AY12" s="16">
        <f t="shared" si="1"/>
        <v>844</v>
      </c>
      <c r="AZ12" s="16">
        <f t="shared" si="1"/>
        <v>3005</v>
      </c>
      <c r="BA12" s="16">
        <f t="shared" si="1"/>
        <v>2510</v>
      </c>
      <c r="BB12" s="16">
        <f t="shared" si="1"/>
        <v>1313</v>
      </c>
      <c r="BC12" s="16">
        <f t="shared" si="1"/>
        <v>972</v>
      </c>
      <c r="BD12" s="16">
        <f t="shared" si="1"/>
        <v>249</v>
      </c>
      <c r="BE12" s="16">
        <f t="shared" si="1"/>
        <v>7132</v>
      </c>
      <c r="BF12" s="16">
        <f t="shared" si="1"/>
        <v>6876</v>
      </c>
      <c r="BG12" s="16">
        <f t="shared" si="1"/>
        <v>6729</v>
      </c>
      <c r="BH12" s="16">
        <f t="shared" si="1"/>
        <v>2896</v>
      </c>
      <c r="BI12" s="16">
        <f t="shared" si="1"/>
        <v>1939</v>
      </c>
      <c r="BJ12" s="16">
        <f t="shared" si="1"/>
        <v>19210</v>
      </c>
      <c r="BK12" s="16">
        <f t="shared" si="1"/>
        <v>5033</v>
      </c>
      <c r="BL12" s="16">
        <f t="shared" si="1"/>
        <v>10380</v>
      </c>
      <c r="BM12" s="16">
        <f t="shared" si="1"/>
        <v>201</v>
      </c>
      <c r="BN12" s="16">
        <f t="shared" si="1"/>
        <v>30</v>
      </c>
      <c r="BO12" s="16">
        <f t="shared" si="1"/>
        <v>6288</v>
      </c>
    </row>
    <row r="13" spans="1:69" ht="18.600000000000001" customHeight="1" x14ac:dyDescent="0.25">
      <c r="A13" s="231"/>
      <c r="B13" s="3"/>
      <c r="C13" s="234" t="s">
        <v>404</v>
      </c>
      <c r="D13" s="48"/>
      <c r="E13" s="16">
        <f t="shared" si="0"/>
        <v>2201</v>
      </c>
      <c r="F13" s="26">
        <f>F15+F17+F19+F21+F23+F25+F27+F29+F31+F33+F35+F37+F39+F41+F43+F45+F47+F49+F51+F53+F55+F57</f>
        <v>5</v>
      </c>
      <c r="G13" s="26">
        <f t="shared" si="1"/>
        <v>1</v>
      </c>
      <c r="H13" s="26">
        <f t="shared" si="1"/>
        <v>2</v>
      </c>
      <c r="I13" s="26">
        <f t="shared" si="1"/>
        <v>0</v>
      </c>
      <c r="J13" s="26">
        <f t="shared" si="1"/>
        <v>0</v>
      </c>
      <c r="K13" s="26">
        <f t="shared" si="1"/>
        <v>2</v>
      </c>
      <c r="L13" s="26">
        <f t="shared" si="1"/>
        <v>6</v>
      </c>
      <c r="M13" s="26">
        <f t="shared" si="1"/>
        <v>17</v>
      </c>
      <c r="N13" s="26">
        <f t="shared" si="1"/>
        <v>0</v>
      </c>
      <c r="O13" s="26">
        <f t="shared" si="1"/>
        <v>9</v>
      </c>
      <c r="P13" s="26">
        <f t="shared" si="1"/>
        <v>15</v>
      </c>
      <c r="Q13" s="26">
        <f t="shared" si="1"/>
        <v>0</v>
      </c>
      <c r="R13" s="26">
        <f t="shared" si="1"/>
        <v>45</v>
      </c>
      <c r="S13" s="26">
        <f t="shared" si="1"/>
        <v>34</v>
      </c>
      <c r="T13" s="26">
        <f t="shared" si="1"/>
        <v>6</v>
      </c>
      <c r="U13" s="26">
        <f t="shared" si="1"/>
        <v>19</v>
      </c>
      <c r="V13" s="26">
        <f t="shared" si="1"/>
        <v>92</v>
      </c>
      <c r="W13" s="26">
        <f t="shared" si="1"/>
        <v>0</v>
      </c>
      <c r="X13" s="26">
        <f t="shared" si="1"/>
        <v>2</v>
      </c>
      <c r="Y13" s="26">
        <f t="shared" si="1"/>
        <v>6</v>
      </c>
      <c r="Z13" s="26">
        <f t="shared" si="1"/>
        <v>6</v>
      </c>
      <c r="AA13" s="26">
        <f t="shared" si="1"/>
        <v>61</v>
      </c>
      <c r="AB13" s="26">
        <f t="shared" si="1"/>
        <v>54</v>
      </c>
      <c r="AC13" s="26">
        <f t="shared" si="1"/>
        <v>34</v>
      </c>
      <c r="AD13" s="26">
        <f t="shared" si="1"/>
        <v>162</v>
      </c>
      <c r="AE13" s="26">
        <f t="shared" si="1"/>
        <v>65</v>
      </c>
      <c r="AF13" s="26">
        <f t="shared" si="1"/>
        <v>0</v>
      </c>
      <c r="AG13" s="26">
        <f t="shared" si="1"/>
        <v>444</v>
      </c>
      <c r="AH13" s="26">
        <f t="shared" si="1"/>
        <v>2</v>
      </c>
      <c r="AI13" s="26">
        <f t="shared" si="1"/>
        <v>0</v>
      </c>
      <c r="AJ13" s="26">
        <f t="shared" si="1"/>
        <v>27</v>
      </c>
      <c r="AK13" s="26">
        <f t="shared" si="2"/>
        <v>5</v>
      </c>
      <c r="AL13" s="26">
        <f t="shared" si="2"/>
        <v>0</v>
      </c>
      <c r="AM13" s="26">
        <f t="shared" si="2"/>
        <v>79</v>
      </c>
      <c r="AN13" s="26">
        <f t="shared" si="2"/>
        <v>33</v>
      </c>
      <c r="AO13" s="26">
        <f t="shared" si="1"/>
        <v>0</v>
      </c>
      <c r="AP13" s="26">
        <f t="shared" si="1"/>
        <v>0</v>
      </c>
      <c r="AQ13" s="26">
        <f t="shared" si="1"/>
        <v>1</v>
      </c>
      <c r="AR13" s="26">
        <f t="shared" si="1"/>
        <v>17</v>
      </c>
      <c r="AS13" s="26">
        <f t="shared" si="1"/>
        <v>159</v>
      </c>
      <c r="AT13" s="26">
        <f t="shared" si="1"/>
        <v>5</v>
      </c>
      <c r="AU13" s="26">
        <f t="shared" si="1"/>
        <v>199</v>
      </c>
      <c r="AV13" s="26">
        <f t="shared" si="1"/>
        <v>79</v>
      </c>
      <c r="AW13" s="26">
        <f t="shared" si="1"/>
        <v>2</v>
      </c>
      <c r="AX13" s="26">
        <f t="shared" si="1"/>
        <v>9</v>
      </c>
      <c r="AY13" s="26">
        <f t="shared" si="1"/>
        <v>0</v>
      </c>
      <c r="AZ13" s="26">
        <f t="shared" si="1"/>
        <v>4</v>
      </c>
      <c r="BA13" s="26">
        <f t="shared" si="1"/>
        <v>8</v>
      </c>
      <c r="BB13" s="26">
        <f t="shared" si="1"/>
        <v>47</v>
      </c>
      <c r="BC13" s="26">
        <f t="shared" si="1"/>
        <v>5</v>
      </c>
      <c r="BD13" s="26">
        <f t="shared" si="1"/>
        <v>2</v>
      </c>
      <c r="BE13" s="26">
        <f t="shared" si="1"/>
        <v>10</v>
      </c>
      <c r="BF13" s="26">
        <f t="shared" si="1"/>
        <v>22</v>
      </c>
      <c r="BG13" s="26">
        <f t="shared" si="1"/>
        <v>21</v>
      </c>
      <c r="BH13" s="26">
        <f t="shared" si="1"/>
        <v>27</v>
      </c>
      <c r="BI13" s="26">
        <f t="shared" si="1"/>
        <v>3</v>
      </c>
      <c r="BJ13" s="26">
        <f t="shared" si="1"/>
        <v>152</v>
      </c>
      <c r="BK13" s="26">
        <f t="shared" si="1"/>
        <v>129</v>
      </c>
      <c r="BL13" s="26">
        <f t="shared" si="1"/>
        <v>41</v>
      </c>
      <c r="BM13" s="26">
        <f t="shared" si="1"/>
        <v>0</v>
      </c>
      <c r="BN13" s="26">
        <f t="shared" si="1"/>
        <v>0</v>
      </c>
      <c r="BO13" s="26">
        <f t="shared" si="1"/>
        <v>26</v>
      </c>
    </row>
    <row r="14" spans="1:69" ht="18.600000000000001" customHeight="1" x14ac:dyDescent="0.25">
      <c r="A14" s="125" t="s">
        <v>405</v>
      </c>
      <c r="B14" s="4"/>
      <c r="C14" s="47" t="s">
        <v>75</v>
      </c>
      <c r="D14" s="48"/>
      <c r="E14" s="16">
        <f t="shared" si="0"/>
        <v>40382</v>
      </c>
      <c r="F14" s="16">
        <v>120</v>
      </c>
      <c r="G14" s="16">
        <v>87</v>
      </c>
      <c r="H14" s="16">
        <v>294</v>
      </c>
      <c r="I14" s="16">
        <v>10</v>
      </c>
      <c r="J14" s="16">
        <v>42</v>
      </c>
      <c r="K14" s="16">
        <v>132</v>
      </c>
      <c r="L14" s="16">
        <v>4872</v>
      </c>
      <c r="M14" s="16">
        <v>1454</v>
      </c>
      <c r="N14" s="16">
        <v>45</v>
      </c>
      <c r="O14" s="16">
        <v>62</v>
      </c>
      <c r="P14" s="16">
        <v>157</v>
      </c>
      <c r="Q14" s="16">
        <v>0</v>
      </c>
      <c r="R14" s="16">
        <v>560</v>
      </c>
      <c r="S14" s="16">
        <v>762</v>
      </c>
      <c r="T14" s="16">
        <v>53</v>
      </c>
      <c r="U14" s="16">
        <v>643</v>
      </c>
      <c r="V14" s="16">
        <v>854</v>
      </c>
      <c r="W14" s="16">
        <v>473</v>
      </c>
      <c r="X14" s="16">
        <v>56</v>
      </c>
      <c r="Y14" s="16">
        <v>127</v>
      </c>
      <c r="Z14" s="16">
        <v>557</v>
      </c>
      <c r="AA14" s="16">
        <v>453</v>
      </c>
      <c r="AB14" s="16">
        <v>75</v>
      </c>
      <c r="AC14" s="16">
        <v>1073</v>
      </c>
      <c r="AD14" s="16">
        <v>5673</v>
      </c>
      <c r="AE14" s="16">
        <v>3721</v>
      </c>
      <c r="AF14" s="16">
        <v>0</v>
      </c>
      <c r="AG14" s="16">
        <v>1366</v>
      </c>
      <c r="AH14" s="16">
        <v>97</v>
      </c>
      <c r="AI14" s="16">
        <v>0</v>
      </c>
      <c r="AJ14" s="16">
        <v>297</v>
      </c>
      <c r="AK14" s="16">
        <v>85</v>
      </c>
      <c r="AL14" s="16">
        <v>0</v>
      </c>
      <c r="AM14" s="16">
        <v>282</v>
      </c>
      <c r="AN14" s="16">
        <v>629</v>
      </c>
      <c r="AO14" s="16">
        <v>0</v>
      </c>
      <c r="AP14" s="16">
        <v>0</v>
      </c>
      <c r="AQ14" s="16">
        <v>4</v>
      </c>
      <c r="AR14" s="16">
        <v>1039</v>
      </c>
      <c r="AS14" s="16">
        <v>352</v>
      </c>
      <c r="AT14" s="16">
        <v>228</v>
      </c>
      <c r="AU14" s="16">
        <v>2563</v>
      </c>
      <c r="AV14" s="16">
        <v>1636</v>
      </c>
      <c r="AW14" s="16">
        <v>30</v>
      </c>
      <c r="AX14" s="16">
        <v>959</v>
      </c>
      <c r="AY14" s="16">
        <v>113</v>
      </c>
      <c r="AZ14" s="16">
        <v>27</v>
      </c>
      <c r="BA14" s="16">
        <v>277</v>
      </c>
      <c r="BB14" s="16">
        <v>47</v>
      </c>
      <c r="BC14" s="16">
        <v>103</v>
      </c>
      <c r="BD14" s="16">
        <v>0</v>
      </c>
      <c r="BE14" s="16">
        <v>1282</v>
      </c>
      <c r="BF14" s="16">
        <v>639</v>
      </c>
      <c r="BG14" s="16">
        <v>1261</v>
      </c>
      <c r="BH14" s="16">
        <v>15</v>
      </c>
      <c r="BI14" s="16">
        <v>9</v>
      </c>
      <c r="BJ14" s="16">
        <v>1312</v>
      </c>
      <c r="BK14" s="16">
        <v>546</v>
      </c>
      <c r="BL14" s="16">
        <v>763</v>
      </c>
      <c r="BM14" s="16">
        <v>1</v>
      </c>
      <c r="BN14" s="16">
        <v>0</v>
      </c>
      <c r="BO14" s="16">
        <v>2065</v>
      </c>
    </row>
    <row r="15" spans="1:69" ht="18.600000000000001" customHeight="1" x14ac:dyDescent="0.25">
      <c r="A15" s="125"/>
      <c r="B15" s="4"/>
      <c r="C15" s="47" t="s">
        <v>76</v>
      </c>
      <c r="D15" s="48"/>
      <c r="E15" s="16">
        <f t="shared" si="0"/>
        <v>189</v>
      </c>
      <c r="F15" s="26">
        <v>0</v>
      </c>
      <c r="G15" s="26">
        <v>0</v>
      </c>
      <c r="H15" s="26">
        <v>0</v>
      </c>
      <c r="I15" s="26">
        <v>0</v>
      </c>
      <c r="J15" s="26">
        <v>0</v>
      </c>
      <c r="K15" s="26">
        <v>0</v>
      </c>
      <c r="L15" s="26">
        <v>0</v>
      </c>
      <c r="M15" s="26">
        <v>0</v>
      </c>
      <c r="N15" s="26">
        <v>0</v>
      </c>
      <c r="O15" s="26">
        <v>0</v>
      </c>
      <c r="P15" s="26">
        <v>1</v>
      </c>
      <c r="Q15" s="26">
        <v>0</v>
      </c>
      <c r="R15" s="26">
        <v>1</v>
      </c>
      <c r="S15" s="26">
        <v>2</v>
      </c>
      <c r="T15" s="26">
        <v>1</v>
      </c>
      <c r="U15" s="16">
        <v>1</v>
      </c>
      <c r="V15" s="16">
        <v>19</v>
      </c>
      <c r="W15" s="16">
        <v>0</v>
      </c>
      <c r="X15" s="16">
        <v>0</v>
      </c>
      <c r="Y15" s="16">
        <v>0</v>
      </c>
      <c r="Z15" s="16">
        <v>0</v>
      </c>
      <c r="AA15" s="16">
        <v>6</v>
      </c>
      <c r="AB15" s="16">
        <v>2</v>
      </c>
      <c r="AC15" s="16">
        <v>1</v>
      </c>
      <c r="AD15" s="16">
        <v>15</v>
      </c>
      <c r="AE15" s="16">
        <v>0</v>
      </c>
      <c r="AF15" s="16">
        <v>0</v>
      </c>
      <c r="AG15" s="16">
        <v>18</v>
      </c>
      <c r="AH15" s="16">
        <v>0</v>
      </c>
      <c r="AI15" s="16">
        <v>0</v>
      </c>
      <c r="AJ15" s="16">
        <v>0</v>
      </c>
      <c r="AK15" s="16">
        <v>0</v>
      </c>
      <c r="AL15" s="16">
        <v>0</v>
      </c>
      <c r="AM15" s="16">
        <v>1</v>
      </c>
      <c r="AN15" s="16">
        <v>0</v>
      </c>
      <c r="AO15" s="16">
        <v>0</v>
      </c>
      <c r="AP15" s="16">
        <v>0</v>
      </c>
      <c r="AQ15" s="16">
        <v>0</v>
      </c>
      <c r="AR15" s="16">
        <v>1</v>
      </c>
      <c r="AS15" s="16">
        <v>20</v>
      </c>
      <c r="AT15" s="16">
        <v>0</v>
      </c>
      <c r="AU15" s="16">
        <v>21</v>
      </c>
      <c r="AV15" s="16">
        <v>2</v>
      </c>
      <c r="AW15" s="16">
        <v>0</v>
      </c>
      <c r="AX15" s="16">
        <v>0</v>
      </c>
      <c r="AY15" s="16">
        <v>0</v>
      </c>
      <c r="AZ15" s="16">
        <v>0</v>
      </c>
      <c r="BA15" s="16">
        <v>0</v>
      </c>
      <c r="BB15" s="16">
        <v>0</v>
      </c>
      <c r="BC15" s="16">
        <v>0</v>
      </c>
      <c r="BD15" s="16">
        <v>0</v>
      </c>
      <c r="BE15" s="16">
        <v>0</v>
      </c>
      <c r="BF15" s="16">
        <v>0</v>
      </c>
      <c r="BG15" s="16">
        <v>0</v>
      </c>
      <c r="BH15" s="16">
        <v>0</v>
      </c>
      <c r="BI15" s="16">
        <v>0</v>
      </c>
      <c r="BJ15" s="16">
        <v>48</v>
      </c>
      <c r="BK15" s="16">
        <v>24</v>
      </c>
      <c r="BL15" s="16">
        <v>4</v>
      </c>
      <c r="BM15" s="16">
        <v>0</v>
      </c>
      <c r="BN15" s="16">
        <v>0</v>
      </c>
      <c r="BO15" s="16">
        <v>1</v>
      </c>
    </row>
    <row r="16" spans="1:69" ht="18.600000000000001" customHeight="1" x14ac:dyDescent="0.25">
      <c r="A16" s="125" t="s">
        <v>406</v>
      </c>
      <c r="B16" s="4"/>
      <c r="C16" s="47" t="s">
        <v>75</v>
      </c>
      <c r="D16" s="48"/>
      <c r="E16" s="16">
        <f t="shared" si="0"/>
        <v>66528</v>
      </c>
      <c r="F16" s="16">
        <v>940</v>
      </c>
      <c r="G16" s="16">
        <v>1002</v>
      </c>
      <c r="H16" s="16">
        <v>1092</v>
      </c>
      <c r="I16" s="16">
        <v>0</v>
      </c>
      <c r="J16" s="16">
        <v>61</v>
      </c>
      <c r="K16" s="16">
        <v>51</v>
      </c>
      <c r="L16" s="16">
        <v>1645</v>
      </c>
      <c r="M16" s="16">
        <v>1959</v>
      </c>
      <c r="N16" s="16">
        <v>7</v>
      </c>
      <c r="O16" s="16">
        <v>54</v>
      </c>
      <c r="P16" s="16">
        <v>105</v>
      </c>
      <c r="Q16" s="16">
        <v>0</v>
      </c>
      <c r="R16" s="16">
        <v>228</v>
      </c>
      <c r="S16" s="16">
        <v>245</v>
      </c>
      <c r="T16" s="16">
        <v>215</v>
      </c>
      <c r="U16" s="16">
        <v>348</v>
      </c>
      <c r="V16" s="16">
        <v>894</v>
      </c>
      <c r="W16" s="16">
        <v>147</v>
      </c>
      <c r="X16" s="16">
        <v>49</v>
      </c>
      <c r="Y16" s="16">
        <v>79</v>
      </c>
      <c r="Z16" s="16">
        <v>4465</v>
      </c>
      <c r="AA16" s="16">
        <v>170</v>
      </c>
      <c r="AB16" s="16">
        <v>657</v>
      </c>
      <c r="AC16" s="16">
        <v>247</v>
      </c>
      <c r="AD16" s="16">
        <v>12663</v>
      </c>
      <c r="AE16" s="16">
        <v>6011</v>
      </c>
      <c r="AF16" s="16">
        <v>0</v>
      </c>
      <c r="AG16" s="16">
        <v>1991</v>
      </c>
      <c r="AH16" s="16">
        <v>109</v>
      </c>
      <c r="AI16" s="16">
        <v>0</v>
      </c>
      <c r="AJ16" s="16">
        <v>1316</v>
      </c>
      <c r="AK16" s="16">
        <v>14</v>
      </c>
      <c r="AL16" s="16">
        <v>0</v>
      </c>
      <c r="AM16" s="16">
        <v>273</v>
      </c>
      <c r="AN16" s="16">
        <v>350</v>
      </c>
      <c r="AO16" s="16">
        <v>4</v>
      </c>
      <c r="AP16" s="16">
        <v>0</v>
      </c>
      <c r="AQ16" s="16">
        <v>15</v>
      </c>
      <c r="AR16" s="16">
        <v>27</v>
      </c>
      <c r="AS16" s="16">
        <v>661</v>
      </c>
      <c r="AT16" s="16">
        <v>1306</v>
      </c>
      <c r="AU16" s="16">
        <v>14702</v>
      </c>
      <c r="AV16" s="16">
        <v>201</v>
      </c>
      <c r="AW16" s="16">
        <v>7</v>
      </c>
      <c r="AX16" s="16">
        <v>217</v>
      </c>
      <c r="AY16" s="16">
        <v>52</v>
      </c>
      <c r="AZ16" s="16">
        <v>7</v>
      </c>
      <c r="BA16" s="16">
        <v>23</v>
      </c>
      <c r="BB16" s="16">
        <v>58</v>
      </c>
      <c r="BC16" s="16">
        <v>140</v>
      </c>
      <c r="BD16" s="16">
        <v>17</v>
      </c>
      <c r="BE16" s="16">
        <v>112</v>
      </c>
      <c r="BF16" s="16">
        <v>213</v>
      </c>
      <c r="BG16" s="16">
        <v>480</v>
      </c>
      <c r="BH16" s="16">
        <v>255</v>
      </c>
      <c r="BI16" s="16">
        <v>59</v>
      </c>
      <c r="BJ16" s="16">
        <v>6933</v>
      </c>
      <c r="BK16" s="16">
        <v>152</v>
      </c>
      <c r="BL16" s="16">
        <v>1944</v>
      </c>
      <c r="BM16" s="16">
        <v>127</v>
      </c>
      <c r="BN16" s="16">
        <v>0</v>
      </c>
      <c r="BO16" s="16">
        <v>1429</v>
      </c>
    </row>
    <row r="17" spans="1:67" ht="18.600000000000001" customHeight="1" x14ac:dyDescent="0.25">
      <c r="A17" s="125"/>
      <c r="B17" s="4"/>
      <c r="C17" s="47" t="s">
        <v>76</v>
      </c>
      <c r="D17" s="48"/>
      <c r="E17" s="16">
        <f t="shared" si="0"/>
        <v>402</v>
      </c>
      <c r="F17" s="26">
        <v>1</v>
      </c>
      <c r="G17" s="26">
        <v>0</v>
      </c>
      <c r="H17" s="26">
        <v>0</v>
      </c>
      <c r="I17" s="26">
        <v>0</v>
      </c>
      <c r="J17" s="26">
        <v>0</v>
      </c>
      <c r="K17" s="26">
        <v>1</v>
      </c>
      <c r="L17" s="26">
        <v>1</v>
      </c>
      <c r="M17" s="26">
        <v>5</v>
      </c>
      <c r="N17" s="26">
        <v>0</v>
      </c>
      <c r="O17" s="26">
        <v>0</v>
      </c>
      <c r="P17" s="26">
        <v>4</v>
      </c>
      <c r="Q17" s="26">
        <v>0</v>
      </c>
      <c r="R17" s="26">
        <v>4</v>
      </c>
      <c r="S17" s="26">
        <v>4</v>
      </c>
      <c r="T17" s="26">
        <v>1</v>
      </c>
      <c r="U17" s="16">
        <v>9</v>
      </c>
      <c r="V17" s="16">
        <v>11</v>
      </c>
      <c r="W17" s="16">
        <v>0</v>
      </c>
      <c r="X17" s="16">
        <v>1</v>
      </c>
      <c r="Y17" s="16">
        <v>1</v>
      </c>
      <c r="Z17" s="16">
        <v>1</v>
      </c>
      <c r="AA17" s="16">
        <v>18</v>
      </c>
      <c r="AB17" s="16">
        <v>4</v>
      </c>
      <c r="AC17" s="16">
        <v>8</v>
      </c>
      <c r="AD17" s="16">
        <v>43</v>
      </c>
      <c r="AE17" s="16">
        <v>15</v>
      </c>
      <c r="AF17" s="16">
        <v>0</v>
      </c>
      <c r="AG17" s="16">
        <v>85</v>
      </c>
      <c r="AH17" s="16">
        <v>0</v>
      </c>
      <c r="AI17" s="16">
        <v>0</v>
      </c>
      <c r="AJ17" s="16">
        <v>6</v>
      </c>
      <c r="AK17" s="16">
        <v>2</v>
      </c>
      <c r="AL17" s="16">
        <v>0</v>
      </c>
      <c r="AM17" s="16">
        <v>5</v>
      </c>
      <c r="AN17" s="16">
        <v>3</v>
      </c>
      <c r="AO17" s="16">
        <v>0</v>
      </c>
      <c r="AP17" s="16">
        <v>0</v>
      </c>
      <c r="AQ17" s="16">
        <v>1</v>
      </c>
      <c r="AR17" s="16">
        <v>7</v>
      </c>
      <c r="AS17" s="16">
        <v>33</v>
      </c>
      <c r="AT17" s="16">
        <v>1</v>
      </c>
      <c r="AU17" s="16">
        <v>43</v>
      </c>
      <c r="AV17" s="16">
        <v>2</v>
      </c>
      <c r="AW17" s="16">
        <v>1</v>
      </c>
      <c r="AX17" s="16">
        <v>3</v>
      </c>
      <c r="AY17" s="16">
        <v>0</v>
      </c>
      <c r="AZ17" s="16">
        <v>0</v>
      </c>
      <c r="BA17" s="16">
        <v>1</v>
      </c>
      <c r="BB17" s="16">
        <v>1</v>
      </c>
      <c r="BC17" s="16">
        <v>2</v>
      </c>
      <c r="BD17" s="16">
        <v>1</v>
      </c>
      <c r="BE17" s="16">
        <v>1</v>
      </c>
      <c r="BF17" s="16">
        <v>7</v>
      </c>
      <c r="BG17" s="16">
        <v>3</v>
      </c>
      <c r="BH17" s="16">
        <v>8</v>
      </c>
      <c r="BI17" s="16">
        <v>3</v>
      </c>
      <c r="BJ17" s="16">
        <v>25</v>
      </c>
      <c r="BK17" s="16">
        <v>7</v>
      </c>
      <c r="BL17" s="16">
        <v>6</v>
      </c>
      <c r="BM17" s="16">
        <v>0</v>
      </c>
      <c r="BN17" s="16">
        <v>0</v>
      </c>
      <c r="BO17" s="16">
        <v>13</v>
      </c>
    </row>
    <row r="18" spans="1:67" ht="18.600000000000001" customHeight="1" x14ac:dyDescent="0.25">
      <c r="A18" s="125" t="s">
        <v>176</v>
      </c>
      <c r="C18" s="47" t="s">
        <v>75</v>
      </c>
      <c r="D18" s="48"/>
      <c r="E18" s="16">
        <f t="shared" si="0"/>
        <v>58615</v>
      </c>
      <c r="F18" s="16">
        <v>164</v>
      </c>
      <c r="G18" s="16">
        <v>187</v>
      </c>
      <c r="H18" s="16">
        <v>70</v>
      </c>
      <c r="I18" s="16">
        <v>3</v>
      </c>
      <c r="J18" s="16">
        <v>24</v>
      </c>
      <c r="K18" s="16">
        <v>83</v>
      </c>
      <c r="L18" s="16">
        <v>11711</v>
      </c>
      <c r="M18" s="16">
        <v>5854</v>
      </c>
      <c r="N18" s="16">
        <v>22</v>
      </c>
      <c r="O18" s="16">
        <v>133</v>
      </c>
      <c r="P18" s="16">
        <v>68</v>
      </c>
      <c r="Q18" s="16">
        <v>0</v>
      </c>
      <c r="R18" s="16">
        <v>430</v>
      </c>
      <c r="S18" s="16">
        <v>469</v>
      </c>
      <c r="T18" s="16">
        <v>156</v>
      </c>
      <c r="U18" s="16">
        <v>326</v>
      </c>
      <c r="V18" s="16">
        <v>883</v>
      </c>
      <c r="W18" s="16">
        <v>32</v>
      </c>
      <c r="X18" s="16">
        <v>38</v>
      </c>
      <c r="Y18" s="16">
        <v>138</v>
      </c>
      <c r="Z18" s="16">
        <v>1454</v>
      </c>
      <c r="AA18" s="16">
        <v>154</v>
      </c>
      <c r="AB18" s="16">
        <v>297</v>
      </c>
      <c r="AC18" s="16">
        <v>483</v>
      </c>
      <c r="AD18" s="16">
        <v>6247</v>
      </c>
      <c r="AE18" s="16">
        <v>1120</v>
      </c>
      <c r="AF18" s="16">
        <v>0</v>
      </c>
      <c r="AG18" s="16">
        <v>6617</v>
      </c>
      <c r="AH18" s="16">
        <v>90</v>
      </c>
      <c r="AI18" s="16">
        <v>256</v>
      </c>
      <c r="AJ18" s="16">
        <v>452</v>
      </c>
      <c r="AK18" s="16">
        <v>23</v>
      </c>
      <c r="AL18" s="16">
        <v>0</v>
      </c>
      <c r="AM18" s="16">
        <v>444</v>
      </c>
      <c r="AN18" s="16">
        <v>306</v>
      </c>
      <c r="AO18" s="16">
        <v>2</v>
      </c>
      <c r="AP18" s="16">
        <v>0</v>
      </c>
      <c r="AQ18" s="16">
        <v>15</v>
      </c>
      <c r="AR18" s="16">
        <v>77</v>
      </c>
      <c r="AS18" s="16">
        <v>236</v>
      </c>
      <c r="AT18" s="16">
        <v>364</v>
      </c>
      <c r="AU18" s="16">
        <v>12701</v>
      </c>
      <c r="AV18" s="16">
        <v>1388</v>
      </c>
      <c r="AW18" s="16">
        <v>40</v>
      </c>
      <c r="AX18" s="16">
        <v>218</v>
      </c>
      <c r="AY18" s="16">
        <v>22</v>
      </c>
      <c r="AZ18" s="16">
        <f>13+1+1</f>
        <v>15</v>
      </c>
      <c r="BA18" s="16">
        <v>14</v>
      </c>
      <c r="BB18" s="16">
        <v>28</v>
      </c>
      <c r="BC18" s="16">
        <v>16</v>
      </c>
      <c r="BD18" s="16">
        <v>0</v>
      </c>
      <c r="BE18" s="16">
        <v>230</v>
      </c>
      <c r="BF18" s="16">
        <v>283</v>
      </c>
      <c r="BG18" s="16">
        <v>355</v>
      </c>
      <c r="BH18" s="16">
        <v>12</v>
      </c>
      <c r="BI18" s="16">
        <v>6</v>
      </c>
      <c r="BJ18" s="16">
        <v>2568</v>
      </c>
      <c r="BK18" s="16">
        <v>221</v>
      </c>
      <c r="BL18" s="16">
        <v>929</v>
      </c>
      <c r="BM18" s="16">
        <v>0</v>
      </c>
      <c r="BN18" s="16">
        <v>0</v>
      </c>
      <c r="BO18" s="16">
        <f>135+3+3</f>
        <v>141</v>
      </c>
    </row>
    <row r="19" spans="1:67" ht="18.600000000000001" customHeight="1" x14ac:dyDescent="0.25">
      <c r="A19" s="125"/>
      <c r="C19" s="47" t="s">
        <v>76</v>
      </c>
      <c r="D19" s="48"/>
      <c r="E19" s="16">
        <f t="shared" si="0"/>
        <v>286</v>
      </c>
      <c r="F19" s="26">
        <v>1</v>
      </c>
      <c r="G19" s="26">
        <v>1</v>
      </c>
      <c r="H19" s="26">
        <v>1</v>
      </c>
      <c r="I19" s="26">
        <v>0</v>
      </c>
      <c r="J19" s="26">
        <v>0</v>
      </c>
      <c r="K19" s="26">
        <v>1</v>
      </c>
      <c r="L19" s="26">
        <v>1</v>
      </c>
      <c r="M19" s="26">
        <v>3</v>
      </c>
      <c r="N19" s="26">
        <v>0</v>
      </c>
      <c r="O19" s="26">
        <v>2</v>
      </c>
      <c r="P19" s="26">
        <v>2</v>
      </c>
      <c r="Q19" s="26">
        <v>0</v>
      </c>
      <c r="R19" s="26">
        <v>9</v>
      </c>
      <c r="S19" s="26">
        <v>8</v>
      </c>
      <c r="T19" s="26">
        <v>0</v>
      </c>
      <c r="U19" s="16">
        <v>1</v>
      </c>
      <c r="V19" s="16">
        <v>22</v>
      </c>
      <c r="W19" s="16">
        <v>0</v>
      </c>
      <c r="X19" s="16">
        <v>1</v>
      </c>
      <c r="Y19" s="16">
        <v>2</v>
      </c>
      <c r="Z19" s="16">
        <v>2</v>
      </c>
      <c r="AA19" s="16">
        <v>5</v>
      </c>
      <c r="AB19" s="16">
        <v>8</v>
      </c>
      <c r="AC19" s="16">
        <v>4</v>
      </c>
      <c r="AD19" s="16">
        <v>41</v>
      </c>
      <c r="AE19" s="16">
        <v>21</v>
      </c>
      <c r="AF19" s="16">
        <v>0</v>
      </c>
      <c r="AG19" s="16">
        <v>22</v>
      </c>
      <c r="AH19" s="16">
        <v>1</v>
      </c>
      <c r="AI19" s="16">
        <v>0</v>
      </c>
      <c r="AJ19" s="16">
        <v>2</v>
      </c>
      <c r="AK19" s="16">
        <v>1</v>
      </c>
      <c r="AL19" s="16">
        <v>0</v>
      </c>
      <c r="AM19" s="16">
        <v>2</v>
      </c>
      <c r="AN19" s="16">
        <v>1</v>
      </c>
      <c r="AO19" s="16">
        <v>0</v>
      </c>
      <c r="AP19" s="16">
        <v>0</v>
      </c>
      <c r="AQ19" s="16">
        <v>0</v>
      </c>
      <c r="AR19" s="16">
        <v>2</v>
      </c>
      <c r="AS19" s="16">
        <v>10</v>
      </c>
      <c r="AT19" s="16">
        <v>1</v>
      </c>
      <c r="AU19" s="16">
        <v>18</v>
      </c>
      <c r="AV19" s="16">
        <v>17</v>
      </c>
      <c r="AW19" s="16">
        <v>1</v>
      </c>
      <c r="AX19" s="16">
        <v>1</v>
      </c>
      <c r="AY19" s="16">
        <v>0</v>
      </c>
      <c r="AZ19" s="16">
        <v>3</v>
      </c>
      <c r="BA19" s="16">
        <v>2</v>
      </c>
      <c r="BB19" s="16">
        <v>1</v>
      </c>
      <c r="BC19" s="16">
        <v>1</v>
      </c>
      <c r="BD19" s="16">
        <v>0</v>
      </c>
      <c r="BE19" s="16">
        <v>3</v>
      </c>
      <c r="BF19" s="16">
        <v>5</v>
      </c>
      <c r="BG19" s="16">
        <v>13</v>
      </c>
      <c r="BH19" s="16">
        <v>1</v>
      </c>
      <c r="BI19" s="16">
        <v>0</v>
      </c>
      <c r="BJ19" s="16">
        <v>13</v>
      </c>
      <c r="BK19" s="16">
        <v>11</v>
      </c>
      <c r="BL19" s="16">
        <v>11</v>
      </c>
      <c r="BM19" s="16">
        <v>0</v>
      </c>
      <c r="BN19" s="16">
        <v>0</v>
      </c>
      <c r="BO19" s="16">
        <f>1+3+3</f>
        <v>7</v>
      </c>
    </row>
    <row r="20" spans="1:67" ht="18.600000000000001" customHeight="1" x14ac:dyDescent="0.25">
      <c r="A20" s="125" t="s">
        <v>77</v>
      </c>
      <c r="B20" s="4"/>
      <c r="C20" s="47" t="s">
        <v>75</v>
      </c>
      <c r="D20" s="48"/>
      <c r="E20" s="16">
        <f t="shared" si="0"/>
        <v>42408</v>
      </c>
      <c r="F20" s="16">
        <v>273</v>
      </c>
      <c r="G20" s="16">
        <v>225</v>
      </c>
      <c r="H20" s="16">
        <v>37</v>
      </c>
      <c r="I20" s="16">
        <v>89</v>
      </c>
      <c r="J20" s="16">
        <v>116</v>
      </c>
      <c r="K20" s="16">
        <v>122</v>
      </c>
      <c r="L20" s="16">
        <v>2498</v>
      </c>
      <c r="M20" s="16">
        <v>1815</v>
      </c>
      <c r="N20" s="16">
        <v>96</v>
      </c>
      <c r="O20" s="16">
        <v>170</v>
      </c>
      <c r="P20" s="16">
        <v>204</v>
      </c>
      <c r="Q20" s="16">
        <v>0</v>
      </c>
      <c r="R20" s="16">
        <v>614</v>
      </c>
      <c r="S20" s="16">
        <v>889</v>
      </c>
      <c r="T20" s="16">
        <v>235</v>
      </c>
      <c r="U20" s="16">
        <v>653</v>
      </c>
      <c r="V20" s="16">
        <v>2049</v>
      </c>
      <c r="W20" s="16">
        <v>29</v>
      </c>
      <c r="X20" s="16">
        <v>147</v>
      </c>
      <c r="Y20" s="16">
        <v>275</v>
      </c>
      <c r="Z20" s="16">
        <v>1662</v>
      </c>
      <c r="AA20" s="16">
        <v>1305</v>
      </c>
      <c r="AB20" s="16">
        <v>229</v>
      </c>
      <c r="AC20" s="16">
        <v>1120</v>
      </c>
      <c r="AD20" s="16">
        <v>7041</v>
      </c>
      <c r="AE20" s="16">
        <v>3688</v>
      </c>
      <c r="AF20" s="16">
        <v>0</v>
      </c>
      <c r="AG20" s="16">
        <v>2295</v>
      </c>
      <c r="AH20" s="16">
        <v>369</v>
      </c>
      <c r="AI20" s="16">
        <v>16</v>
      </c>
      <c r="AJ20" s="16">
        <v>975</v>
      </c>
      <c r="AK20" s="16">
        <v>216</v>
      </c>
      <c r="AL20" s="16">
        <v>0</v>
      </c>
      <c r="AM20" s="16">
        <v>709</v>
      </c>
      <c r="AN20" s="16">
        <v>290</v>
      </c>
      <c r="AO20" s="16">
        <v>28</v>
      </c>
      <c r="AP20" s="16">
        <v>5</v>
      </c>
      <c r="AQ20" s="16">
        <v>110</v>
      </c>
      <c r="AR20" s="16">
        <v>345</v>
      </c>
      <c r="AS20" s="16">
        <v>415</v>
      </c>
      <c r="AT20" s="16">
        <v>501</v>
      </c>
      <c r="AU20" s="16">
        <v>2962</v>
      </c>
      <c r="AV20" s="16">
        <v>423</v>
      </c>
      <c r="AW20" s="16">
        <v>10</v>
      </c>
      <c r="AX20" s="16">
        <v>792</v>
      </c>
      <c r="AY20" s="16">
        <v>63</v>
      </c>
      <c r="AZ20" s="16">
        <v>12</v>
      </c>
      <c r="BA20" s="16">
        <v>54</v>
      </c>
      <c r="BB20" s="16">
        <v>31</v>
      </c>
      <c r="BC20" s="16">
        <v>78</v>
      </c>
      <c r="BD20" s="16">
        <v>0</v>
      </c>
      <c r="BE20" s="16">
        <v>662</v>
      </c>
      <c r="BF20" s="16">
        <v>912</v>
      </c>
      <c r="BG20" s="16">
        <v>710</v>
      </c>
      <c r="BH20" s="16">
        <v>160</v>
      </c>
      <c r="BI20" s="16">
        <f>6+6+0</f>
        <v>12</v>
      </c>
      <c r="BJ20" s="16">
        <v>562</v>
      </c>
      <c r="BK20" s="16">
        <v>705</v>
      </c>
      <c r="BL20" s="16">
        <v>1323</v>
      </c>
      <c r="BM20" s="16">
        <v>15</v>
      </c>
      <c r="BN20" s="16">
        <v>1</v>
      </c>
      <c r="BO20" s="16">
        <f>1061+5+0</f>
        <v>1066</v>
      </c>
    </row>
    <row r="21" spans="1:67" ht="18.600000000000001" customHeight="1" x14ac:dyDescent="0.25">
      <c r="A21" s="125"/>
      <c r="B21" s="4"/>
      <c r="C21" s="47" t="s">
        <v>76</v>
      </c>
      <c r="D21" s="48"/>
      <c r="E21" s="16">
        <f t="shared" si="0"/>
        <v>203</v>
      </c>
      <c r="F21" s="16">
        <v>1</v>
      </c>
      <c r="G21" s="16">
        <v>0</v>
      </c>
      <c r="H21" s="16">
        <v>1</v>
      </c>
      <c r="I21" s="16">
        <v>0</v>
      </c>
      <c r="J21" s="16">
        <v>0</v>
      </c>
      <c r="K21" s="16">
        <v>0</v>
      </c>
      <c r="L21" s="16">
        <v>1</v>
      </c>
      <c r="M21" s="16">
        <v>2</v>
      </c>
      <c r="N21" s="16">
        <v>0</v>
      </c>
      <c r="O21" s="16">
        <v>0</v>
      </c>
      <c r="P21" s="16">
        <v>5</v>
      </c>
      <c r="Q21" s="16">
        <v>0</v>
      </c>
      <c r="R21" s="16">
        <v>7</v>
      </c>
      <c r="S21" s="16">
        <v>3</v>
      </c>
      <c r="T21" s="16">
        <v>0</v>
      </c>
      <c r="U21" s="16">
        <v>0</v>
      </c>
      <c r="V21" s="16">
        <v>3</v>
      </c>
      <c r="W21" s="16">
        <v>0</v>
      </c>
      <c r="X21" s="16">
        <v>0</v>
      </c>
      <c r="Y21" s="16">
        <v>0</v>
      </c>
      <c r="Z21" s="16">
        <v>0</v>
      </c>
      <c r="AA21" s="16">
        <v>7</v>
      </c>
      <c r="AB21" s="16">
        <v>7</v>
      </c>
      <c r="AC21" s="16">
        <v>1</v>
      </c>
      <c r="AD21" s="16">
        <v>9</v>
      </c>
      <c r="AE21" s="16">
        <v>0</v>
      </c>
      <c r="AF21" s="16">
        <v>0</v>
      </c>
      <c r="AG21" s="16">
        <v>26</v>
      </c>
      <c r="AH21" s="16">
        <v>0</v>
      </c>
      <c r="AI21" s="16">
        <v>0</v>
      </c>
      <c r="AJ21" s="16">
        <v>0</v>
      </c>
      <c r="AK21" s="16">
        <v>0</v>
      </c>
      <c r="AL21" s="16">
        <v>0</v>
      </c>
      <c r="AM21" s="16">
        <v>13</v>
      </c>
      <c r="AN21" s="16">
        <v>2</v>
      </c>
      <c r="AO21" s="16">
        <v>0</v>
      </c>
      <c r="AP21" s="16">
        <v>0</v>
      </c>
      <c r="AQ21" s="16">
        <v>0</v>
      </c>
      <c r="AR21" s="16">
        <v>0</v>
      </c>
      <c r="AS21" s="16">
        <v>16</v>
      </c>
      <c r="AT21" s="16">
        <v>0</v>
      </c>
      <c r="AU21" s="16">
        <v>10</v>
      </c>
      <c r="AV21" s="16">
        <v>0</v>
      </c>
      <c r="AW21" s="16">
        <v>0</v>
      </c>
      <c r="AX21" s="16">
        <v>0</v>
      </c>
      <c r="AY21" s="16">
        <v>0</v>
      </c>
      <c r="AZ21" s="16">
        <v>0</v>
      </c>
      <c r="BA21" s="16">
        <v>3</v>
      </c>
      <c r="BB21" s="16">
        <v>0</v>
      </c>
      <c r="BC21" s="16">
        <v>0</v>
      </c>
      <c r="BD21" s="16">
        <v>0</v>
      </c>
      <c r="BE21" s="16">
        <v>0</v>
      </c>
      <c r="BF21" s="16">
        <v>0</v>
      </c>
      <c r="BG21" s="16">
        <v>0</v>
      </c>
      <c r="BH21" s="16">
        <v>2</v>
      </c>
      <c r="BI21" s="16">
        <v>0</v>
      </c>
      <c r="BJ21" s="16">
        <v>42</v>
      </c>
      <c r="BK21" s="16">
        <v>39</v>
      </c>
      <c r="BL21" s="16">
        <v>0</v>
      </c>
      <c r="BM21" s="16">
        <v>0</v>
      </c>
      <c r="BN21" s="16">
        <v>0</v>
      </c>
      <c r="BO21" s="16">
        <v>3</v>
      </c>
    </row>
    <row r="22" spans="1:67" ht="18.600000000000001" customHeight="1" x14ac:dyDescent="0.25">
      <c r="A22" s="125" t="s">
        <v>79</v>
      </c>
      <c r="B22" s="4"/>
      <c r="C22" s="47" t="s">
        <v>75</v>
      </c>
      <c r="D22" s="48"/>
      <c r="E22" s="16">
        <f t="shared" si="0"/>
        <v>33057</v>
      </c>
      <c r="F22" s="16">
        <v>251</v>
      </c>
      <c r="G22" s="16">
        <v>48</v>
      </c>
      <c r="H22" s="16">
        <v>21</v>
      </c>
      <c r="I22" s="16">
        <v>6</v>
      </c>
      <c r="J22" s="16">
        <v>19</v>
      </c>
      <c r="K22" s="16">
        <v>172</v>
      </c>
      <c r="L22" s="16">
        <v>2363</v>
      </c>
      <c r="M22" s="16">
        <v>1227</v>
      </c>
      <c r="N22" s="16">
        <v>79</v>
      </c>
      <c r="O22" s="16">
        <v>52</v>
      </c>
      <c r="P22" s="16">
        <v>125</v>
      </c>
      <c r="Q22" s="16">
        <v>0</v>
      </c>
      <c r="R22" s="16">
        <v>454</v>
      </c>
      <c r="S22" s="16">
        <v>492</v>
      </c>
      <c r="T22" s="16">
        <v>36</v>
      </c>
      <c r="U22" s="16">
        <v>343</v>
      </c>
      <c r="V22" s="16">
        <v>1059</v>
      </c>
      <c r="W22" s="16">
        <v>17</v>
      </c>
      <c r="X22" s="16">
        <v>5</v>
      </c>
      <c r="Y22" s="16">
        <v>92</v>
      </c>
      <c r="Z22" s="16">
        <v>602</v>
      </c>
      <c r="AA22" s="16">
        <v>249</v>
      </c>
      <c r="AB22" s="16">
        <v>148</v>
      </c>
      <c r="AC22" s="16">
        <v>583</v>
      </c>
      <c r="AD22" s="16">
        <v>5441</v>
      </c>
      <c r="AE22" s="16">
        <v>2202</v>
      </c>
      <c r="AF22" s="16">
        <v>0</v>
      </c>
      <c r="AG22" s="16">
        <v>3906</v>
      </c>
      <c r="AH22" s="16">
        <v>113</v>
      </c>
      <c r="AI22" s="16">
        <v>13</v>
      </c>
      <c r="AJ22" s="16">
        <v>430</v>
      </c>
      <c r="AK22" s="16">
        <v>90</v>
      </c>
      <c r="AL22" s="16">
        <v>0</v>
      </c>
      <c r="AM22" s="16">
        <v>832</v>
      </c>
      <c r="AN22" s="16">
        <v>181</v>
      </c>
      <c r="AO22" s="16">
        <v>1</v>
      </c>
      <c r="AP22" s="16">
        <v>0</v>
      </c>
      <c r="AQ22" s="16">
        <v>5</v>
      </c>
      <c r="AR22" s="16">
        <v>162</v>
      </c>
      <c r="AS22" s="16">
        <v>174</v>
      </c>
      <c r="AT22" s="16">
        <v>107</v>
      </c>
      <c r="AU22" s="16">
        <v>2942</v>
      </c>
      <c r="AV22" s="16">
        <v>263</v>
      </c>
      <c r="AW22" s="16">
        <v>9</v>
      </c>
      <c r="AX22" s="16">
        <v>566</v>
      </c>
      <c r="AY22" s="16">
        <v>80</v>
      </c>
      <c r="AZ22" s="16">
        <v>1049</v>
      </c>
      <c r="BA22" s="16">
        <v>661</v>
      </c>
      <c r="BB22" s="16">
        <v>268</v>
      </c>
      <c r="BC22" s="16">
        <v>71</v>
      </c>
      <c r="BD22" s="16">
        <v>20</v>
      </c>
      <c r="BE22" s="16">
        <v>497</v>
      </c>
      <c r="BF22" s="16">
        <v>775</v>
      </c>
      <c r="BG22" s="16">
        <v>689</v>
      </c>
      <c r="BH22" s="16">
        <v>47</v>
      </c>
      <c r="BI22" s="16">
        <f>1+1+1</f>
        <v>3</v>
      </c>
      <c r="BJ22" s="16">
        <v>2084</v>
      </c>
      <c r="BK22" s="16">
        <v>304</v>
      </c>
      <c r="BL22" s="16">
        <v>453</v>
      </c>
      <c r="BM22" s="16">
        <v>11</v>
      </c>
      <c r="BN22" s="16">
        <v>0</v>
      </c>
      <c r="BO22" s="16">
        <f>164+0+1</f>
        <v>165</v>
      </c>
    </row>
    <row r="23" spans="1:67" ht="18.600000000000001" customHeight="1" x14ac:dyDescent="0.25">
      <c r="A23" s="125"/>
      <c r="B23" s="4"/>
      <c r="C23" s="47" t="s">
        <v>76</v>
      </c>
      <c r="D23" s="48"/>
      <c r="E23" s="16">
        <f t="shared" si="0"/>
        <v>146</v>
      </c>
      <c r="F23" s="16">
        <v>0</v>
      </c>
      <c r="G23" s="16">
        <v>0</v>
      </c>
      <c r="H23" s="16">
        <v>0</v>
      </c>
      <c r="I23" s="16">
        <v>0</v>
      </c>
      <c r="J23" s="16">
        <v>0</v>
      </c>
      <c r="K23" s="16">
        <v>0</v>
      </c>
      <c r="L23" s="16">
        <v>1</v>
      </c>
      <c r="M23" s="16">
        <v>4</v>
      </c>
      <c r="N23" s="16">
        <v>0</v>
      </c>
      <c r="O23" s="16">
        <v>0</v>
      </c>
      <c r="P23" s="16">
        <v>0</v>
      </c>
      <c r="Q23" s="16">
        <v>0</v>
      </c>
      <c r="R23" s="16">
        <v>3</v>
      </c>
      <c r="S23" s="16">
        <v>8</v>
      </c>
      <c r="T23" s="16">
        <v>0</v>
      </c>
      <c r="U23" s="16">
        <v>1</v>
      </c>
      <c r="V23" s="16">
        <v>6</v>
      </c>
      <c r="W23" s="16">
        <v>0</v>
      </c>
      <c r="X23" s="16">
        <v>0</v>
      </c>
      <c r="Y23" s="16">
        <v>0</v>
      </c>
      <c r="Z23" s="16">
        <v>1</v>
      </c>
      <c r="AA23" s="16">
        <v>7</v>
      </c>
      <c r="AB23" s="16">
        <v>5</v>
      </c>
      <c r="AC23" s="16">
        <v>2</v>
      </c>
      <c r="AD23" s="16">
        <v>10</v>
      </c>
      <c r="AE23" s="16">
        <v>1</v>
      </c>
      <c r="AF23" s="16">
        <v>0</v>
      </c>
      <c r="AG23" s="16">
        <v>23</v>
      </c>
      <c r="AH23" s="16">
        <v>0</v>
      </c>
      <c r="AI23" s="16">
        <v>0</v>
      </c>
      <c r="AJ23" s="16">
        <v>3</v>
      </c>
      <c r="AK23" s="16">
        <v>0</v>
      </c>
      <c r="AL23" s="16">
        <v>0</v>
      </c>
      <c r="AM23" s="16">
        <v>5</v>
      </c>
      <c r="AN23" s="16">
        <v>1</v>
      </c>
      <c r="AO23" s="16">
        <v>0</v>
      </c>
      <c r="AP23" s="16">
        <v>0</v>
      </c>
      <c r="AQ23" s="16">
        <v>0</v>
      </c>
      <c r="AR23" s="16">
        <v>0</v>
      </c>
      <c r="AS23" s="16">
        <v>7</v>
      </c>
      <c r="AT23" s="16">
        <v>1</v>
      </c>
      <c r="AU23" s="16">
        <v>22</v>
      </c>
      <c r="AV23" s="16">
        <v>2</v>
      </c>
      <c r="AW23" s="16">
        <v>0</v>
      </c>
      <c r="AX23" s="16">
        <v>0</v>
      </c>
      <c r="AY23" s="16">
        <v>0</v>
      </c>
      <c r="AZ23" s="16">
        <v>0</v>
      </c>
      <c r="BA23" s="16">
        <v>0</v>
      </c>
      <c r="BB23" s="16">
        <v>2</v>
      </c>
      <c r="BC23" s="16">
        <v>1</v>
      </c>
      <c r="BD23" s="16">
        <v>0</v>
      </c>
      <c r="BE23" s="16">
        <v>1</v>
      </c>
      <c r="BF23" s="16">
        <v>1</v>
      </c>
      <c r="BG23" s="16">
        <v>2</v>
      </c>
      <c r="BH23" s="16">
        <v>1</v>
      </c>
      <c r="BI23" s="16">
        <v>0</v>
      </c>
      <c r="BJ23" s="16">
        <v>6</v>
      </c>
      <c r="BK23" s="16">
        <v>14</v>
      </c>
      <c r="BL23" s="16">
        <v>3</v>
      </c>
      <c r="BM23" s="16">
        <v>0</v>
      </c>
      <c r="BN23" s="16">
        <v>0</v>
      </c>
      <c r="BO23" s="16">
        <f>1+0+1</f>
        <v>2</v>
      </c>
    </row>
    <row r="24" spans="1:67" ht="18.600000000000001" customHeight="1" x14ac:dyDescent="0.25">
      <c r="A24" s="125" t="s">
        <v>407</v>
      </c>
      <c r="B24" s="4"/>
      <c r="C24" s="47" t="s">
        <v>75</v>
      </c>
      <c r="D24" s="48"/>
      <c r="E24" s="16">
        <f t="shared" si="0"/>
        <v>35409</v>
      </c>
      <c r="F24" s="16">
        <v>411</v>
      </c>
      <c r="G24" s="16">
        <v>75</v>
      </c>
      <c r="H24" s="16">
        <v>23</v>
      </c>
      <c r="I24" s="16">
        <v>27</v>
      </c>
      <c r="J24" s="16">
        <v>25</v>
      </c>
      <c r="K24" s="16">
        <v>58</v>
      </c>
      <c r="L24" s="16">
        <v>8545</v>
      </c>
      <c r="M24" s="16">
        <v>842</v>
      </c>
      <c r="N24" s="16">
        <v>125</v>
      </c>
      <c r="O24" s="16">
        <v>278</v>
      </c>
      <c r="P24" s="16">
        <v>109</v>
      </c>
      <c r="Q24" s="16">
        <v>0</v>
      </c>
      <c r="R24" s="16">
        <v>493</v>
      </c>
      <c r="S24" s="16">
        <v>326</v>
      </c>
      <c r="T24" s="16">
        <v>212</v>
      </c>
      <c r="U24" s="16">
        <v>168</v>
      </c>
      <c r="V24" s="16">
        <v>1059</v>
      </c>
      <c r="W24" s="16">
        <v>13</v>
      </c>
      <c r="X24" s="16">
        <v>30</v>
      </c>
      <c r="Y24" s="16">
        <v>106</v>
      </c>
      <c r="Z24" s="16">
        <v>1229</v>
      </c>
      <c r="AA24" s="16">
        <v>438</v>
      </c>
      <c r="AB24" s="16">
        <v>127</v>
      </c>
      <c r="AC24" s="16">
        <v>396</v>
      </c>
      <c r="AD24" s="16">
        <v>2829</v>
      </c>
      <c r="AE24" s="16">
        <v>1743</v>
      </c>
      <c r="AF24" s="16">
        <v>0</v>
      </c>
      <c r="AG24" s="16">
        <v>2396</v>
      </c>
      <c r="AH24" s="16">
        <v>205</v>
      </c>
      <c r="AI24" s="16">
        <v>15</v>
      </c>
      <c r="AJ24" s="16">
        <v>559</v>
      </c>
      <c r="AK24" s="16">
        <v>70</v>
      </c>
      <c r="AL24" s="16">
        <v>0</v>
      </c>
      <c r="AM24" s="16">
        <v>294</v>
      </c>
      <c r="AN24" s="16">
        <v>281</v>
      </c>
      <c r="AO24" s="16">
        <v>2</v>
      </c>
      <c r="AP24" s="16">
        <v>0</v>
      </c>
      <c r="AQ24" s="16">
        <v>1</v>
      </c>
      <c r="AR24" s="16">
        <v>64</v>
      </c>
      <c r="AS24" s="16">
        <v>373</v>
      </c>
      <c r="AT24" s="16">
        <v>469</v>
      </c>
      <c r="AU24" s="16">
        <v>2225</v>
      </c>
      <c r="AV24" s="16">
        <v>801</v>
      </c>
      <c r="AW24" s="16">
        <v>58</v>
      </c>
      <c r="AX24" s="16">
        <v>1063</v>
      </c>
      <c r="AY24" s="16">
        <v>141</v>
      </c>
      <c r="AZ24" s="16">
        <v>158</v>
      </c>
      <c r="BA24" s="16">
        <v>247</v>
      </c>
      <c r="BB24" s="16">
        <v>264</v>
      </c>
      <c r="BC24" s="16">
        <v>224</v>
      </c>
      <c r="BD24" s="16">
        <v>65</v>
      </c>
      <c r="BE24" s="16">
        <v>1290</v>
      </c>
      <c r="BF24" s="16">
        <v>1045</v>
      </c>
      <c r="BG24" s="16">
        <v>1215</v>
      </c>
      <c r="BH24" s="16">
        <v>260</v>
      </c>
      <c r="BI24" s="16">
        <v>7</v>
      </c>
      <c r="BJ24" s="16">
        <v>561</v>
      </c>
      <c r="BK24" s="16">
        <v>414</v>
      </c>
      <c r="BL24" s="16">
        <v>685</v>
      </c>
      <c r="BM24" s="16">
        <v>0</v>
      </c>
      <c r="BN24" s="16">
        <v>2</v>
      </c>
      <c r="BO24" s="16">
        <v>268</v>
      </c>
    </row>
    <row r="25" spans="1:67" ht="18.600000000000001" customHeight="1" x14ac:dyDescent="0.25">
      <c r="A25" s="125"/>
      <c r="B25" s="4"/>
      <c r="C25" s="47" t="s">
        <v>76</v>
      </c>
      <c r="D25" s="48"/>
      <c r="E25" s="16">
        <f t="shared" si="0"/>
        <v>192</v>
      </c>
      <c r="F25" s="16">
        <v>0</v>
      </c>
      <c r="G25" s="16">
        <v>0</v>
      </c>
      <c r="H25" s="16">
        <v>0</v>
      </c>
      <c r="I25" s="16">
        <v>0</v>
      </c>
      <c r="J25" s="16">
        <v>0</v>
      </c>
      <c r="K25" s="16">
        <v>0</v>
      </c>
      <c r="L25" s="16">
        <v>0</v>
      </c>
      <c r="M25" s="16">
        <v>3</v>
      </c>
      <c r="N25" s="16">
        <v>0</v>
      </c>
      <c r="O25" s="16">
        <v>5</v>
      </c>
      <c r="P25" s="16">
        <v>0</v>
      </c>
      <c r="Q25" s="16">
        <v>0</v>
      </c>
      <c r="R25" s="16">
        <v>4</v>
      </c>
      <c r="S25" s="16">
        <v>3</v>
      </c>
      <c r="T25" s="16">
        <v>0</v>
      </c>
      <c r="U25" s="16">
        <v>2</v>
      </c>
      <c r="V25" s="16">
        <v>3</v>
      </c>
      <c r="W25" s="16">
        <v>0</v>
      </c>
      <c r="X25" s="16">
        <v>0</v>
      </c>
      <c r="Y25" s="16">
        <v>1</v>
      </c>
      <c r="Z25" s="16">
        <v>0</v>
      </c>
      <c r="AA25" s="16">
        <v>8</v>
      </c>
      <c r="AB25" s="16">
        <v>6</v>
      </c>
      <c r="AC25" s="16">
        <v>8</v>
      </c>
      <c r="AD25" s="16">
        <v>7</v>
      </c>
      <c r="AE25" s="16">
        <v>15</v>
      </c>
      <c r="AF25" s="16">
        <v>0</v>
      </c>
      <c r="AG25" s="16">
        <v>34</v>
      </c>
      <c r="AH25" s="16">
        <v>1</v>
      </c>
      <c r="AI25" s="16">
        <v>0</v>
      </c>
      <c r="AJ25" s="16">
        <v>5</v>
      </c>
      <c r="AK25" s="16">
        <v>0</v>
      </c>
      <c r="AL25" s="16">
        <v>0</v>
      </c>
      <c r="AM25" s="16">
        <v>11</v>
      </c>
      <c r="AN25" s="16">
        <v>2</v>
      </c>
      <c r="AO25" s="16">
        <v>0</v>
      </c>
      <c r="AP25" s="16">
        <v>0</v>
      </c>
      <c r="AQ25" s="16">
        <v>0</v>
      </c>
      <c r="AR25" s="16">
        <v>0</v>
      </c>
      <c r="AS25" s="16">
        <v>3</v>
      </c>
      <c r="AT25" s="16">
        <v>0</v>
      </c>
      <c r="AU25" s="16">
        <v>12</v>
      </c>
      <c r="AV25" s="16">
        <v>1</v>
      </c>
      <c r="AW25" s="16">
        <v>0</v>
      </c>
      <c r="AX25" s="16">
        <v>2</v>
      </c>
      <c r="AY25" s="16">
        <v>0</v>
      </c>
      <c r="AZ25" s="16">
        <v>0</v>
      </c>
      <c r="BA25" s="16">
        <v>1</v>
      </c>
      <c r="BB25" s="16">
        <v>27</v>
      </c>
      <c r="BC25" s="16">
        <v>1</v>
      </c>
      <c r="BD25" s="16">
        <v>0</v>
      </c>
      <c r="BE25" s="16">
        <v>2</v>
      </c>
      <c r="BF25" s="16">
        <v>2</v>
      </c>
      <c r="BG25" s="16">
        <v>1</v>
      </c>
      <c r="BH25" s="16">
        <v>11</v>
      </c>
      <c r="BI25" s="16">
        <v>0</v>
      </c>
      <c r="BJ25" s="16">
        <v>3</v>
      </c>
      <c r="BK25" s="16">
        <v>6</v>
      </c>
      <c r="BL25" s="16">
        <v>2</v>
      </c>
      <c r="BM25" s="16">
        <v>0</v>
      </c>
      <c r="BN25" s="16">
        <v>0</v>
      </c>
      <c r="BO25" s="16">
        <v>0</v>
      </c>
    </row>
    <row r="26" spans="1:67" ht="18.600000000000001" customHeight="1" x14ac:dyDescent="0.25">
      <c r="A26" s="125" t="s">
        <v>408</v>
      </c>
      <c r="B26" s="4"/>
      <c r="C26" s="47" t="s">
        <v>75</v>
      </c>
      <c r="D26" s="48"/>
      <c r="E26" s="16">
        <f t="shared" si="0"/>
        <v>13787</v>
      </c>
      <c r="F26" s="16">
        <v>23</v>
      </c>
      <c r="G26" s="16">
        <v>27</v>
      </c>
      <c r="H26" s="16">
        <v>0</v>
      </c>
      <c r="I26" s="16">
        <v>1</v>
      </c>
      <c r="J26" s="16">
        <v>2</v>
      </c>
      <c r="K26" s="16">
        <v>7</v>
      </c>
      <c r="L26" s="16">
        <v>1265</v>
      </c>
      <c r="M26" s="16">
        <v>2098</v>
      </c>
      <c r="N26" s="16">
        <v>13</v>
      </c>
      <c r="O26" s="16">
        <v>141</v>
      </c>
      <c r="P26" s="16">
        <v>82</v>
      </c>
      <c r="Q26" s="16">
        <v>0</v>
      </c>
      <c r="R26" s="16">
        <v>212</v>
      </c>
      <c r="S26" s="16">
        <v>250</v>
      </c>
      <c r="T26" s="16">
        <v>42</v>
      </c>
      <c r="U26" s="16">
        <v>85</v>
      </c>
      <c r="V26" s="16">
        <v>452</v>
      </c>
      <c r="W26" s="16">
        <v>22</v>
      </c>
      <c r="X26" s="16">
        <v>27</v>
      </c>
      <c r="Y26" s="16">
        <v>126</v>
      </c>
      <c r="Z26" s="16">
        <v>148</v>
      </c>
      <c r="AA26" s="16">
        <v>169</v>
      </c>
      <c r="AB26" s="16">
        <v>93</v>
      </c>
      <c r="AC26" s="16">
        <v>168</v>
      </c>
      <c r="AD26" s="16">
        <v>1664</v>
      </c>
      <c r="AE26" s="16">
        <v>533</v>
      </c>
      <c r="AF26" s="16">
        <v>0</v>
      </c>
      <c r="AG26" s="16">
        <v>960</v>
      </c>
      <c r="AH26" s="16">
        <v>35</v>
      </c>
      <c r="AI26" s="16">
        <v>1</v>
      </c>
      <c r="AJ26" s="16">
        <v>202</v>
      </c>
      <c r="AK26" s="16">
        <v>21</v>
      </c>
      <c r="AL26" s="16">
        <v>0</v>
      </c>
      <c r="AM26" s="16">
        <v>618</v>
      </c>
      <c r="AN26" s="16">
        <v>173</v>
      </c>
      <c r="AO26" s="16">
        <f>1+2+0</f>
        <v>3</v>
      </c>
      <c r="AP26" s="16">
        <v>0</v>
      </c>
      <c r="AQ26" s="16">
        <f>1+1+0</f>
        <v>2</v>
      </c>
      <c r="AR26" s="16">
        <v>48</v>
      </c>
      <c r="AS26" s="16">
        <v>213</v>
      </c>
      <c r="AT26" s="16">
        <v>16</v>
      </c>
      <c r="AU26" s="16">
        <v>768</v>
      </c>
      <c r="AV26" s="16">
        <v>80</v>
      </c>
      <c r="AW26" s="16">
        <v>48</v>
      </c>
      <c r="AX26" s="16">
        <v>131</v>
      </c>
      <c r="AY26" s="16">
        <v>11</v>
      </c>
      <c r="AZ26" s="16">
        <f>200+112+0</f>
        <v>312</v>
      </c>
      <c r="BA26" s="16">
        <v>106</v>
      </c>
      <c r="BB26" s="16">
        <v>82</v>
      </c>
      <c r="BC26" s="16">
        <v>40</v>
      </c>
      <c r="BD26" s="16">
        <v>0</v>
      </c>
      <c r="BE26" s="16">
        <v>191</v>
      </c>
      <c r="BF26" s="16">
        <v>335</v>
      </c>
      <c r="BG26" s="16">
        <v>290</v>
      </c>
      <c r="BH26" s="16">
        <v>86</v>
      </c>
      <c r="BI26" s="16">
        <f>79+228+0</f>
        <v>307</v>
      </c>
      <c r="BJ26" s="16">
        <v>350</v>
      </c>
      <c r="BK26" s="16">
        <v>99</v>
      </c>
      <c r="BL26" s="16">
        <v>427</v>
      </c>
      <c r="BM26" s="16">
        <v>5</v>
      </c>
      <c r="BN26" s="16">
        <v>0</v>
      </c>
      <c r="BO26" s="16">
        <f>165+7+5</f>
        <v>177</v>
      </c>
    </row>
    <row r="27" spans="1:67" ht="18.600000000000001" customHeight="1" x14ac:dyDescent="0.25">
      <c r="A27" s="125"/>
      <c r="B27" s="4"/>
      <c r="C27" s="47" t="s">
        <v>76</v>
      </c>
      <c r="D27" s="48"/>
      <c r="E27" s="16">
        <f t="shared" si="0"/>
        <v>100</v>
      </c>
      <c r="F27" s="26">
        <v>0</v>
      </c>
      <c r="G27" s="26">
        <v>0</v>
      </c>
      <c r="H27" s="26">
        <v>0</v>
      </c>
      <c r="I27" s="26">
        <v>0</v>
      </c>
      <c r="J27" s="26">
        <v>0</v>
      </c>
      <c r="K27" s="26">
        <v>0</v>
      </c>
      <c r="L27" s="26">
        <v>0</v>
      </c>
      <c r="M27" s="26">
        <v>0</v>
      </c>
      <c r="N27" s="26">
        <v>0</v>
      </c>
      <c r="O27" s="26">
        <v>1</v>
      </c>
      <c r="P27" s="26">
        <v>2</v>
      </c>
      <c r="Q27" s="26">
        <v>0</v>
      </c>
      <c r="R27" s="26">
        <v>4</v>
      </c>
      <c r="S27" s="26">
        <v>0</v>
      </c>
      <c r="T27" s="26">
        <v>0</v>
      </c>
      <c r="U27" s="16">
        <v>0</v>
      </c>
      <c r="V27" s="16">
        <v>4</v>
      </c>
      <c r="W27" s="16">
        <v>0</v>
      </c>
      <c r="X27" s="16">
        <v>0</v>
      </c>
      <c r="Y27" s="16">
        <v>0</v>
      </c>
      <c r="Z27" s="16">
        <v>0</v>
      </c>
      <c r="AA27" s="16">
        <v>3</v>
      </c>
      <c r="AB27" s="16">
        <v>0</v>
      </c>
      <c r="AC27" s="16">
        <v>1</v>
      </c>
      <c r="AD27" s="16">
        <v>14</v>
      </c>
      <c r="AE27" s="16">
        <v>0</v>
      </c>
      <c r="AF27" s="16">
        <v>0</v>
      </c>
      <c r="AG27" s="16">
        <v>13</v>
      </c>
      <c r="AH27" s="16">
        <v>0</v>
      </c>
      <c r="AI27" s="16">
        <v>0</v>
      </c>
      <c r="AJ27" s="16">
        <v>0</v>
      </c>
      <c r="AK27" s="16">
        <v>0</v>
      </c>
      <c r="AL27" s="16">
        <v>0</v>
      </c>
      <c r="AM27" s="16">
        <v>8</v>
      </c>
      <c r="AN27" s="16">
        <v>7</v>
      </c>
      <c r="AO27" s="16">
        <v>0</v>
      </c>
      <c r="AP27" s="16">
        <v>0</v>
      </c>
      <c r="AQ27" s="16">
        <v>0</v>
      </c>
      <c r="AR27" s="16">
        <v>0</v>
      </c>
      <c r="AS27" s="16">
        <v>21</v>
      </c>
      <c r="AT27" s="16">
        <v>0</v>
      </c>
      <c r="AU27" s="16">
        <v>16</v>
      </c>
      <c r="AV27" s="16">
        <v>1</v>
      </c>
      <c r="AW27" s="16">
        <v>0</v>
      </c>
      <c r="AX27" s="16">
        <v>0</v>
      </c>
      <c r="AY27" s="16">
        <v>0</v>
      </c>
      <c r="AZ27" s="16">
        <v>0</v>
      </c>
      <c r="BA27" s="16">
        <v>0</v>
      </c>
      <c r="BB27" s="16">
        <v>0</v>
      </c>
      <c r="BC27" s="16">
        <v>0</v>
      </c>
      <c r="BD27" s="16">
        <v>0</v>
      </c>
      <c r="BE27" s="16">
        <v>0</v>
      </c>
      <c r="BF27" s="16">
        <v>1</v>
      </c>
      <c r="BG27" s="16">
        <v>0</v>
      </c>
      <c r="BH27" s="16">
        <v>0</v>
      </c>
      <c r="BI27" s="16">
        <v>0</v>
      </c>
      <c r="BJ27" s="16">
        <v>0</v>
      </c>
      <c r="BK27" s="16">
        <v>3</v>
      </c>
      <c r="BL27" s="16">
        <v>1</v>
      </c>
      <c r="BM27" s="16">
        <v>0</v>
      </c>
      <c r="BN27" s="16">
        <v>0</v>
      </c>
      <c r="BO27" s="16">
        <v>0</v>
      </c>
    </row>
    <row r="28" spans="1:67" ht="18.600000000000001" customHeight="1" x14ac:dyDescent="0.25">
      <c r="A28" s="125" t="s">
        <v>82</v>
      </c>
      <c r="B28" s="4"/>
      <c r="C28" s="47" t="s">
        <v>75</v>
      </c>
      <c r="D28" s="48"/>
      <c r="E28" s="16">
        <f t="shared" si="0"/>
        <v>2559</v>
      </c>
      <c r="F28" s="16">
        <v>0</v>
      </c>
      <c r="G28" s="16">
        <v>0</v>
      </c>
      <c r="H28" s="16">
        <v>3</v>
      </c>
      <c r="I28" s="16">
        <v>1</v>
      </c>
      <c r="J28" s="16">
        <v>0</v>
      </c>
      <c r="K28" s="16">
        <v>27</v>
      </c>
      <c r="L28" s="16">
        <v>588</v>
      </c>
      <c r="M28" s="16">
        <v>275</v>
      </c>
      <c r="N28" s="16">
        <v>0</v>
      </c>
      <c r="O28" s="16">
        <v>29</v>
      </c>
      <c r="P28" s="16">
        <v>22</v>
      </c>
      <c r="Q28" s="16">
        <v>0</v>
      </c>
      <c r="R28" s="16">
        <v>34</v>
      </c>
      <c r="S28" s="16">
        <v>36</v>
      </c>
      <c r="T28" s="16">
        <v>0</v>
      </c>
      <c r="U28" s="16">
        <v>24</v>
      </c>
      <c r="V28" s="16">
        <v>54</v>
      </c>
      <c r="W28" s="16">
        <v>0</v>
      </c>
      <c r="X28" s="16">
        <v>17</v>
      </c>
      <c r="Y28" s="16">
        <v>7</v>
      </c>
      <c r="Z28" s="16">
        <v>47</v>
      </c>
      <c r="AA28" s="16">
        <v>25</v>
      </c>
      <c r="AB28" s="16">
        <v>16</v>
      </c>
      <c r="AC28" s="16">
        <v>26</v>
      </c>
      <c r="AD28" s="16">
        <v>272</v>
      </c>
      <c r="AE28" s="16">
        <v>38</v>
      </c>
      <c r="AF28" s="16">
        <v>0</v>
      </c>
      <c r="AG28" s="16">
        <v>332</v>
      </c>
      <c r="AH28" s="16">
        <v>0</v>
      </c>
      <c r="AI28" s="16">
        <v>0</v>
      </c>
      <c r="AJ28" s="16">
        <v>77</v>
      </c>
      <c r="AK28" s="16">
        <v>10</v>
      </c>
      <c r="AL28" s="16">
        <v>0</v>
      </c>
      <c r="AM28" s="16">
        <v>39</v>
      </c>
      <c r="AN28" s="16">
        <v>15</v>
      </c>
      <c r="AO28" s="16">
        <v>0</v>
      </c>
      <c r="AP28" s="16">
        <v>0</v>
      </c>
      <c r="AQ28" s="16">
        <v>0</v>
      </c>
      <c r="AR28" s="16">
        <v>10</v>
      </c>
      <c r="AS28" s="16">
        <v>22</v>
      </c>
      <c r="AT28" s="16">
        <v>0</v>
      </c>
      <c r="AU28" s="16">
        <v>131</v>
      </c>
      <c r="AV28" s="16">
        <v>31</v>
      </c>
      <c r="AW28" s="16">
        <v>1</v>
      </c>
      <c r="AX28" s="16">
        <v>10</v>
      </c>
      <c r="AY28" s="16">
        <v>8</v>
      </c>
      <c r="AZ28" s="16">
        <v>0</v>
      </c>
      <c r="BA28" s="16">
        <v>0</v>
      </c>
      <c r="BB28" s="16">
        <v>21</v>
      </c>
      <c r="BC28" s="16">
        <v>8</v>
      </c>
      <c r="BD28" s="16">
        <v>0</v>
      </c>
      <c r="BE28" s="16">
        <v>18</v>
      </c>
      <c r="BF28" s="16">
        <v>32</v>
      </c>
      <c r="BG28" s="16">
        <v>4</v>
      </c>
      <c r="BH28" s="16">
        <v>1</v>
      </c>
      <c r="BI28" s="16">
        <f>1+1+0</f>
        <v>2</v>
      </c>
      <c r="BJ28" s="16">
        <v>16</v>
      </c>
      <c r="BK28" s="16">
        <v>116</v>
      </c>
      <c r="BL28" s="16">
        <v>104</v>
      </c>
      <c r="BM28" s="16">
        <v>0</v>
      </c>
      <c r="BN28" s="16">
        <v>0</v>
      </c>
      <c r="BO28" s="16">
        <f>3+4+3</f>
        <v>10</v>
      </c>
    </row>
    <row r="29" spans="1:67" ht="18.600000000000001" customHeight="1" x14ac:dyDescent="0.25">
      <c r="A29" s="125"/>
      <c r="B29" s="4"/>
      <c r="C29" s="47" t="s">
        <v>76</v>
      </c>
      <c r="D29" s="48"/>
      <c r="E29" s="16">
        <f t="shared" si="0"/>
        <v>23</v>
      </c>
      <c r="F29" s="26">
        <v>0</v>
      </c>
      <c r="G29" s="26">
        <v>0</v>
      </c>
      <c r="H29" s="26">
        <v>0</v>
      </c>
      <c r="I29" s="26">
        <v>0</v>
      </c>
      <c r="J29" s="26">
        <v>0</v>
      </c>
      <c r="K29" s="26">
        <v>0</v>
      </c>
      <c r="L29" s="26">
        <v>0</v>
      </c>
      <c r="M29" s="26">
        <v>0</v>
      </c>
      <c r="N29" s="26">
        <v>0</v>
      </c>
      <c r="O29" s="26">
        <v>0</v>
      </c>
      <c r="P29" s="26">
        <v>0</v>
      </c>
      <c r="Q29" s="26">
        <v>0</v>
      </c>
      <c r="R29" s="26">
        <v>0</v>
      </c>
      <c r="S29" s="26">
        <v>0</v>
      </c>
      <c r="T29" s="26">
        <v>0</v>
      </c>
      <c r="U29" s="16">
        <v>0</v>
      </c>
      <c r="V29" s="16">
        <v>0</v>
      </c>
      <c r="W29" s="16">
        <v>0</v>
      </c>
      <c r="X29" s="16">
        <v>0</v>
      </c>
      <c r="Y29" s="16">
        <v>0</v>
      </c>
      <c r="Z29" s="16">
        <v>0</v>
      </c>
      <c r="AA29" s="16">
        <v>0</v>
      </c>
      <c r="AB29" s="16">
        <v>1</v>
      </c>
      <c r="AC29" s="16">
        <v>0</v>
      </c>
      <c r="AD29" s="16">
        <v>0</v>
      </c>
      <c r="AE29" s="16">
        <v>0</v>
      </c>
      <c r="AF29" s="16">
        <v>0</v>
      </c>
      <c r="AG29" s="16">
        <v>16</v>
      </c>
      <c r="AH29" s="16">
        <v>0</v>
      </c>
      <c r="AI29" s="16">
        <v>0</v>
      </c>
      <c r="AJ29" s="16">
        <v>0</v>
      </c>
      <c r="AK29" s="16">
        <v>0</v>
      </c>
      <c r="AL29" s="16">
        <v>0</v>
      </c>
      <c r="AM29" s="16">
        <v>2</v>
      </c>
      <c r="AN29" s="16">
        <v>0</v>
      </c>
      <c r="AO29" s="16">
        <v>0</v>
      </c>
      <c r="AP29" s="16">
        <v>0</v>
      </c>
      <c r="AQ29" s="16">
        <v>0</v>
      </c>
      <c r="AR29" s="16">
        <v>0</v>
      </c>
      <c r="AS29" s="16">
        <v>1</v>
      </c>
      <c r="AT29" s="16">
        <v>0</v>
      </c>
      <c r="AU29" s="16">
        <v>0</v>
      </c>
      <c r="AV29" s="16">
        <v>2</v>
      </c>
      <c r="AW29" s="16">
        <v>0</v>
      </c>
      <c r="AX29" s="16">
        <v>0</v>
      </c>
      <c r="AY29" s="16">
        <v>0</v>
      </c>
      <c r="AZ29" s="16">
        <v>0</v>
      </c>
      <c r="BA29" s="16">
        <v>0</v>
      </c>
      <c r="BB29" s="16">
        <v>1</v>
      </c>
      <c r="BC29" s="16">
        <v>0</v>
      </c>
      <c r="BD29" s="16">
        <v>0</v>
      </c>
      <c r="BE29" s="16">
        <v>0</v>
      </c>
      <c r="BF29" s="16">
        <v>0</v>
      </c>
      <c r="BG29" s="16">
        <v>0</v>
      </c>
      <c r="BH29" s="16">
        <v>0</v>
      </c>
      <c r="BI29" s="16">
        <v>0</v>
      </c>
      <c r="BJ29" s="16">
        <v>0</v>
      </c>
      <c r="BK29" s="16">
        <v>0</v>
      </c>
      <c r="BL29" s="16">
        <v>0</v>
      </c>
      <c r="BM29" s="16">
        <v>0</v>
      </c>
      <c r="BN29" s="16">
        <v>0</v>
      </c>
      <c r="BO29" s="16">
        <v>0</v>
      </c>
    </row>
    <row r="30" spans="1:67" ht="18.600000000000001" customHeight="1" x14ac:dyDescent="0.25">
      <c r="A30" s="125" t="s">
        <v>83</v>
      </c>
      <c r="B30" s="4"/>
      <c r="C30" s="47" t="s">
        <v>75</v>
      </c>
      <c r="D30" s="48"/>
      <c r="E30" s="16">
        <f t="shared" si="0"/>
        <v>1954</v>
      </c>
      <c r="F30" s="16">
        <v>5</v>
      </c>
      <c r="G30" s="16">
        <v>0</v>
      </c>
      <c r="H30" s="16">
        <v>0</v>
      </c>
      <c r="I30" s="16">
        <v>1</v>
      </c>
      <c r="J30" s="16">
        <v>0</v>
      </c>
      <c r="K30" s="16">
        <v>0</v>
      </c>
      <c r="L30" s="16">
        <v>124</v>
      </c>
      <c r="M30" s="16">
        <v>142</v>
      </c>
      <c r="N30" s="16">
        <v>0</v>
      </c>
      <c r="O30" s="16">
        <v>23</v>
      </c>
      <c r="P30" s="16">
        <v>8</v>
      </c>
      <c r="Q30" s="16">
        <v>0</v>
      </c>
      <c r="R30" s="16">
        <v>43</v>
      </c>
      <c r="S30" s="16">
        <v>51</v>
      </c>
      <c r="T30" s="16">
        <v>0</v>
      </c>
      <c r="U30" s="16">
        <v>27</v>
      </c>
      <c r="V30" s="16">
        <v>64</v>
      </c>
      <c r="W30" s="16">
        <v>0</v>
      </c>
      <c r="X30" s="16">
        <v>3</v>
      </c>
      <c r="Y30" s="16">
        <v>27</v>
      </c>
      <c r="Z30" s="16">
        <v>34</v>
      </c>
      <c r="AA30" s="16">
        <v>25</v>
      </c>
      <c r="AB30" s="16">
        <v>27</v>
      </c>
      <c r="AC30" s="16">
        <v>66</v>
      </c>
      <c r="AD30" s="16">
        <v>261</v>
      </c>
      <c r="AE30" s="16">
        <v>25</v>
      </c>
      <c r="AF30" s="16">
        <v>0</v>
      </c>
      <c r="AG30" s="16">
        <v>299</v>
      </c>
      <c r="AH30" s="16">
        <v>1</v>
      </c>
      <c r="AI30" s="16">
        <v>0</v>
      </c>
      <c r="AJ30" s="16">
        <v>21</v>
      </c>
      <c r="AK30" s="16">
        <v>13</v>
      </c>
      <c r="AL30" s="16">
        <v>0</v>
      </c>
      <c r="AM30" s="16">
        <v>76</v>
      </c>
      <c r="AN30" s="16">
        <v>16</v>
      </c>
      <c r="AO30" s="16">
        <v>0</v>
      </c>
      <c r="AP30" s="16">
        <v>2</v>
      </c>
      <c r="AQ30" s="16">
        <v>0</v>
      </c>
      <c r="AR30" s="16">
        <v>1</v>
      </c>
      <c r="AS30" s="16">
        <v>53</v>
      </c>
      <c r="AT30" s="16">
        <v>0</v>
      </c>
      <c r="AU30" s="16">
        <v>9</v>
      </c>
      <c r="AV30" s="16">
        <v>145</v>
      </c>
      <c r="AW30" s="16">
        <v>0</v>
      </c>
      <c r="AX30" s="16">
        <v>5</v>
      </c>
      <c r="AY30" s="16">
        <v>0</v>
      </c>
      <c r="AZ30" s="16">
        <v>0</v>
      </c>
      <c r="BA30" s="16">
        <v>2</v>
      </c>
      <c r="BB30" s="16">
        <v>18</v>
      </c>
      <c r="BC30" s="16">
        <v>12</v>
      </c>
      <c r="BD30" s="16">
        <v>0</v>
      </c>
      <c r="BE30" s="16">
        <v>5</v>
      </c>
      <c r="BF30" s="16">
        <v>52</v>
      </c>
      <c r="BG30" s="16">
        <v>8</v>
      </c>
      <c r="BH30" s="16">
        <v>0</v>
      </c>
      <c r="BI30" s="16">
        <v>0</v>
      </c>
      <c r="BJ30" s="16">
        <v>46</v>
      </c>
      <c r="BK30" s="16">
        <v>146</v>
      </c>
      <c r="BL30" s="16">
        <v>63</v>
      </c>
      <c r="BM30" s="16">
        <v>1</v>
      </c>
      <c r="BN30" s="16">
        <v>0</v>
      </c>
      <c r="BO30" s="16">
        <v>4</v>
      </c>
    </row>
    <row r="31" spans="1:67" ht="18.600000000000001" customHeight="1" x14ac:dyDescent="0.25">
      <c r="A31" s="125"/>
      <c r="B31" s="4"/>
      <c r="C31" s="47" t="s">
        <v>76</v>
      </c>
      <c r="D31" s="48"/>
      <c r="E31" s="16">
        <f t="shared" si="0"/>
        <v>21</v>
      </c>
      <c r="F31" s="26">
        <v>0</v>
      </c>
      <c r="G31" s="26">
        <v>0</v>
      </c>
      <c r="H31" s="26">
        <v>0</v>
      </c>
      <c r="I31" s="26">
        <v>0</v>
      </c>
      <c r="J31" s="26">
        <v>0</v>
      </c>
      <c r="K31" s="26">
        <v>0</v>
      </c>
      <c r="L31" s="26">
        <v>0</v>
      </c>
      <c r="M31" s="26">
        <v>0</v>
      </c>
      <c r="N31" s="26">
        <v>0</v>
      </c>
      <c r="O31" s="26">
        <v>0</v>
      </c>
      <c r="P31" s="26">
        <v>0</v>
      </c>
      <c r="Q31" s="26">
        <v>0</v>
      </c>
      <c r="R31" s="26">
        <v>1</v>
      </c>
      <c r="S31" s="26">
        <v>0</v>
      </c>
      <c r="T31" s="26">
        <v>0</v>
      </c>
      <c r="U31" s="16">
        <v>1</v>
      </c>
      <c r="V31" s="16">
        <v>0</v>
      </c>
      <c r="W31" s="16">
        <v>0</v>
      </c>
      <c r="X31" s="16">
        <v>0</v>
      </c>
      <c r="Y31" s="16">
        <v>0</v>
      </c>
      <c r="Z31" s="16">
        <v>0</v>
      </c>
      <c r="AA31" s="16">
        <v>0</v>
      </c>
      <c r="AB31" s="16">
        <v>2</v>
      </c>
      <c r="AC31" s="16">
        <v>0</v>
      </c>
      <c r="AD31" s="16">
        <v>1</v>
      </c>
      <c r="AE31" s="16">
        <v>0</v>
      </c>
      <c r="AF31" s="16">
        <v>0</v>
      </c>
      <c r="AG31" s="16">
        <v>15</v>
      </c>
      <c r="AH31" s="16">
        <v>0</v>
      </c>
      <c r="AI31" s="16">
        <v>0</v>
      </c>
      <c r="AJ31" s="16">
        <v>0</v>
      </c>
      <c r="AK31" s="16">
        <v>1</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row>
    <row r="32" spans="1:67" ht="18.600000000000001" customHeight="1" x14ac:dyDescent="0.25">
      <c r="A32" s="125" t="s">
        <v>84</v>
      </c>
      <c r="B32" s="4"/>
      <c r="C32" s="47" t="s">
        <v>75</v>
      </c>
      <c r="D32" s="48"/>
      <c r="E32" s="16">
        <f t="shared" si="0"/>
        <v>45775</v>
      </c>
      <c r="F32" s="16">
        <v>535</v>
      </c>
      <c r="G32" s="16">
        <v>564</v>
      </c>
      <c r="H32" s="16">
        <v>72</v>
      </c>
      <c r="I32" s="16">
        <v>20</v>
      </c>
      <c r="J32" s="16">
        <v>55</v>
      </c>
      <c r="K32" s="16">
        <v>134</v>
      </c>
      <c r="L32" s="16">
        <v>3084</v>
      </c>
      <c r="M32" s="16">
        <v>1377</v>
      </c>
      <c r="N32" s="16">
        <v>28</v>
      </c>
      <c r="O32" s="16">
        <v>513</v>
      </c>
      <c r="P32" s="16">
        <v>450</v>
      </c>
      <c r="Q32" s="16">
        <v>1</v>
      </c>
      <c r="R32" s="16">
        <v>543</v>
      </c>
      <c r="S32" s="16">
        <v>452</v>
      </c>
      <c r="T32" s="16">
        <v>148</v>
      </c>
      <c r="U32" s="16">
        <v>489</v>
      </c>
      <c r="V32" s="16">
        <v>2111</v>
      </c>
      <c r="W32" s="16">
        <v>14</v>
      </c>
      <c r="X32" s="16">
        <v>39</v>
      </c>
      <c r="Y32" s="16">
        <v>214</v>
      </c>
      <c r="Z32" s="16">
        <v>1541</v>
      </c>
      <c r="AA32" s="16">
        <v>220</v>
      </c>
      <c r="AB32" s="16">
        <v>283</v>
      </c>
      <c r="AC32" s="16">
        <v>621</v>
      </c>
      <c r="AD32" s="16">
        <v>4393</v>
      </c>
      <c r="AE32" s="16">
        <v>2034</v>
      </c>
      <c r="AF32" s="16">
        <v>0</v>
      </c>
      <c r="AG32" s="16">
        <v>1983</v>
      </c>
      <c r="AH32" s="16">
        <v>459</v>
      </c>
      <c r="AI32" s="16">
        <v>32</v>
      </c>
      <c r="AJ32" s="16">
        <v>515</v>
      </c>
      <c r="AK32" s="16">
        <v>63</v>
      </c>
      <c r="AL32" s="16">
        <v>0</v>
      </c>
      <c r="AM32" s="16">
        <v>1514</v>
      </c>
      <c r="AN32" s="16">
        <v>242</v>
      </c>
      <c r="AO32" s="16">
        <f>216+125+0</f>
        <v>341</v>
      </c>
      <c r="AP32" s="16">
        <f>28+10+0</f>
        <v>38</v>
      </c>
      <c r="AQ32" s="16">
        <f>282+135+0</f>
        <v>417</v>
      </c>
      <c r="AR32" s="16">
        <v>234</v>
      </c>
      <c r="AS32" s="16">
        <v>739</v>
      </c>
      <c r="AT32" s="16">
        <v>149</v>
      </c>
      <c r="AU32" s="16">
        <v>6680</v>
      </c>
      <c r="AV32" s="16">
        <v>825</v>
      </c>
      <c r="AW32" s="16">
        <v>22</v>
      </c>
      <c r="AX32" s="16">
        <v>1180</v>
      </c>
      <c r="AY32" s="16">
        <v>177</v>
      </c>
      <c r="AZ32" s="16">
        <f>580+265+0</f>
        <v>845</v>
      </c>
      <c r="BA32" s="16">
        <v>740</v>
      </c>
      <c r="BB32" s="16">
        <v>260</v>
      </c>
      <c r="BC32" s="16">
        <v>219</v>
      </c>
      <c r="BD32" s="16">
        <v>133</v>
      </c>
      <c r="BE32" s="16">
        <v>848</v>
      </c>
      <c r="BF32" s="16">
        <v>476</v>
      </c>
      <c r="BG32" s="16">
        <v>664</v>
      </c>
      <c r="BH32" s="16">
        <v>1811</v>
      </c>
      <c r="BI32" s="16">
        <f>606+307+1</f>
        <v>914</v>
      </c>
      <c r="BJ32" s="16">
        <v>1720</v>
      </c>
      <c r="BK32" s="16">
        <v>226</v>
      </c>
      <c r="BL32" s="16">
        <v>1065</v>
      </c>
      <c r="BM32" s="16">
        <v>8</v>
      </c>
      <c r="BN32" s="16">
        <v>0</v>
      </c>
      <c r="BO32" s="16">
        <f>12+288+1</f>
        <v>301</v>
      </c>
    </row>
    <row r="33" spans="1:67" ht="18.600000000000001" customHeight="1" x14ac:dyDescent="0.25">
      <c r="A33" s="125"/>
      <c r="B33" s="4"/>
      <c r="C33" s="47" t="s">
        <v>76</v>
      </c>
      <c r="D33" s="48"/>
      <c r="E33" s="16">
        <f t="shared" si="0"/>
        <v>95</v>
      </c>
      <c r="F33" s="26">
        <v>0</v>
      </c>
      <c r="G33" s="26">
        <v>0</v>
      </c>
      <c r="H33" s="26">
        <v>0</v>
      </c>
      <c r="I33" s="26">
        <v>0</v>
      </c>
      <c r="J33" s="26">
        <v>0</v>
      </c>
      <c r="K33" s="26">
        <v>0</v>
      </c>
      <c r="L33" s="26">
        <v>0</v>
      </c>
      <c r="M33" s="26">
        <v>0</v>
      </c>
      <c r="N33" s="26">
        <v>0</v>
      </c>
      <c r="O33" s="26">
        <v>0</v>
      </c>
      <c r="P33" s="26">
        <v>0</v>
      </c>
      <c r="Q33" s="26">
        <v>0</v>
      </c>
      <c r="R33" s="26">
        <v>0</v>
      </c>
      <c r="S33" s="26">
        <v>1</v>
      </c>
      <c r="T33" s="26">
        <v>0</v>
      </c>
      <c r="U33" s="26">
        <v>1</v>
      </c>
      <c r="V33" s="26">
        <v>1</v>
      </c>
      <c r="W33" s="26">
        <v>0</v>
      </c>
      <c r="X33" s="26">
        <v>0</v>
      </c>
      <c r="Y33" s="26">
        <v>1</v>
      </c>
      <c r="Z33" s="26">
        <v>2</v>
      </c>
      <c r="AA33" s="26">
        <v>2</v>
      </c>
      <c r="AB33" s="26">
        <v>1</v>
      </c>
      <c r="AC33" s="26">
        <v>5</v>
      </c>
      <c r="AD33" s="26">
        <v>3</v>
      </c>
      <c r="AE33" s="26">
        <v>1</v>
      </c>
      <c r="AF33" s="26">
        <v>0</v>
      </c>
      <c r="AG33" s="26">
        <v>25</v>
      </c>
      <c r="AH33" s="26">
        <v>0</v>
      </c>
      <c r="AI33" s="26">
        <v>0</v>
      </c>
      <c r="AJ33" s="26">
        <v>0</v>
      </c>
      <c r="AK33" s="16">
        <v>0</v>
      </c>
      <c r="AL33" s="16">
        <v>0</v>
      </c>
      <c r="AM33" s="16">
        <v>5</v>
      </c>
      <c r="AN33" s="16">
        <v>0</v>
      </c>
      <c r="AO33" s="16">
        <v>0</v>
      </c>
      <c r="AP33" s="16">
        <v>0</v>
      </c>
      <c r="AQ33" s="16">
        <v>0</v>
      </c>
      <c r="AR33" s="16">
        <v>2</v>
      </c>
      <c r="AS33" s="16">
        <v>4</v>
      </c>
      <c r="AT33" s="16">
        <v>0</v>
      </c>
      <c r="AU33" s="16">
        <v>0</v>
      </c>
      <c r="AV33" s="16">
        <v>21</v>
      </c>
      <c r="AW33" s="16">
        <v>0</v>
      </c>
      <c r="AX33" s="16">
        <v>2</v>
      </c>
      <c r="AY33" s="16">
        <v>0</v>
      </c>
      <c r="AZ33" s="16">
        <v>0</v>
      </c>
      <c r="BA33" s="16">
        <v>0</v>
      </c>
      <c r="BB33" s="16">
        <v>12</v>
      </c>
      <c r="BC33" s="16">
        <v>0</v>
      </c>
      <c r="BD33" s="16">
        <v>1</v>
      </c>
      <c r="BE33" s="16">
        <v>0</v>
      </c>
      <c r="BF33" s="16">
        <v>2</v>
      </c>
      <c r="BG33" s="16">
        <v>0</v>
      </c>
      <c r="BH33" s="16">
        <v>0</v>
      </c>
      <c r="BI33" s="16">
        <v>0</v>
      </c>
      <c r="BJ33" s="16">
        <v>0</v>
      </c>
      <c r="BK33" s="16">
        <v>0</v>
      </c>
      <c r="BL33" s="16">
        <v>3</v>
      </c>
      <c r="BM33" s="16">
        <v>0</v>
      </c>
      <c r="BN33" s="16">
        <v>0</v>
      </c>
      <c r="BO33" s="16">
        <v>0</v>
      </c>
    </row>
    <row r="34" spans="1:67" ht="18.600000000000001" customHeight="1" x14ac:dyDescent="0.25">
      <c r="A34" s="125" t="s">
        <v>85</v>
      </c>
      <c r="C34" s="47" t="s">
        <v>75</v>
      </c>
      <c r="D34" s="48"/>
      <c r="E34" s="16">
        <f t="shared" si="0"/>
        <v>8466</v>
      </c>
      <c r="F34" s="16">
        <v>35</v>
      </c>
      <c r="G34" s="16">
        <v>17</v>
      </c>
      <c r="H34" s="16">
        <v>1</v>
      </c>
      <c r="I34" s="16">
        <v>3</v>
      </c>
      <c r="J34" s="16">
        <v>10</v>
      </c>
      <c r="K34" s="16">
        <v>15</v>
      </c>
      <c r="L34" s="26">
        <v>1559</v>
      </c>
      <c r="M34" s="26">
        <v>605</v>
      </c>
      <c r="N34" s="26">
        <v>7</v>
      </c>
      <c r="O34" s="26">
        <v>82</v>
      </c>
      <c r="P34" s="26">
        <v>33</v>
      </c>
      <c r="Q34" s="26">
        <v>0</v>
      </c>
      <c r="R34" s="26">
        <v>76</v>
      </c>
      <c r="S34" s="26">
        <v>122</v>
      </c>
      <c r="T34" s="26">
        <v>4</v>
      </c>
      <c r="U34" s="26">
        <v>68</v>
      </c>
      <c r="V34" s="26">
        <v>330</v>
      </c>
      <c r="W34" s="26">
        <v>10</v>
      </c>
      <c r="X34" s="26">
        <v>10</v>
      </c>
      <c r="Y34" s="26">
        <v>54</v>
      </c>
      <c r="Z34" s="26">
        <v>120</v>
      </c>
      <c r="AA34" s="26">
        <v>84</v>
      </c>
      <c r="AB34" s="26">
        <v>90</v>
      </c>
      <c r="AC34" s="26">
        <v>125</v>
      </c>
      <c r="AD34" s="26">
        <v>705</v>
      </c>
      <c r="AE34" s="26">
        <v>243</v>
      </c>
      <c r="AF34" s="26">
        <v>0</v>
      </c>
      <c r="AG34" s="26">
        <v>692</v>
      </c>
      <c r="AH34" s="26">
        <v>42</v>
      </c>
      <c r="AI34" s="26">
        <v>0</v>
      </c>
      <c r="AJ34" s="26">
        <v>236</v>
      </c>
      <c r="AK34" s="16">
        <v>27</v>
      </c>
      <c r="AL34" s="16">
        <v>0</v>
      </c>
      <c r="AM34" s="16">
        <v>367</v>
      </c>
      <c r="AN34" s="16">
        <v>89</v>
      </c>
      <c r="AO34" s="16">
        <v>0</v>
      </c>
      <c r="AP34" s="16">
        <v>0</v>
      </c>
      <c r="AQ34" s="16">
        <v>2</v>
      </c>
      <c r="AR34" s="16">
        <v>108</v>
      </c>
      <c r="AS34" s="16">
        <v>63</v>
      </c>
      <c r="AT34" s="16">
        <v>23</v>
      </c>
      <c r="AU34" s="16">
        <v>305</v>
      </c>
      <c r="AV34" s="16">
        <v>189</v>
      </c>
      <c r="AW34" s="16">
        <v>6</v>
      </c>
      <c r="AX34" s="16">
        <v>259</v>
      </c>
      <c r="AY34" s="16">
        <v>22</v>
      </c>
      <c r="AZ34" s="16">
        <v>66</v>
      </c>
      <c r="BA34" s="16">
        <v>174</v>
      </c>
      <c r="BB34" s="16">
        <v>19</v>
      </c>
      <c r="BC34" s="16">
        <v>0</v>
      </c>
      <c r="BD34" s="16">
        <v>7</v>
      </c>
      <c r="BE34" s="16">
        <v>286</v>
      </c>
      <c r="BF34" s="16">
        <v>286</v>
      </c>
      <c r="BG34" s="16">
        <v>173</v>
      </c>
      <c r="BH34" s="16">
        <v>39</v>
      </c>
      <c r="BI34" s="16">
        <v>14</v>
      </c>
      <c r="BJ34" s="16">
        <v>215</v>
      </c>
      <c r="BK34" s="16">
        <v>221</v>
      </c>
      <c r="BL34" s="16">
        <v>116</v>
      </c>
      <c r="BM34" s="16">
        <v>1</v>
      </c>
      <c r="BN34" s="16">
        <v>0</v>
      </c>
      <c r="BO34" s="16">
        <v>11</v>
      </c>
    </row>
    <row r="35" spans="1:67" ht="18.600000000000001" customHeight="1" x14ac:dyDescent="0.25">
      <c r="A35" s="125"/>
      <c r="C35" s="47" t="s">
        <v>76</v>
      </c>
      <c r="D35" s="48"/>
      <c r="E35" s="16">
        <f t="shared" si="0"/>
        <v>70</v>
      </c>
      <c r="F35" s="26">
        <v>0</v>
      </c>
      <c r="G35" s="26">
        <v>0</v>
      </c>
      <c r="H35" s="26">
        <v>0</v>
      </c>
      <c r="I35" s="26">
        <v>0</v>
      </c>
      <c r="J35" s="26">
        <v>0</v>
      </c>
      <c r="K35" s="26">
        <v>0</v>
      </c>
      <c r="L35" s="26">
        <v>0</v>
      </c>
      <c r="M35" s="26">
        <v>0</v>
      </c>
      <c r="N35" s="26">
        <v>0</v>
      </c>
      <c r="O35" s="26">
        <v>0</v>
      </c>
      <c r="P35" s="26">
        <v>0</v>
      </c>
      <c r="Q35" s="26">
        <v>0</v>
      </c>
      <c r="R35" s="26">
        <v>2</v>
      </c>
      <c r="S35" s="26">
        <v>0</v>
      </c>
      <c r="T35" s="26">
        <v>0</v>
      </c>
      <c r="U35" s="26">
        <v>0</v>
      </c>
      <c r="V35" s="26">
        <v>4</v>
      </c>
      <c r="W35" s="26">
        <v>0</v>
      </c>
      <c r="X35" s="26">
        <v>0</v>
      </c>
      <c r="Y35" s="26">
        <v>0</v>
      </c>
      <c r="Z35" s="26">
        <v>0</v>
      </c>
      <c r="AA35" s="26">
        <v>0</v>
      </c>
      <c r="AB35" s="26">
        <v>3</v>
      </c>
      <c r="AC35" s="26">
        <v>1</v>
      </c>
      <c r="AD35" s="26">
        <v>2</v>
      </c>
      <c r="AE35" s="26">
        <v>1</v>
      </c>
      <c r="AF35" s="26">
        <v>0</v>
      </c>
      <c r="AG35" s="26">
        <v>19</v>
      </c>
      <c r="AH35" s="26">
        <v>0</v>
      </c>
      <c r="AI35" s="26">
        <v>0</v>
      </c>
      <c r="AJ35" s="26">
        <v>1</v>
      </c>
      <c r="AK35" s="16">
        <v>0</v>
      </c>
      <c r="AL35" s="16">
        <v>0</v>
      </c>
      <c r="AM35" s="16">
        <v>2</v>
      </c>
      <c r="AN35" s="16">
        <v>1</v>
      </c>
      <c r="AO35" s="16">
        <v>0</v>
      </c>
      <c r="AP35" s="16">
        <v>0</v>
      </c>
      <c r="AQ35" s="16">
        <v>0</v>
      </c>
      <c r="AR35" s="16">
        <v>0</v>
      </c>
      <c r="AS35" s="16">
        <v>6</v>
      </c>
      <c r="AT35" s="16">
        <v>1</v>
      </c>
      <c r="AU35" s="16">
        <v>4</v>
      </c>
      <c r="AV35" s="16">
        <v>14</v>
      </c>
      <c r="AW35" s="16">
        <v>0</v>
      </c>
      <c r="AX35" s="16">
        <v>0</v>
      </c>
      <c r="AY35" s="16">
        <v>0</v>
      </c>
      <c r="AZ35" s="16">
        <v>1</v>
      </c>
      <c r="BA35" s="16">
        <v>0</v>
      </c>
      <c r="BB35" s="16">
        <v>0</v>
      </c>
      <c r="BC35" s="16">
        <v>0</v>
      </c>
      <c r="BD35" s="16">
        <v>0</v>
      </c>
      <c r="BE35" s="16">
        <v>1</v>
      </c>
      <c r="BF35" s="16">
        <v>1</v>
      </c>
      <c r="BG35" s="16">
        <v>0</v>
      </c>
      <c r="BH35" s="16">
        <v>1</v>
      </c>
      <c r="BI35" s="16">
        <v>0</v>
      </c>
      <c r="BJ35" s="16">
        <v>0</v>
      </c>
      <c r="BK35" s="16">
        <v>5</v>
      </c>
      <c r="BL35" s="16">
        <v>0</v>
      </c>
      <c r="BM35" s="16">
        <v>0</v>
      </c>
      <c r="BN35" s="16">
        <v>0</v>
      </c>
      <c r="BO35" s="16">
        <v>0</v>
      </c>
    </row>
    <row r="36" spans="1:67" ht="18.600000000000001" customHeight="1" x14ac:dyDescent="0.25">
      <c r="A36" s="125" t="s">
        <v>86</v>
      </c>
      <c r="B36" s="4"/>
      <c r="C36" s="47" t="s">
        <v>75</v>
      </c>
      <c r="D36" s="48"/>
      <c r="E36" s="16">
        <f t="shared" si="0"/>
        <v>8823</v>
      </c>
      <c r="F36" s="16">
        <v>41</v>
      </c>
      <c r="G36" s="16">
        <v>68</v>
      </c>
      <c r="H36" s="16">
        <v>17</v>
      </c>
      <c r="I36" s="16">
        <v>5</v>
      </c>
      <c r="J36" s="16">
        <v>6</v>
      </c>
      <c r="K36" s="16">
        <v>21</v>
      </c>
      <c r="L36" s="26">
        <v>979</v>
      </c>
      <c r="M36" s="26">
        <v>511</v>
      </c>
      <c r="N36" s="26">
        <v>47</v>
      </c>
      <c r="O36" s="26">
        <v>48</v>
      </c>
      <c r="P36" s="26">
        <v>11</v>
      </c>
      <c r="Q36" s="26">
        <v>0</v>
      </c>
      <c r="R36" s="26">
        <v>68</v>
      </c>
      <c r="S36" s="26">
        <v>36</v>
      </c>
      <c r="T36" s="26">
        <v>36</v>
      </c>
      <c r="U36" s="26">
        <v>49</v>
      </c>
      <c r="V36" s="26">
        <v>336</v>
      </c>
      <c r="W36" s="26">
        <v>16</v>
      </c>
      <c r="X36" s="26">
        <v>48</v>
      </c>
      <c r="Y36" s="26">
        <v>48</v>
      </c>
      <c r="Z36" s="26">
        <v>559</v>
      </c>
      <c r="AA36" s="26">
        <v>28</v>
      </c>
      <c r="AB36" s="26">
        <v>88</v>
      </c>
      <c r="AC36" s="26">
        <v>66</v>
      </c>
      <c r="AD36" s="26">
        <v>1305</v>
      </c>
      <c r="AE36" s="26">
        <v>220</v>
      </c>
      <c r="AF36" s="26">
        <v>0</v>
      </c>
      <c r="AG36" s="26">
        <v>474</v>
      </c>
      <c r="AH36" s="26">
        <v>59</v>
      </c>
      <c r="AI36" s="26">
        <v>2</v>
      </c>
      <c r="AJ36" s="26">
        <v>63</v>
      </c>
      <c r="AK36" s="16">
        <v>7</v>
      </c>
      <c r="AL36" s="16">
        <v>0</v>
      </c>
      <c r="AM36" s="16">
        <v>141</v>
      </c>
      <c r="AN36" s="16">
        <v>19</v>
      </c>
      <c r="AO36" s="16">
        <v>0</v>
      </c>
      <c r="AP36" s="16">
        <v>0</v>
      </c>
      <c r="AQ36" s="16">
        <v>0</v>
      </c>
      <c r="AR36" s="16">
        <v>65</v>
      </c>
      <c r="AS36" s="16">
        <v>39</v>
      </c>
      <c r="AT36" s="16">
        <v>30</v>
      </c>
      <c r="AU36" s="16">
        <v>848</v>
      </c>
      <c r="AV36" s="16">
        <v>429</v>
      </c>
      <c r="AW36" s="16">
        <v>3</v>
      </c>
      <c r="AX36" s="16">
        <v>158</v>
      </c>
      <c r="AY36" s="16">
        <v>45</v>
      </c>
      <c r="AZ36" s="16">
        <f>25+185+38</f>
        <v>248</v>
      </c>
      <c r="BA36" s="16">
        <v>18</v>
      </c>
      <c r="BB36" s="16">
        <v>36</v>
      </c>
      <c r="BC36" s="16">
        <v>8</v>
      </c>
      <c r="BD36" s="16">
        <v>5</v>
      </c>
      <c r="BE36" s="16">
        <v>224</v>
      </c>
      <c r="BF36" s="16">
        <v>56</v>
      </c>
      <c r="BG36" s="16">
        <v>97</v>
      </c>
      <c r="BH36" s="16">
        <v>73</v>
      </c>
      <c r="BI36" s="16">
        <f>6+332+0</f>
        <v>338</v>
      </c>
      <c r="BJ36" s="16">
        <v>105</v>
      </c>
      <c r="BK36" s="16">
        <v>270</v>
      </c>
      <c r="BL36" s="16">
        <v>268</v>
      </c>
      <c r="BM36" s="16">
        <v>1</v>
      </c>
      <c r="BN36" s="16">
        <v>0</v>
      </c>
      <c r="BO36" s="16">
        <f>17+20+0</f>
        <v>37</v>
      </c>
    </row>
    <row r="37" spans="1:67" ht="18.600000000000001" customHeight="1" x14ac:dyDescent="0.25">
      <c r="A37" s="125"/>
      <c r="B37" s="4"/>
      <c r="C37" s="47" t="s">
        <v>76</v>
      </c>
      <c r="D37" s="48"/>
      <c r="E37" s="16">
        <f t="shared" si="0"/>
        <v>45</v>
      </c>
      <c r="F37" s="26">
        <v>0</v>
      </c>
      <c r="G37" s="26">
        <v>0</v>
      </c>
      <c r="H37" s="26">
        <v>0</v>
      </c>
      <c r="I37" s="26">
        <v>0</v>
      </c>
      <c r="J37" s="26">
        <v>0</v>
      </c>
      <c r="K37" s="26">
        <v>0</v>
      </c>
      <c r="L37" s="26">
        <v>0</v>
      </c>
      <c r="M37" s="26">
        <v>0</v>
      </c>
      <c r="N37" s="26">
        <v>0</v>
      </c>
      <c r="O37" s="26">
        <v>0</v>
      </c>
      <c r="P37" s="26">
        <v>0</v>
      </c>
      <c r="Q37" s="26">
        <v>0</v>
      </c>
      <c r="R37" s="26">
        <v>0</v>
      </c>
      <c r="S37" s="26">
        <v>0</v>
      </c>
      <c r="T37" s="26">
        <v>0</v>
      </c>
      <c r="U37" s="26">
        <v>0</v>
      </c>
      <c r="V37" s="26">
        <v>2</v>
      </c>
      <c r="W37" s="26">
        <v>0</v>
      </c>
      <c r="X37" s="26">
        <v>0</v>
      </c>
      <c r="Y37" s="26">
        <v>0</v>
      </c>
      <c r="Z37" s="26">
        <v>0</v>
      </c>
      <c r="AA37" s="26">
        <v>0</v>
      </c>
      <c r="AB37" s="26">
        <v>3</v>
      </c>
      <c r="AC37" s="26">
        <v>0</v>
      </c>
      <c r="AD37" s="26">
        <v>2</v>
      </c>
      <c r="AE37" s="26">
        <v>0</v>
      </c>
      <c r="AF37" s="26">
        <v>0</v>
      </c>
      <c r="AG37" s="26">
        <v>9</v>
      </c>
      <c r="AH37" s="26">
        <v>0</v>
      </c>
      <c r="AI37" s="26">
        <v>0</v>
      </c>
      <c r="AJ37" s="26">
        <v>1</v>
      </c>
      <c r="AK37" s="16">
        <v>0</v>
      </c>
      <c r="AL37" s="16">
        <v>0</v>
      </c>
      <c r="AM37" s="16">
        <v>1</v>
      </c>
      <c r="AN37" s="16">
        <v>0</v>
      </c>
      <c r="AO37" s="16">
        <v>0</v>
      </c>
      <c r="AP37" s="16">
        <v>0</v>
      </c>
      <c r="AQ37" s="16">
        <v>0</v>
      </c>
      <c r="AR37" s="16">
        <v>0</v>
      </c>
      <c r="AS37" s="16">
        <v>6</v>
      </c>
      <c r="AT37" s="16">
        <v>0</v>
      </c>
      <c r="AU37" s="16">
        <v>1</v>
      </c>
      <c r="AV37" s="16">
        <v>13</v>
      </c>
      <c r="AW37" s="16">
        <v>0</v>
      </c>
      <c r="AX37" s="16">
        <v>0</v>
      </c>
      <c r="AY37" s="16">
        <v>0</v>
      </c>
      <c r="AZ37" s="16">
        <v>0</v>
      </c>
      <c r="BA37" s="16">
        <v>0</v>
      </c>
      <c r="BB37" s="16">
        <v>0</v>
      </c>
      <c r="BC37" s="16">
        <v>0</v>
      </c>
      <c r="BD37" s="16">
        <v>0</v>
      </c>
      <c r="BE37" s="16">
        <v>0</v>
      </c>
      <c r="BF37" s="16">
        <v>0</v>
      </c>
      <c r="BG37" s="16">
        <v>0</v>
      </c>
      <c r="BH37" s="16">
        <v>2</v>
      </c>
      <c r="BI37" s="16">
        <v>0</v>
      </c>
      <c r="BJ37" s="16">
        <v>1</v>
      </c>
      <c r="BK37" s="16">
        <v>3</v>
      </c>
      <c r="BL37" s="16">
        <v>1</v>
      </c>
      <c r="BM37" s="16">
        <v>0</v>
      </c>
      <c r="BN37" s="16">
        <v>0</v>
      </c>
      <c r="BO37" s="16">
        <v>0</v>
      </c>
    </row>
    <row r="38" spans="1:67" ht="18.600000000000001" customHeight="1" x14ac:dyDescent="0.25">
      <c r="A38" s="125" t="s">
        <v>87</v>
      </c>
      <c r="B38" s="4"/>
      <c r="C38" s="47" t="s">
        <v>75</v>
      </c>
      <c r="D38" s="48"/>
      <c r="E38" s="16">
        <f t="shared" si="0"/>
        <v>18536</v>
      </c>
      <c r="F38" s="16">
        <v>212</v>
      </c>
      <c r="G38" s="16">
        <v>130</v>
      </c>
      <c r="H38" s="16">
        <v>32</v>
      </c>
      <c r="I38" s="16">
        <v>3</v>
      </c>
      <c r="J38" s="16">
        <v>28</v>
      </c>
      <c r="K38" s="16">
        <v>62</v>
      </c>
      <c r="L38" s="26">
        <v>2079</v>
      </c>
      <c r="M38" s="26">
        <v>1807</v>
      </c>
      <c r="N38" s="26">
        <v>82</v>
      </c>
      <c r="O38" s="26">
        <v>104</v>
      </c>
      <c r="P38" s="26">
        <v>62</v>
      </c>
      <c r="Q38" s="26">
        <v>0</v>
      </c>
      <c r="R38" s="26">
        <v>117</v>
      </c>
      <c r="S38" s="26">
        <v>268</v>
      </c>
      <c r="T38" s="26">
        <v>81</v>
      </c>
      <c r="U38" s="26">
        <v>180</v>
      </c>
      <c r="V38" s="26">
        <v>490</v>
      </c>
      <c r="W38" s="26">
        <v>31</v>
      </c>
      <c r="X38" s="26">
        <v>3</v>
      </c>
      <c r="Y38" s="26">
        <v>113</v>
      </c>
      <c r="Z38" s="26">
        <v>713</v>
      </c>
      <c r="AA38" s="26">
        <v>149</v>
      </c>
      <c r="AB38" s="26">
        <v>154</v>
      </c>
      <c r="AC38" s="26">
        <v>405</v>
      </c>
      <c r="AD38" s="26">
        <v>2932</v>
      </c>
      <c r="AE38" s="26">
        <v>694</v>
      </c>
      <c r="AF38" s="26">
        <v>0</v>
      </c>
      <c r="AG38" s="26">
        <v>962</v>
      </c>
      <c r="AH38" s="26">
        <v>103</v>
      </c>
      <c r="AI38" s="26">
        <v>0</v>
      </c>
      <c r="AJ38" s="26">
        <v>257</v>
      </c>
      <c r="AK38" s="16">
        <v>19</v>
      </c>
      <c r="AL38" s="16">
        <v>0</v>
      </c>
      <c r="AM38" s="16">
        <v>382</v>
      </c>
      <c r="AN38" s="16">
        <v>120</v>
      </c>
      <c r="AO38" s="16">
        <v>0</v>
      </c>
      <c r="AP38" s="16">
        <v>0</v>
      </c>
      <c r="AQ38" s="16">
        <v>21</v>
      </c>
      <c r="AR38" s="16">
        <v>262</v>
      </c>
      <c r="AS38" s="16">
        <v>312</v>
      </c>
      <c r="AT38" s="16">
        <v>82</v>
      </c>
      <c r="AU38" s="16">
        <v>1580</v>
      </c>
      <c r="AV38" s="16">
        <v>606</v>
      </c>
      <c r="AW38" s="16">
        <v>6</v>
      </c>
      <c r="AX38" s="16">
        <v>258</v>
      </c>
      <c r="AY38" s="16">
        <v>13</v>
      </c>
      <c r="AZ38" s="16">
        <f>3+2+0</f>
        <v>5</v>
      </c>
      <c r="BA38" s="16">
        <v>18</v>
      </c>
      <c r="BB38" s="16">
        <v>20</v>
      </c>
      <c r="BC38" s="16">
        <v>11</v>
      </c>
      <c r="BD38" s="16">
        <v>1</v>
      </c>
      <c r="BE38" s="16">
        <v>179</v>
      </c>
      <c r="BF38" s="16">
        <v>202</v>
      </c>
      <c r="BG38" s="16">
        <v>97</v>
      </c>
      <c r="BH38" s="16">
        <v>6</v>
      </c>
      <c r="BI38" s="16">
        <v>95</v>
      </c>
      <c r="BJ38" s="16">
        <v>654</v>
      </c>
      <c r="BK38" s="16">
        <v>656</v>
      </c>
      <c r="BL38" s="16">
        <v>570</v>
      </c>
      <c r="BM38" s="16">
        <v>0</v>
      </c>
      <c r="BN38" s="16">
        <v>0</v>
      </c>
      <c r="BO38" s="16">
        <v>108</v>
      </c>
    </row>
    <row r="39" spans="1:67" ht="18.600000000000001" customHeight="1" x14ac:dyDescent="0.25">
      <c r="A39" s="125"/>
      <c r="B39" s="4"/>
      <c r="C39" s="47" t="s">
        <v>76</v>
      </c>
      <c r="D39" s="48"/>
      <c r="E39" s="16">
        <f t="shared" si="0"/>
        <v>40</v>
      </c>
      <c r="F39" s="26">
        <v>0</v>
      </c>
      <c r="G39" s="26">
        <v>0</v>
      </c>
      <c r="H39" s="26">
        <v>0</v>
      </c>
      <c r="I39" s="26">
        <v>0</v>
      </c>
      <c r="J39" s="26">
        <v>0</v>
      </c>
      <c r="K39" s="26">
        <v>0</v>
      </c>
      <c r="L39" s="26">
        <v>1</v>
      </c>
      <c r="M39" s="26">
        <v>0</v>
      </c>
      <c r="N39" s="26">
        <v>0</v>
      </c>
      <c r="O39" s="26">
        <v>0</v>
      </c>
      <c r="P39" s="26">
        <v>0</v>
      </c>
      <c r="Q39" s="26">
        <v>0</v>
      </c>
      <c r="R39" s="26">
        <v>0</v>
      </c>
      <c r="S39" s="26">
        <v>1</v>
      </c>
      <c r="T39" s="26">
        <v>0</v>
      </c>
      <c r="U39" s="26">
        <v>1</v>
      </c>
      <c r="V39" s="26">
        <v>1</v>
      </c>
      <c r="W39" s="26">
        <v>0</v>
      </c>
      <c r="X39" s="26">
        <v>0</v>
      </c>
      <c r="Y39" s="26">
        <v>0</v>
      </c>
      <c r="Z39" s="26">
        <v>0</v>
      </c>
      <c r="AA39" s="26">
        <v>1</v>
      </c>
      <c r="AB39" s="26">
        <v>1</v>
      </c>
      <c r="AC39" s="26">
        <v>1</v>
      </c>
      <c r="AD39" s="26">
        <v>0</v>
      </c>
      <c r="AE39" s="26">
        <v>0</v>
      </c>
      <c r="AF39" s="26">
        <v>0</v>
      </c>
      <c r="AG39" s="26">
        <v>9</v>
      </c>
      <c r="AH39" s="26">
        <v>0</v>
      </c>
      <c r="AI39" s="26">
        <v>0</v>
      </c>
      <c r="AJ39" s="26">
        <v>0</v>
      </c>
      <c r="AK39" s="16">
        <v>1</v>
      </c>
      <c r="AL39" s="16">
        <v>0</v>
      </c>
      <c r="AM39" s="16">
        <v>6</v>
      </c>
      <c r="AN39" s="16">
        <v>0</v>
      </c>
      <c r="AO39" s="16">
        <v>0</v>
      </c>
      <c r="AP39" s="16">
        <v>0</v>
      </c>
      <c r="AQ39" s="16">
        <v>0</v>
      </c>
      <c r="AR39" s="16">
        <v>0</v>
      </c>
      <c r="AS39" s="16">
        <v>4</v>
      </c>
      <c r="AT39" s="16">
        <v>0</v>
      </c>
      <c r="AU39" s="16">
        <v>5</v>
      </c>
      <c r="AV39" s="16">
        <v>0</v>
      </c>
      <c r="AW39" s="16">
        <v>0</v>
      </c>
      <c r="AX39" s="16">
        <v>0</v>
      </c>
      <c r="AY39" s="16">
        <v>0</v>
      </c>
      <c r="AZ39" s="16">
        <v>0</v>
      </c>
      <c r="BA39" s="16">
        <v>0</v>
      </c>
      <c r="BB39" s="16">
        <v>0</v>
      </c>
      <c r="BC39" s="16">
        <v>0</v>
      </c>
      <c r="BD39" s="16">
        <v>0</v>
      </c>
      <c r="BE39" s="16">
        <v>0</v>
      </c>
      <c r="BF39" s="16">
        <v>0</v>
      </c>
      <c r="BG39" s="16">
        <v>0</v>
      </c>
      <c r="BH39" s="16">
        <v>1</v>
      </c>
      <c r="BI39" s="16">
        <v>0</v>
      </c>
      <c r="BJ39" s="16">
        <v>1</v>
      </c>
      <c r="BK39" s="16">
        <v>6</v>
      </c>
      <c r="BL39" s="16">
        <v>0</v>
      </c>
      <c r="BM39" s="16">
        <v>0</v>
      </c>
      <c r="BN39" s="16">
        <v>0</v>
      </c>
      <c r="BO39" s="16">
        <v>0</v>
      </c>
    </row>
    <row r="40" spans="1:67" ht="18.600000000000001" customHeight="1" x14ac:dyDescent="0.25">
      <c r="A40" s="125" t="s">
        <v>88</v>
      </c>
      <c r="C40" s="47" t="s">
        <v>75</v>
      </c>
      <c r="D40" s="48"/>
      <c r="E40" s="16">
        <f t="shared" si="0"/>
        <v>8298</v>
      </c>
      <c r="F40" s="16">
        <v>73</v>
      </c>
      <c r="G40" s="16">
        <v>9</v>
      </c>
      <c r="H40" s="16">
        <v>15</v>
      </c>
      <c r="I40" s="16">
        <v>4</v>
      </c>
      <c r="J40" s="16">
        <v>11</v>
      </c>
      <c r="K40" s="16">
        <v>7</v>
      </c>
      <c r="L40" s="26">
        <v>1560</v>
      </c>
      <c r="M40" s="26">
        <v>1169</v>
      </c>
      <c r="N40" s="26">
        <v>58</v>
      </c>
      <c r="O40" s="26">
        <v>95</v>
      </c>
      <c r="P40" s="26">
        <v>62</v>
      </c>
      <c r="Q40" s="26">
        <v>0</v>
      </c>
      <c r="R40" s="26">
        <v>117</v>
      </c>
      <c r="S40" s="26">
        <v>127</v>
      </c>
      <c r="T40" s="26">
        <v>12</v>
      </c>
      <c r="U40" s="26">
        <v>61</v>
      </c>
      <c r="V40" s="26">
        <v>317</v>
      </c>
      <c r="W40" s="26">
        <v>17</v>
      </c>
      <c r="X40" s="26">
        <v>25</v>
      </c>
      <c r="Y40" s="26">
        <v>62</v>
      </c>
      <c r="Z40" s="26">
        <v>76</v>
      </c>
      <c r="AA40" s="26">
        <v>89</v>
      </c>
      <c r="AB40" s="26">
        <v>60</v>
      </c>
      <c r="AC40" s="26">
        <v>118</v>
      </c>
      <c r="AD40" s="26">
        <v>428</v>
      </c>
      <c r="AE40" s="26">
        <v>200</v>
      </c>
      <c r="AF40" s="26">
        <v>0</v>
      </c>
      <c r="AG40" s="26">
        <v>753</v>
      </c>
      <c r="AH40" s="26">
        <v>57</v>
      </c>
      <c r="AI40" s="26">
        <v>1</v>
      </c>
      <c r="AJ40" s="26">
        <v>114</v>
      </c>
      <c r="AK40" s="16">
        <v>16</v>
      </c>
      <c r="AL40" s="16">
        <v>0</v>
      </c>
      <c r="AM40" s="16">
        <v>150</v>
      </c>
      <c r="AN40" s="16">
        <v>72</v>
      </c>
      <c r="AO40" s="16">
        <v>0</v>
      </c>
      <c r="AP40" s="16">
        <v>0</v>
      </c>
      <c r="AQ40" s="16">
        <v>0</v>
      </c>
      <c r="AR40" s="16">
        <v>25</v>
      </c>
      <c r="AS40" s="16">
        <v>90</v>
      </c>
      <c r="AT40" s="16">
        <v>23</v>
      </c>
      <c r="AU40" s="16">
        <v>216</v>
      </c>
      <c r="AV40" s="16">
        <v>74</v>
      </c>
      <c r="AW40" s="16">
        <v>7</v>
      </c>
      <c r="AX40" s="16">
        <v>301</v>
      </c>
      <c r="AY40" s="16">
        <v>22</v>
      </c>
      <c r="AZ40" s="16">
        <f>58+6+0</f>
        <v>64</v>
      </c>
      <c r="BA40" s="16">
        <v>28</v>
      </c>
      <c r="BB40" s="16">
        <v>12</v>
      </c>
      <c r="BC40" s="16">
        <v>6</v>
      </c>
      <c r="BD40" s="16">
        <v>0</v>
      </c>
      <c r="BE40" s="16">
        <v>436</v>
      </c>
      <c r="BF40" s="16">
        <v>297</v>
      </c>
      <c r="BG40" s="16">
        <v>214</v>
      </c>
      <c r="BH40" s="16">
        <v>9</v>
      </c>
      <c r="BI40" s="16">
        <f>13+5+0</f>
        <v>18</v>
      </c>
      <c r="BJ40" s="16">
        <v>118</v>
      </c>
      <c r="BK40" s="16">
        <v>194</v>
      </c>
      <c r="BL40" s="16">
        <v>153</v>
      </c>
      <c r="BM40" s="16">
        <v>0</v>
      </c>
      <c r="BN40" s="16">
        <v>0</v>
      </c>
      <c r="BO40" s="16">
        <v>56</v>
      </c>
    </row>
    <row r="41" spans="1:67" ht="18.600000000000001" customHeight="1" x14ac:dyDescent="0.25">
      <c r="A41" s="125"/>
      <c r="C41" s="47" t="s">
        <v>76</v>
      </c>
      <c r="D41" s="48"/>
      <c r="E41" s="16">
        <f t="shared" si="0"/>
        <v>52</v>
      </c>
      <c r="F41" s="26">
        <v>1</v>
      </c>
      <c r="G41" s="26">
        <v>0</v>
      </c>
      <c r="H41" s="26">
        <v>0</v>
      </c>
      <c r="I41" s="26">
        <v>0</v>
      </c>
      <c r="J41" s="26">
        <v>0</v>
      </c>
      <c r="K41" s="26">
        <v>0</v>
      </c>
      <c r="L41" s="26">
        <v>0</v>
      </c>
      <c r="M41" s="26">
        <v>0</v>
      </c>
      <c r="N41" s="26">
        <v>0</v>
      </c>
      <c r="O41" s="26">
        <v>0</v>
      </c>
      <c r="P41" s="26">
        <v>1</v>
      </c>
      <c r="Q41" s="26">
        <v>0</v>
      </c>
      <c r="R41" s="26">
        <v>3</v>
      </c>
      <c r="S41" s="26">
        <v>1</v>
      </c>
      <c r="T41" s="26">
        <v>0</v>
      </c>
      <c r="U41" s="26">
        <v>0</v>
      </c>
      <c r="V41" s="26">
        <v>1</v>
      </c>
      <c r="W41" s="26">
        <v>0</v>
      </c>
      <c r="X41" s="26">
        <v>0</v>
      </c>
      <c r="Y41" s="26">
        <v>0</v>
      </c>
      <c r="Z41" s="26">
        <v>0</v>
      </c>
      <c r="AA41" s="26">
        <v>0</v>
      </c>
      <c r="AB41" s="26">
        <v>2</v>
      </c>
      <c r="AC41" s="26">
        <v>0</v>
      </c>
      <c r="AD41" s="26">
        <v>1</v>
      </c>
      <c r="AE41" s="26">
        <v>0</v>
      </c>
      <c r="AF41" s="26">
        <v>0</v>
      </c>
      <c r="AG41" s="26">
        <v>18</v>
      </c>
      <c r="AH41" s="26">
        <v>0</v>
      </c>
      <c r="AI41" s="26">
        <v>0</v>
      </c>
      <c r="AJ41" s="26">
        <v>1</v>
      </c>
      <c r="AK41" s="16">
        <v>0</v>
      </c>
      <c r="AL41" s="16">
        <v>0</v>
      </c>
      <c r="AM41" s="16">
        <v>3</v>
      </c>
      <c r="AN41" s="16">
        <v>3</v>
      </c>
      <c r="AO41" s="16">
        <v>0</v>
      </c>
      <c r="AP41" s="16">
        <v>0</v>
      </c>
      <c r="AQ41" s="16">
        <v>0</v>
      </c>
      <c r="AR41" s="16">
        <v>0</v>
      </c>
      <c r="AS41" s="16">
        <v>7</v>
      </c>
      <c r="AT41" s="16">
        <v>0</v>
      </c>
      <c r="AU41" s="16">
        <v>4</v>
      </c>
      <c r="AV41" s="16">
        <v>0</v>
      </c>
      <c r="AW41" s="16">
        <v>0</v>
      </c>
      <c r="AX41" s="16">
        <v>0</v>
      </c>
      <c r="AY41" s="16">
        <v>0</v>
      </c>
      <c r="AZ41" s="16">
        <v>0</v>
      </c>
      <c r="BA41" s="16">
        <v>0</v>
      </c>
      <c r="BB41" s="16">
        <v>0</v>
      </c>
      <c r="BC41" s="16">
        <v>0</v>
      </c>
      <c r="BD41" s="16">
        <v>0</v>
      </c>
      <c r="BE41" s="16">
        <v>1</v>
      </c>
      <c r="BF41" s="16">
        <v>0</v>
      </c>
      <c r="BG41" s="16">
        <v>0</v>
      </c>
      <c r="BH41" s="16">
        <v>0</v>
      </c>
      <c r="BI41" s="16">
        <v>0</v>
      </c>
      <c r="BJ41" s="16">
        <v>3</v>
      </c>
      <c r="BK41" s="16">
        <v>2</v>
      </c>
      <c r="BL41" s="16">
        <v>0</v>
      </c>
      <c r="BM41" s="16">
        <v>0</v>
      </c>
      <c r="BN41" s="16">
        <v>0</v>
      </c>
      <c r="BO41" s="16">
        <v>0</v>
      </c>
    </row>
    <row r="42" spans="1:67" ht="18.600000000000001" customHeight="1" x14ac:dyDescent="0.25">
      <c r="A42" s="125" t="s">
        <v>89</v>
      </c>
      <c r="B42" s="4"/>
      <c r="C42" s="47" t="s">
        <v>75</v>
      </c>
      <c r="D42" s="48"/>
      <c r="E42" s="16">
        <f t="shared" si="0"/>
        <v>11945</v>
      </c>
      <c r="F42" s="16">
        <v>43</v>
      </c>
      <c r="G42" s="16">
        <v>52</v>
      </c>
      <c r="H42" s="16">
        <v>2</v>
      </c>
      <c r="I42" s="16">
        <v>5</v>
      </c>
      <c r="J42" s="16">
        <v>5</v>
      </c>
      <c r="K42" s="16">
        <v>9</v>
      </c>
      <c r="L42" s="26">
        <v>1231</v>
      </c>
      <c r="M42" s="26">
        <v>732</v>
      </c>
      <c r="N42" s="26">
        <v>55</v>
      </c>
      <c r="O42" s="26">
        <v>48</v>
      </c>
      <c r="P42" s="26">
        <v>14</v>
      </c>
      <c r="Q42" s="26">
        <v>0</v>
      </c>
      <c r="R42" s="26">
        <v>99</v>
      </c>
      <c r="S42" s="26">
        <v>210</v>
      </c>
      <c r="T42" s="26">
        <v>65</v>
      </c>
      <c r="U42" s="26">
        <v>183</v>
      </c>
      <c r="V42" s="26">
        <v>594</v>
      </c>
      <c r="W42" s="26">
        <v>20</v>
      </c>
      <c r="X42" s="26">
        <v>27</v>
      </c>
      <c r="Y42" s="26">
        <v>60</v>
      </c>
      <c r="Z42" s="26">
        <v>485</v>
      </c>
      <c r="AA42" s="26">
        <v>163</v>
      </c>
      <c r="AB42" s="26">
        <v>104</v>
      </c>
      <c r="AC42" s="26">
        <v>347</v>
      </c>
      <c r="AD42" s="26">
        <v>1518</v>
      </c>
      <c r="AE42" s="26">
        <v>1039</v>
      </c>
      <c r="AF42" s="26">
        <v>0</v>
      </c>
      <c r="AG42" s="26">
        <v>982</v>
      </c>
      <c r="AH42" s="26">
        <v>140</v>
      </c>
      <c r="AI42" s="26">
        <v>12</v>
      </c>
      <c r="AJ42" s="26">
        <v>283</v>
      </c>
      <c r="AK42" s="16">
        <v>20</v>
      </c>
      <c r="AL42" s="16">
        <v>0</v>
      </c>
      <c r="AM42" s="16">
        <v>170</v>
      </c>
      <c r="AN42" s="16">
        <v>111</v>
      </c>
      <c r="AO42" s="16">
        <v>0</v>
      </c>
      <c r="AP42" s="16">
        <v>0</v>
      </c>
      <c r="AQ42" s="16">
        <v>0</v>
      </c>
      <c r="AR42" s="16">
        <v>34</v>
      </c>
      <c r="AS42" s="16">
        <v>141</v>
      </c>
      <c r="AT42" s="16">
        <v>148</v>
      </c>
      <c r="AU42" s="16">
        <v>1175</v>
      </c>
      <c r="AV42" s="16">
        <v>42</v>
      </c>
      <c r="AW42" s="16">
        <v>0</v>
      </c>
      <c r="AX42" s="16">
        <v>83</v>
      </c>
      <c r="AY42" s="16">
        <v>8</v>
      </c>
      <c r="AZ42" s="16">
        <v>144</v>
      </c>
      <c r="BA42" s="16">
        <v>114</v>
      </c>
      <c r="BB42" s="16">
        <v>56</v>
      </c>
      <c r="BC42" s="16">
        <v>6</v>
      </c>
      <c r="BD42" s="16">
        <v>0</v>
      </c>
      <c r="BE42" s="16">
        <v>151</v>
      </c>
      <c r="BF42" s="16">
        <v>133</v>
      </c>
      <c r="BG42" s="16">
        <v>161</v>
      </c>
      <c r="BH42" s="16">
        <v>11</v>
      </c>
      <c r="BI42" s="16">
        <v>0</v>
      </c>
      <c r="BJ42" s="16">
        <v>131</v>
      </c>
      <c r="BK42" s="16">
        <v>82</v>
      </c>
      <c r="BL42" s="16">
        <v>320</v>
      </c>
      <c r="BM42" s="16">
        <v>9</v>
      </c>
      <c r="BN42" s="16">
        <v>27</v>
      </c>
      <c r="BO42" s="16">
        <v>141</v>
      </c>
    </row>
    <row r="43" spans="1:67" ht="18.600000000000001" customHeight="1" x14ac:dyDescent="0.25">
      <c r="A43" s="125"/>
      <c r="B43" s="4"/>
      <c r="C43" s="47" t="s">
        <v>76</v>
      </c>
      <c r="D43" s="48"/>
      <c r="E43" s="16">
        <f t="shared" si="0"/>
        <v>40</v>
      </c>
      <c r="F43" s="26">
        <v>1</v>
      </c>
      <c r="G43" s="26">
        <v>0</v>
      </c>
      <c r="H43" s="26">
        <v>0</v>
      </c>
      <c r="I43" s="26">
        <v>0</v>
      </c>
      <c r="J43" s="26">
        <v>0</v>
      </c>
      <c r="K43" s="26">
        <v>0</v>
      </c>
      <c r="L43" s="26">
        <v>0</v>
      </c>
      <c r="M43" s="26">
        <v>0</v>
      </c>
      <c r="N43" s="26">
        <v>0</v>
      </c>
      <c r="O43" s="26">
        <v>1</v>
      </c>
      <c r="P43" s="26">
        <v>0</v>
      </c>
      <c r="Q43" s="26">
        <v>0</v>
      </c>
      <c r="R43" s="26">
        <v>0</v>
      </c>
      <c r="S43" s="26">
        <v>0</v>
      </c>
      <c r="T43" s="26">
        <v>0</v>
      </c>
      <c r="U43" s="26">
        <v>0</v>
      </c>
      <c r="V43" s="26">
        <v>0</v>
      </c>
      <c r="W43" s="26">
        <v>0</v>
      </c>
      <c r="X43" s="26">
        <v>0</v>
      </c>
      <c r="Y43" s="26">
        <v>0</v>
      </c>
      <c r="Z43" s="26">
        <v>0</v>
      </c>
      <c r="AA43" s="26">
        <v>0</v>
      </c>
      <c r="AB43" s="26">
        <v>1</v>
      </c>
      <c r="AC43" s="26">
        <v>0</v>
      </c>
      <c r="AD43" s="26">
        <v>0</v>
      </c>
      <c r="AE43" s="26">
        <v>0</v>
      </c>
      <c r="AF43" s="26">
        <v>0</v>
      </c>
      <c r="AG43" s="26">
        <v>25</v>
      </c>
      <c r="AH43" s="26">
        <v>0</v>
      </c>
      <c r="AI43" s="26">
        <v>0</v>
      </c>
      <c r="AJ43" s="26">
        <v>0</v>
      </c>
      <c r="AK43" s="16">
        <v>0</v>
      </c>
      <c r="AL43" s="16">
        <v>0</v>
      </c>
      <c r="AM43" s="16">
        <v>0</v>
      </c>
      <c r="AN43" s="16">
        <v>0</v>
      </c>
      <c r="AO43" s="16">
        <v>0</v>
      </c>
      <c r="AP43" s="16">
        <v>0</v>
      </c>
      <c r="AQ43" s="16">
        <v>0</v>
      </c>
      <c r="AR43" s="16">
        <v>0</v>
      </c>
      <c r="AS43" s="16">
        <v>5</v>
      </c>
      <c r="AT43" s="16">
        <v>0</v>
      </c>
      <c r="AU43" s="16">
        <v>2</v>
      </c>
      <c r="AV43" s="16">
        <v>0</v>
      </c>
      <c r="AW43" s="16">
        <v>0</v>
      </c>
      <c r="AX43" s="16">
        <v>0</v>
      </c>
      <c r="AY43" s="16">
        <v>0</v>
      </c>
      <c r="AZ43" s="16">
        <v>0</v>
      </c>
      <c r="BA43" s="16">
        <v>0</v>
      </c>
      <c r="BB43" s="16">
        <v>1</v>
      </c>
      <c r="BC43" s="16">
        <v>0</v>
      </c>
      <c r="BD43" s="16">
        <v>0</v>
      </c>
      <c r="BE43" s="16">
        <v>0</v>
      </c>
      <c r="BF43" s="16">
        <v>0</v>
      </c>
      <c r="BG43" s="16">
        <v>0</v>
      </c>
      <c r="BH43" s="16">
        <v>0</v>
      </c>
      <c r="BI43" s="16">
        <v>0</v>
      </c>
      <c r="BJ43" s="16">
        <v>2</v>
      </c>
      <c r="BK43" s="16">
        <v>0</v>
      </c>
      <c r="BL43" s="16">
        <v>2</v>
      </c>
      <c r="BM43" s="16">
        <v>0</v>
      </c>
      <c r="BN43" s="16">
        <v>0</v>
      </c>
      <c r="BO43" s="16">
        <v>0</v>
      </c>
    </row>
    <row r="44" spans="1:67" ht="18.600000000000001" customHeight="1" x14ac:dyDescent="0.25">
      <c r="A44" s="125" t="s">
        <v>90</v>
      </c>
      <c r="B44" s="4"/>
      <c r="C44" s="47" t="s">
        <v>75</v>
      </c>
      <c r="D44" s="48"/>
      <c r="E44" s="16">
        <f t="shared" si="0"/>
        <v>32725</v>
      </c>
      <c r="F44" s="16">
        <v>21</v>
      </c>
      <c r="G44" s="16">
        <v>0</v>
      </c>
      <c r="H44" s="16">
        <v>10</v>
      </c>
      <c r="I44" s="16">
        <v>10</v>
      </c>
      <c r="J44" s="16">
        <v>231</v>
      </c>
      <c r="K44" s="16">
        <v>42</v>
      </c>
      <c r="L44" s="26">
        <v>1670</v>
      </c>
      <c r="M44" s="26">
        <v>1823</v>
      </c>
      <c r="N44" s="26">
        <v>101</v>
      </c>
      <c r="O44" s="26">
        <v>31</v>
      </c>
      <c r="P44" s="26">
        <v>26</v>
      </c>
      <c r="Q44" s="26">
        <v>0</v>
      </c>
      <c r="R44" s="26">
        <v>277</v>
      </c>
      <c r="S44" s="26">
        <v>242</v>
      </c>
      <c r="T44" s="26">
        <v>14</v>
      </c>
      <c r="U44" s="26">
        <v>431</v>
      </c>
      <c r="V44" s="26">
        <v>999</v>
      </c>
      <c r="W44" s="26">
        <v>188</v>
      </c>
      <c r="X44" s="26">
        <v>19</v>
      </c>
      <c r="Y44" s="26">
        <v>42</v>
      </c>
      <c r="Z44" s="26">
        <v>1729</v>
      </c>
      <c r="AA44" s="26">
        <v>218</v>
      </c>
      <c r="AB44" s="26">
        <v>189</v>
      </c>
      <c r="AC44" s="26">
        <v>588</v>
      </c>
      <c r="AD44" s="26">
        <v>10030</v>
      </c>
      <c r="AE44" s="26">
        <v>5118</v>
      </c>
      <c r="AF44" s="26">
        <v>0</v>
      </c>
      <c r="AG44" s="26">
        <v>850</v>
      </c>
      <c r="AH44" s="26">
        <v>115</v>
      </c>
      <c r="AI44" s="26">
        <v>30</v>
      </c>
      <c r="AJ44" s="26">
        <v>1284</v>
      </c>
      <c r="AK44" s="16">
        <v>178</v>
      </c>
      <c r="AL44" s="16">
        <v>0</v>
      </c>
      <c r="AM44" s="16">
        <v>554</v>
      </c>
      <c r="AN44" s="16">
        <v>353</v>
      </c>
      <c r="AO44" s="16">
        <v>0</v>
      </c>
      <c r="AP44" s="16">
        <v>0</v>
      </c>
      <c r="AQ44" s="16">
        <v>47</v>
      </c>
      <c r="AR44" s="16">
        <v>130</v>
      </c>
      <c r="AS44" s="16">
        <v>189</v>
      </c>
      <c r="AT44" s="16">
        <v>110</v>
      </c>
      <c r="AU44" s="16">
        <v>1831</v>
      </c>
      <c r="AV44" s="16">
        <v>155</v>
      </c>
      <c r="AW44" s="16">
        <v>1</v>
      </c>
      <c r="AX44" s="16">
        <v>160</v>
      </c>
      <c r="AY44" s="16">
        <v>25</v>
      </c>
      <c r="AZ44" s="16">
        <v>15</v>
      </c>
      <c r="BA44" s="16">
        <v>0</v>
      </c>
      <c r="BB44" s="16">
        <v>13</v>
      </c>
      <c r="BC44" s="16">
        <v>3</v>
      </c>
      <c r="BD44" s="16">
        <v>0</v>
      </c>
      <c r="BE44" s="16">
        <v>405</v>
      </c>
      <c r="BF44" s="16">
        <v>840</v>
      </c>
      <c r="BG44" s="16">
        <v>145</v>
      </c>
      <c r="BH44" s="16">
        <v>106</v>
      </c>
      <c r="BI44" s="16">
        <v>110</v>
      </c>
      <c r="BJ44" s="16">
        <v>136</v>
      </c>
      <c r="BK44" s="16">
        <v>72</v>
      </c>
      <c r="BL44" s="16">
        <v>686</v>
      </c>
      <c r="BM44" s="16">
        <v>0</v>
      </c>
      <c r="BN44" s="16">
        <v>0</v>
      </c>
      <c r="BO44" s="16">
        <v>133</v>
      </c>
    </row>
    <row r="45" spans="1:67" ht="18.600000000000001" customHeight="1" x14ac:dyDescent="0.25">
      <c r="A45" s="125"/>
      <c r="B45" s="4"/>
      <c r="C45" s="47" t="s">
        <v>76</v>
      </c>
      <c r="D45" s="48"/>
      <c r="E45" s="16">
        <f t="shared" si="0"/>
        <v>81</v>
      </c>
      <c r="F45" s="26">
        <v>0</v>
      </c>
      <c r="G45" s="26">
        <v>0</v>
      </c>
      <c r="H45" s="26">
        <v>0</v>
      </c>
      <c r="I45" s="26">
        <v>0</v>
      </c>
      <c r="J45" s="26">
        <v>0</v>
      </c>
      <c r="K45" s="26">
        <v>0</v>
      </c>
      <c r="L45" s="26">
        <v>0</v>
      </c>
      <c r="M45" s="26">
        <v>0</v>
      </c>
      <c r="N45" s="26">
        <v>0</v>
      </c>
      <c r="O45" s="26">
        <v>0</v>
      </c>
      <c r="P45" s="26">
        <v>0</v>
      </c>
      <c r="Q45" s="26">
        <v>0</v>
      </c>
      <c r="R45" s="26">
        <v>1</v>
      </c>
      <c r="S45" s="26">
        <v>0</v>
      </c>
      <c r="T45" s="26">
        <v>0</v>
      </c>
      <c r="U45" s="26">
        <v>2</v>
      </c>
      <c r="V45" s="26">
        <v>2</v>
      </c>
      <c r="W45" s="26">
        <v>0</v>
      </c>
      <c r="X45" s="26">
        <v>0</v>
      </c>
      <c r="Y45" s="26">
        <v>0</v>
      </c>
      <c r="Z45" s="26">
        <v>0</v>
      </c>
      <c r="AA45" s="26">
        <v>1</v>
      </c>
      <c r="AB45" s="26">
        <v>3</v>
      </c>
      <c r="AC45" s="26">
        <v>0</v>
      </c>
      <c r="AD45" s="26">
        <v>3</v>
      </c>
      <c r="AE45" s="26">
        <v>0</v>
      </c>
      <c r="AF45" s="26">
        <v>0</v>
      </c>
      <c r="AG45" s="26">
        <v>29</v>
      </c>
      <c r="AH45" s="26">
        <v>0</v>
      </c>
      <c r="AI45" s="26">
        <v>0</v>
      </c>
      <c r="AJ45" s="26">
        <v>2</v>
      </c>
      <c r="AK45" s="16">
        <v>0</v>
      </c>
      <c r="AL45" s="16">
        <v>0</v>
      </c>
      <c r="AM45" s="16">
        <v>0</v>
      </c>
      <c r="AN45" s="16">
        <v>6</v>
      </c>
      <c r="AO45" s="16">
        <v>0</v>
      </c>
      <c r="AP45" s="16">
        <v>0</v>
      </c>
      <c r="AQ45" s="16">
        <v>0</v>
      </c>
      <c r="AR45" s="16">
        <v>0</v>
      </c>
      <c r="AS45" s="16">
        <v>2</v>
      </c>
      <c r="AT45" s="16">
        <v>0</v>
      </c>
      <c r="AU45" s="16">
        <v>24</v>
      </c>
      <c r="AV45" s="16">
        <v>1</v>
      </c>
      <c r="AW45" s="16">
        <v>0</v>
      </c>
      <c r="AX45" s="16">
        <v>0</v>
      </c>
      <c r="AY45" s="16">
        <v>0</v>
      </c>
      <c r="AZ45" s="16">
        <v>0</v>
      </c>
      <c r="BA45" s="16">
        <v>0</v>
      </c>
      <c r="BB45" s="16">
        <v>0</v>
      </c>
      <c r="BC45" s="16">
        <v>0</v>
      </c>
      <c r="BD45" s="16">
        <v>0</v>
      </c>
      <c r="BE45" s="16">
        <v>0</v>
      </c>
      <c r="BF45" s="16">
        <v>0</v>
      </c>
      <c r="BG45" s="16">
        <v>0</v>
      </c>
      <c r="BH45" s="16">
        <v>0</v>
      </c>
      <c r="BI45" s="16">
        <v>0</v>
      </c>
      <c r="BJ45" s="16">
        <v>3</v>
      </c>
      <c r="BK45" s="16">
        <v>2</v>
      </c>
      <c r="BL45" s="16">
        <v>0</v>
      </c>
      <c r="BM45" s="16">
        <v>0</v>
      </c>
      <c r="BN45" s="16">
        <v>0</v>
      </c>
      <c r="BO45" s="16">
        <v>0</v>
      </c>
    </row>
    <row r="46" spans="1:67" ht="18.600000000000001" customHeight="1" x14ac:dyDescent="0.25">
      <c r="A46" s="125" t="s">
        <v>91</v>
      </c>
      <c r="B46" s="4"/>
      <c r="C46" s="47" t="s">
        <v>75</v>
      </c>
      <c r="D46" s="48"/>
      <c r="E46" s="16">
        <f t="shared" si="0"/>
        <v>7599</v>
      </c>
      <c r="F46" s="16">
        <v>118</v>
      </c>
      <c r="G46" s="16">
        <v>74</v>
      </c>
      <c r="H46" s="16">
        <v>0</v>
      </c>
      <c r="I46" s="16">
        <v>0</v>
      </c>
      <c r="J46" s="16">
        <v>0</v>
      </c>
      <c r="K46" s="16">
        <v>0</v>
      </c>
      <c r="L46" s="26">
        <v>600</v>
      </c>
      <c r="M46" s="26">
        <v>327</v>
      </c>
      <c r="N46" s="26">
        <v>85</v>
      </c>
      <c r="O46" s="26">
        <v>66</v>
      </c>
      <c r="P46" s="26">
        <v>2</v>
      </c>
      <c r="Q46" s="26">
        <v>0</v>
      </c>
      <c r="R46" s="26">
        <v>41</v>
      </c>
      <c r="S46" s="26">
        <v>42</v>
      </c>
      <c r="T46" s="26">
        <v>114</v>
      </c>
      <c r="U46" s="26">
        <v>16</v>
      </c>
      <c r="V46" s="26">
        <v>44</v>
      </c>
      <c r="W46" s="26">
        <v>3</v>
      </c>
      <c r="X46" s="26">
        <v>11</v>
      </c>
      <c r="Y46" s="26">
        <v>9</v>
      </c>
      <c r="Z46" s="26">
        <v>543</v>
      </c>
      <c r="AA46" s="26">
        <v>145</v>
      </c>
      <c r="AB46" s="26">
        <v>20</v>
      </c>
      <c r="AC46" s="26">
        <v>9</v>
      </c>
      <c r="AD46" s="26">
        <v>1269</v>
      </c>
      <c r="AE46" s="26">
        <v>176</v>
      </c>
      <c r="AF46" s="26">
        <v>0</v>
      </c>
      <c r="AG46" s="26">
        <v>155</v>
      </c>
      <c r="AH46" s="26">
        <v>85</v>
      </c>
      <c r="AI46" s="26">
        <v>2</v>
      </c>
      <c r="AJ46" s="26">
        <v>41</v>
      </c>
      <c r="AK46" s="16">
        <v>12</v>
      </c>
      <c r="AL46" s="16">
        <v>0</v>
      </c>
      <c r="AM46" s="16">
        <v>52</v>
      </c>
      <c r="AN46" s="16">
        <v>69</v>
      </c>
      <c r="AO46" s="16">
        <v>0</v>
      </c>
      <c r="AP46" s="16">
        <v>0</v>
      </c>
      <c r="AQ46" s="16">
        <v>0</v>
      </c>
      <c r="AR46" s="16">
        <v>13</v>
      </c>
      <c r="AS46" s="16">
        <v>48</v>
      </c>
      <c r="AT46" s="16">
        <v>382</v>
      </c>
      <c r="AU46" s="16">
        <v>1182</v>
      </c>
      <c r="AV46" s="16">
        <v>363</v>
      </c>
      <c r="AW46" s="16">
        <v>1</v>
      </c>
      <c r="AX46" s="16">
        <v>209</v>
      </c>
      <c r="AY46" s="16">
        <v>2</v>
      </c>
      <c r="AZ46" s="16">
        <v>15</v>
      </c>
      <c r="BA46" s="16">
        <v>11</v>
      </c>
      <c r="BB46" s="16">
        <v>10</v>
      </c>
      <c r="BC46" s="16">
        <v>0</v>
      </c>
      <c r="BD46" s="16">
        <v>0</v>
      </c>
      <c r="BE46" s="16">
        <v>149</v>
      </c>
      <c r="BF46" s="16">
        <v>124</v>
      </c>
      <c r="BG46" s="16">
        <v>25</v>
      </c>
      <c r="BH46" s="16">
        <v>4</v>
      </c>
      <c r="BI46" s="16">
        <f>30+4+0</f>
        <v>34</v>
      </c>
      <c r="BJ46" s="16">
        <v>436</v>
      </c>
      <c r="BK46" s="16">
        <v>169</v>
      </c>
      <c r="BL46" s="16">
        <v>228</v>
      </c>
      <c r="BM46" s="16">
        <v>22</v>
      </c>
      <c r="BN46" s="16">
        <v>0</v>
      </c>
      <c r="BO46" s="16">
        <v>42</v>
      </c>
    </row>
    <row r="47" spans="1:67" ht="18.600000000000001" customHeight="1" x14ac:dyDescent="0.25">
      <c r="A47" s="125"/>
      <c r="B47" s="4"/>
      <c r="C47" s="47" t="s">
        <v>76</v>
      </c>
      <c r="D47" s="48"/>
      <c r="E47" s="16">
        <f t="shared" si="0"/>
        <v>28</v>
      </c>
      <c r="F47" s="26">
        <v>0</v>
      </c>
      <c r="G47" s="26">
        <v>0</v>
      </c>
      <c r="H47" s="26">
        <v>0</v>
      </c>
      <c r="I47" s="26">
        <v>0</v>
      </c>
      <c r="J47" s="26">
        <v>0</v>
      </c>
      <c r="K47" s="26">
        <v>0</v>
      </c>
      <c r="L47" s="26">
        <v>0</v>
      </c>
      <c r="M47" s="26">
        <v>0</v>
      </c>
      <c r="N47" s="26">
        <v>0</v>
      </c>
      <c r="O47" s="26">
        <v>0</v>
      </c>
      <c r="P47" s="26">
        <v>0</v>
      </c>
      <c r="Q47" s="26">
        <v>0</v>
      </c>
      <c r="R47" s="26">
        <v>0</v>
      </c>
      <c r="S47" s="26">
        <v>1</v>
      </c>
      <c r="T47" s="26">
        <v>0</v>
      </c>
      <c r="U47" s="26">
        <v>0</v>
      </c>
      <c r="V47" s="26">
        <v>2</v>
      </c>
      <c r="W47" s="26">
        <v>0</v>
      </c>
      <c r="X47" s="26">
        <v>0</v>
      </c>
      <c r="Y47" s="26">
        <v>0</v>
      </c>
      <c r="Z47" s="26">
        <v>0</v>
      </c>
      <c r="AA47" s="26">
        <v>0</v>
      </c>
      <c r="AB47" s="26">
        <v>0</v>
      </c>
      <c r="AC47" s="26">
        <v>0</v>
      </c>
      <c r="AD47" s="26">
        <v>0</v>
      </c>
      <c r="AE47" s="26">
        <v>0</v>
      </c>
      <c r="AF47" s="26">
        <v>0</v>
      </c>
      <c r="AG47" s="26">
        <v>16</v>
      </c>
      <c r="AH47" s="26">
        <v>0</v>
      </c>
      <c r="AI47" s="26">
        <v>0</v>
      </c>
      <c r="AJ47" s="26">
        <v>0</v>
      </c>
      <c r="AK47" s="16">
        <v>0</v>
      </c>
      <c r="AL47" s="16">
        <v>0</v>
      </c>
      <c r="AM47" s="16">
        <v>0</v>
      </c>
      <c r="AN47" s="16">
        <v>0</v>
      </c>
      <c r="AO47" s="16">
        <v>0</v>
      </c>
      <c r="AP47" s="16">
        <v>0</v>
      </c>
      <c r="AQ47" s="16">
        <v>0</v>
      </c>
      <c r="AR47" s="16">
        <v>0</v>
      </c>
      <c r="AS47" s="16">
        <v>1</v>
      </c>
      <c r="AT47" s="16">
        <v>0</v>
      </c>
      <c r="AU47" s="16">
        <v>3</v>
      </c>
      <c r="AV47" s="16">
        <v>3</v>
      </c>
      <c r="AW47" s="16">
        <v>0</v>
      </c>
      <c r="AX47" s="16">
        <v>1</v>
      </c>
      <c r="AY47" s="16">
        <v>0</v>
      </c>
      <c r="AZ47" s="16">
        <v>0</v>
      </c>
      <c r="BA47" s="16">
        <v>0</v>
      </c>
      <c r="BB47" s="16">
        <v>0</v>
      </c>
      <c r="BC47" s="16">
        <v>0</v>
      </c>
      <c r="BD47" s="16">
        <v>0</v>
      </c>
      <c r="BE47" s="16">
        <v>0</v>
      </c>
      <c r="BF47" s="16">
        <v>0</v>
      </c>
      <c r="BG47" s="16">
        <v>0</v>
      </c>
      <c r="BH47" s="16">
        <v>0</v>
      </c>
      <c r="BI47" s="16">
        <v>0</v>
      </c>
      <c r="BJ47" s="16">
        <v>0</v>
      </c>
      <c r="BK47" s="16">
        <v>1</v>
      </c>
      <c r="BL47" s="16">
        <v>0</v>
      </c>
      <c r="BM47" s="16">
        <v>0</v>
      </c>
      <c r="BN47" s="16">
        <v>0</v>
      </c>
      <c r="BO47" s="16">
        <v>0</v>
      </c>
    </row>
    <row r="48" spans="1:67" ht="18.600000000000001" customHeight="1" x14ac:dyDescent="0.25">
      <c r="A48" s="125" t="s">
        <v>92</v>
      </c>
      <c r="B48" s="4"/>
      <c r="C48" s="47" t="s">
        <v>75</v>
      </c>
      <c r="D48" s="48"/>
      <c r="E48" s="16">
        <f t="shared" si="0"/>
        <v>7357</v>
      </c>
      <c r="F48" s="16">
        <v>9</v>
      </c>
      <c r="G48" s="16">
        <v>15</v>
      </c>
      <c r="H48" s="16">
        <v>18</v>
      </c>
      <c r="I48" s="16">
        <v>0</v>
      </c>
      <c r="J48" s="16">
        <v>0</v>
      </c>
      <c r="K48" s="16">
        <v>3</v>
      </c>
      <c r="L48" s="26">
        <v>1583</v>
      </c>
      <c r="M48" s="26">
        <v>628</v>
      </c>
      <c r="N48" s="26">
        <v>13</v>
      </c>
      <c r="O48" s="26">
        <v>35</v>
      </c>
      <c r="P48" s="26">
        <v>18</v>
      </c>
      <c r="Q48" s="26">
        <v>0</v>
      </c>
      <c r="R48" s="26">
        <v>96</v>
      </c>
      <c r="S48" s="26">
        <v>185</v>
      </c>
      <c r="T48" s="26">
        <v>107</v>
      </c>
      <c r="U48" s="26">
        <v>11</v>
      </c>
      <c r="V48" s="26">
        <v>151</v>
      </c>
      <c r="W48" s="26">
        <v>12</v>
      </c>
      <c r="X48" s="26">
        <v>0</v>
      </c>
      <c r="Y48" s="26">
        <v>30</v>
      </c>
      <c r="Z48" s="26">
        <v>84</v>
      </c>
      <c r="AA48" s="26">
        <v>46</v>
      </c>
      <c r="AB48" s="26">
        <v>20</v>
      </c>
      <c r="AC48" s="26">
        <v>99</v>
      </c>
      <c r="AD48" s="26">
        <v>1033</v>
      </c>
      <c r="AE48" s="26">
        <v>148</v>
      </c>
      <c r="AF48" s="26">
        <v>0</v>
      </c>
      <c r="AG48" s="26">
        <v>478</v>
      </c>
      <c r="AH48" s="26">
        <v>3</v>
      </c>
      <c r="AI48" s="26">
        <v>1</v>
      </c>
      <c r="AJ48" s="26">
        <v>74</v>
      </c>
      <c r="AK48" s="16">
        <v>20</v>
      </c>
      <c r="AL48" s="16">
        <v>0</v>
      </c>
      <c r="AM48" s="16">
        <v>125</v>
      </c>
      <c r="AN48" s="16">
        <v>68</v>
      </c>
      <c r="AO48" s="16">
        <v>0</v>
      </c>
      <c r="AP48" s="16">
        <v>0</v>
      </c>
      <c r="AQ48" s="16">
        <v>0</v>
      </c>
      <c r="AR48" s="16">
        <v>247</v>
      </c>
      <c r="AS48" s="16">
        <v>46</v>
      </c>
      <c r="AT48" s="16">
        <v>22</v>
      </c>
      <c r="AU48" s="16">
        <v>307</v>
      </c>
      <c r="AV48" s="16">
        <v>28</v>
      </c>
      <c r="AW48" s="16">
        <v>11</v>
      </c>
      <c r="AX48" s="16">
        <v>66</v>
      </c>
      <c r="AY48" s="16">
        <v>13</v>
      </c>
      <c r="AZ48" s="16">
        <v>17</v>
      </c>
      <c r="BA48" s="16">
        <v>16</v>
      </c>
      <c r="BB48" s="16">
        <v>18</v>
      </c>
      <c r="BC48" s="16">
        <v>5</v>
      </c>
      <c r="BD48" s="16">
        <v>0</v>
      </c>
      <c r="BE48" s="16">
        <v>49</v>
      </c>
      <c r="BF48" s="16">
        <v>61</v>
      </c>
      <c r="BG48" s="16">
        <v>74</v>
      </c>
      <c r="BH48" s="16">
        <v>0</v>
      </c>
      <c r="BI48" s="16">
        <v>1</v>
      </c>
      <c r="BJ48" s="16">
        <v>811</v>
      </c>
      <c r="BK48" s="16">
        <v>255</v>
      </c>
      <c r="BL48" s="16">
        <v>157</v>
      </c>
      <c r="BM48" s="16">
        <v>0</v>
      </c>
      <c r="BN48" s="16">
        <v>0</v>
      </c>
      <c r="BO48" s="16">
        <v>40</v>
      </c>
    </row>
    <row r="49" spans="1:191" ht="18.600000000000001" customHeight="1" x14ac:dyDescent="0.25">
      <c r="A49" s="125"/>
      <c r="B49" s="4"/>
      <c r="C49" s="47" t="s">
        <v>76</v>
      </c>
      <c r="D49" s="48"/>
      <c r="E49" s="16">
        <f t="shared" si="0"/>
        <v>123</v>
      </c>
      <c r="F49" s="26">
        <v>0</v>
      </c>
      <c r="G49" s="26">
        <v>0</v>
      </c>
      <c r="H49" s="26">
        <v>0</v>
      </c>
      <c r="I49" s="26">
        <v>0</v>
      </c>
      <c r="J49" s="26">
        <v>0</v>
      </c>
      <c r="K49" s="26">
        <v>0</v>
      </c>
      <c r="L49" s="26">
        <v>1</v>
      </c>
      <c r="M49" s="26">
        <v>0</v>
      </c>
      <c r="N49" s="26">
        <v>0</v>
      </c>
      <c r="O49" s="26">
        <v>0</v>
      </c>
      <c r="P49" s="26">
        <v>0</v>
      </c>
      <c r="Q49" s="26">
        <v>0</v>
      </c>
      <c r="R49" s="26">
        <v>4</v>
      </c>
      <c r="S49" s="26">
        <v>2</v>
      </c>
      <c r="T49" s="26">
        <v>4</v>
      </c>
      <c r="U49" s="26">
        <v>0</v>
      </c>
      <c r="V49" s="26">
        <v>10</v>
      </c>
      <c r="W49" s="26">
        <v>0</v>
      </c>
      <c r="X49" s="26">
        <v>0</v>
      </c>
      <c r="Y49" s="26">
        <v>1</v>
      </c>
      <c r="Z49" s="26">
        <v>0</v>
      </c>
      <c r="AA49" s="26">
        <v>0</v>
      </c>
      <c r="AB49" s="26">
        <v>3</v>
      </c>
      <c r="AC49" s="26">
        <v>2</v>
      </c>
      <c r="AD49" s="26">
        <v>10</v>
      </c>
      <c r="AE49" s="26">
        <v>9</v>
      </c>
      <c r="AF49" s="26">
        <v>0</v>
      </c>
      <c r="AG49" s="26">
        <v>18</v>
      </c>
      <c r="AH49" s="26">
        <v>0</v>
      </c>
      <c r="AI49" s="26">
        <v>0</v>
      </c>
      <c r="AJ49" s="26">
        <v>4</v>
      </c>
      <c r="AK49" s="16">
        <v>0</v>
      </c>
      <c r="AL49" s="16">
        <v>0</v>
      </c>
      <c r="AM49" s="16">
        <v>9</v>
      </c>
      <c r="AN49" s="16">
        <v>4</v>
      </c>
      <c r="AO49" s="16">
        <v>0</v>
      </c>
      <c r="AP49" s="16">
        <v>0</v>
      </c>
      <c r="AQ49" s="16">
        <v>0</v>
      </c>
      <c r="AR49" s="16">
        <v>5</v>
      </c>
      <c r="AS49" s="16">
        <v>8</v>
      </c>
      <c r="AT49" s="16">
        <v>1</v>
      </c>
      <c r="AU49" s="16">
        <v>9</v>
      </c>
      <c r="AV49" s="16">
        <v>0</v>
      </c>
      <c r="AW49" s="16">
        <v>0</v>
      </c>
      <c r="AX49" s="16">
        <v>0</v>
      </c>
      <c r="AY49" s="16">
        <v>0</v>
      </c>
      <c r="AZ49" s="16">
        <v>0</v>
      </c>
      <c r="BA49" s="16">
        <v>1</v>
      </c>
      <c r="BB49" s="16">
        <v>0</v>
      </c>
      <c r="BC49" s="16">
        <v>0</v>
      </c>
      <c r="BD49" s="16">
        <v>0</v>
      </c>
      <c r="BE49" s="16">
        <v>1</v>
      </c>
      <c r="BF49" s="16">
        <v>3</v>
      </c>
      <c r="BG49" s="16">
        <v>2</v>
      </c>
      <c r="BH49" s="16">
        <v>0</v>
      </c>
      <c r="BI49" s="16">
        <v>0</v>
      </c>
      <c r="BJ49" s="16">
        <v>1</v>
      </c>
      <c r="BK49" s="16">
        <v>3</v>
      </c>
      <c r="BL49" s="16">
        <v>8</v>
      </c>
      <c r="BM49" s="16">
        <v>0</v>
      </c>
      <c r="BN49" s="16">
        <v>0</v>
      </c>
      <c r="BO49" s="16">
        <v>0</v>
      </c>
    </row>
    <row r="50" spans="1:191" ht="18.600000000000001" customHeight="1" x14ac:dyDescent="0.25">
      <c r="A50" s="125" t="s">
        <v>93</v>
      </c>
      <c r="C50" s="47" t="s">
        <v>75</v>
      </c>
      <c r="D50" s="48"/>
      <c r="E50" s="16">
        <f t="shared" si="0"/>
        <v>2194</v>
      </c>
      <c r="F50" s="16">
        <v>29</v>
      </c>
      <c r="G50" s="16">
        <v>0</v>
      </c>
      <c r="H50" s="16">
        <v>0</v>
      </c>
      <c r="I50" s="16">
        <v>0</v>
      </c>
      <c r="J50" s="16">
        <v>0</v>
      </c>
      <c r="K50" s="16">
        <v>6</v>
      </c>
      <c r="L50" s="26">
        <v>69</v>
      </c>
      <c r="M50" s="26">
        <v>14</v>
      </c>
      <c r="N50" s="26">
        <v>0</v>
      </c>
      <c r="O50" s="26">
        <v>29</v>
      </c>
      <c r="P50" s="26">
        <v>11</v>
      </c>
      <c r="Q50" s="26">
        <v>0</v>
      </c>
      <c r="R50" s="26">
        <v>37</v>
      </c>
      <c r="S50" s="26">
        <v>15</v>
      </c>
      <c r="T50" s="26">
        <v>0</v>
      </c>
      <c r="U50" s="26">
        <v>4</v>
      </c>
      <c r="V50" s="26">
        <v>84</v>
      </c>
      <c r="W50" s="26">
        <v>0</v>
      </c>
      <c r="X50" s="26">
        <v>0</v>
      </c>
      <c r="Y50" s="26">
        <v>3</v>
      </c>
      <c r="Z50" s="26">
        <v>5</v>
      </c>
      <c r="AA50" s="26">
        <v>21</v>
      </c>
      <c r="AB50" s="26">
        <v>6</v>
      </c>
      <c r="AC50" s="26">
        <v>45</v>
      </c>
      <c r="AD50" s="26">
        <v>822</v>
      </c>
      <c r="AE50" s="26">
        <v>25</v>
      </c>
      <c r="AF50" s="26">
        <v>0</v>
      </c>
      <c r="AG50" s="26">
        <v>194</v>
      </c>
      <c r="AH50" s="26">
        <v>0</v>
      </c>
      <c r="AI50" s="26">
        <v>0</v>
      </c>
      <c r="AJ50" s="26">
        <v>228</v>
      </c>
      <c r="AK50" s="16">
        <v>4</v>
      </c>
      <c r="AL50" s="16">
        <v>0</v>
      </c>
      <c r="AM50" s="16">
        <v>54</v>
      </c>
      <c r="AN50" s="16">
        <v>4</v>
      </c>
      <c r="AO50" s="16">
        <v>0</v>
      </c>
      <c r="AP50" s="16">
        <v>0</v>
      </c>
      <c r="AQ50" s="16">
        <v>0</v>
      </c>
      <c r="AR50" s="16">
        <v>5</v>
      </c>
      <c r="AS50" s="16">
        <v>12</v>
      </c>
      <c r="AT50" s="16">
        <v>10</v>
      </c>
      <c r="AU50" s="16">
        <v>61</v>
      </c>
      <c r="AV50" s="16">
        <v>102</v>
      </c>
      <c r="AW50" s="16">
        <v>0</v>
      </c>
      <c r="AX50" s="16">
        <v>29</v>
      </c>
      <c r="AY50" s="16">
        <v>5</v>
      </c>
      <c r="AZ50" s="16">
        <v>0</v>
      </c>
      <c r="BA50" s="16">
        <v>5</v>
      </c>
      <c r="BB50" s="16">
        <v>11</v>
      </c>
      <c r="BC50" s="16">
        <v>7</v>
      </c>
      <c r="BD50" s="16">
        <v>0</v>
      </c>
      <c r="BE50" s="16">
        <v>51</v>
      </c>
      <c r="BF50" s="16">
        <v>46</v>
      </c>
      <c r="BG50" s="16">
        <v>24</v>
      </c>
      <c r="BH50" s="16">
        <v>0</v>
      </c>
      <c r="BI50" s="16">
        <v>0</v>
      </c>
      <c r="BJ50" s="16">
        <v>49</v>
      </c>
      <c r="BK50" s="16">
        <v>12</v>
      </c>
      <c r="BL50" s="16">
        <v>43</v>
      </c>
      <c r="BM50" s="16">
        <v>0</v>
      </c>
      <c r="BN50" s="16">
        <v>0</v>
      </c>
      <c r="BO50" s="16">
        <v>13</v>
      </c>
    </row>
    <row r="51" spans="1:191" ht="18.600000000000001" customHeight="1" x14ac:dyDescent="0.25">
      <c r="A51" s="125"/>
      <c r="C51" s="47" t="s">
        <v>76</v>
      </c>
      <c r="D51" s="48"/>
      <c r="E51" s="16">
        <f t="shared" si="0"/>
        <v>4</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0</v>
      </c>
      <c r="X51" s="26">
        <v>0</v>
      </c>
      <c r="Y51" s="26">
        <v>0</v>
      </c>
      <c r="Z51" s="26">
        <v>0</v>
      </c>
      <c r="AA51" s="26">
        <v>0</v>
      </c>
      <c r="AB51" s="26">
        <v>0</v>
      </c>
      <c r="AC51" s="26">
        <v>0</v>
      </c>
      <c r="AD51" s="26">
        <v>0</v>
      </c>
      <c r="AE51" s="26">
        <v>0</v>
      </c>
      <c r="AF51" s="26">
        <v>0</v>
      </c>
      <c r="AG51" s="26">
        <v>2</v>
      </c>
      <c r="AH51" s="26">
        <v>0</v>
      </c>
      <c r="AI51" s="26">
        <v>0</v>
      </c>
      <c r="AJ51" s="26">
        <v>0</v>
      </c>
      <c r="AK51" s="16">
        <v>0</v>
      </c>
      <c r="AL51" s="16">
        <v>0</v>
      </c>
      <c r="AM51" s="16">
        <v>2</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row>
    <row r="52" spans="1:191" ht="18.600000000000001" customHeight="1" x14ac:dyDescent="0.25">
      <c r="A52" s="125" t="s">
        <v>94</v>
      </c>
      <c r="B52" s="4"/>
      <c r="C52" s="47" t="s">
        <v>75</v>
      </c>
      <c r="D52" s="48"/>
      <c r="E52" s="16">
        <f t="shared" si="0"/>
        <v>2826</v>
      </c>
      <c r="F52" s="16">
        <v>3</v>
      </c>
      <c r="G52" s="16">
        <v>0</v>
      </c>
      <c r="H52" s="16">
        <v>0</v>
      </c>
      <c r="I52" s="16">
        <v>1</v>
      </c>
      <c r="J52" s="16">
        <v>1</v>
      </c>
      <c r="K52" s="16">
        <v>6</v>
      </c>
      <c r="L52" s="26">
        <v>339</v>
      </c>
      <c r="M52" s="26">
        <v>115</v>
      </c>
      <c r="N52" s="26">
        <v>16</v>
      </c>
      <c r="O52" s="26">
        <v>33</v>
      </c>
      <c r="P52" s="26">
        <v>13</v>
      </c>
      <c r="Q52" s="26">
        <v>0</v>
      </c>
      <c r="R52" s="26">
        <v>46</v>
      </c>
      <c r="S52" s="26">
        <v>56</v>
      </c>
      <c r="T52" s="26">
        <v>24</v>
      </c>
      <c r="U52" s="26">
        <v>40</v>
      </c>
      <c r="V52" s="26">
        <v>125</v>
      </c>
      <c r="W52" s="26">
        <v>0</v>
      </c>
      <c r="X52" s="26">
        <v>1</v>
      </c>
      <c r="Y52" s="26">
        <v>11</v>
      </c>
      <c r="Z52" s="26">
        <v>38</v>
      </c>
      <c r="AA52" s="26">
        <v>51</v>
      </c>
      <c r="AB52" s="26">
        <v>37</v>
      </c>
      <c r="AC52" s="26">
        <v>66</v>
      </c>
      <c r="AD52" s="26">
        <v>450</v>
      </c>
      <c r="AE52" s="26">
        <v>59</v>
      </c>
      <c r="AF52" s="26">
        <v>0</v>
      </c>
      <c r="AG52" s="26">
        <v>315</v>
      </c>
      <c r="AH52" s="26">
        <v>25</v>
      </c>
      <c r="AI52" s="26">
        <v>1</v>
      </c>
      <c r="AJ52" s="26">
        <v>44</v>
      </c>
      <c r="AK52" s="16">
        <v>16</v>
      </c>
      <c r="AL52" s="16">
        <v>0</v>
      </c>
      <c r="AM52" s="16">
        <v>84</v>
      </c>
      <c r="AN52" s="16">
        <v>67</v>
      </c>
      <c r="AO52" s="16">
        <v>6</v>
      </c>
      <c r="AP52" s="16">
        <v>0</v>
      </c>
      <c r="AQ52" s="16">
        <v>0</v>
      </c>
      <c r="AR52" s="16">
        <v>5</v>
      </c>
      <c r="AS52" s="16">
        <v>31</v>
      </c>
      <c r="AT52" s="16">
        <v>22</v>
      </c>
      <c r="AU52" s="16">
        <v>143</v>
      </c>
      <c r="AV52" s="16">
        <v>53</v>
      </c>
      <c r="AW52" s="16">
        <v>1</v>
      </c>
      <c r="AX52" s="16">
        <v>9</v>
      </c>
      <c r="AY52" s="16">
        <v>13</v>
      </c>
      <c r="AZ52" s="16">
        <v>4</v>
      </c>
      <c r="BA52" s="16">
        <v>0</v>
      </c>
      <c r="BB52" s="16">
        <v>19</v>
      </c>
      <c r="BC52" s="16">
        <v>9</v>
      </c>
      <c r="BD52" s="16">
        <v>1</v>
      </c>
      <c r="BE52" s="16">
        <v>56</v>
      </c>
      <c r="BF52" s="16">
        <v>45</v>
      </c>
      <c r="BG52" s="16">
        <v>31</v>
      </c>
      <c r="BH52" s="16">
        <v>1</v>
      </c>
      <c r="BI52" s="16">
        <f>0+10+0</f>
        <v>10</v>
      </c>
      <c r="BJ52" s="16">
        <v>58</v>
      </c>
      <c r="BK52" s="16">
        <v>110</v>
      </c>
      <c r="BL52" s="16">
        <v>54</v>
      </c>
      <c r="BM52" s="16">
        <v>0</v>
      </c>
      <c r="BN52" s="16">
        <v>0</v>
      </c>
      <c r="BO52" s="16">
        <v>62</v>
      </c>
    </row>
    <row r="53" spans="1:191" ht="18.600000000000001" customHeight="1" x14ac:dyDescent="0.25">
      <c r="A53" s="125"/>
      <c r="B53" s="4"/>
      <c r="C53" s="47" t="s">
        <v>76</v>
      </c>
      <c r="D53" s="48"/>
      <c r="E53" s="16">
        <f t="shared" si="0"/>
        <v>37</v>
      </c>
      <c r="F53" s="26">
        <v>0</v>
      </c>
      <c r="G53" s="26">
        <v>0</v>
      </c>
      <c r="H53" s="26">
        <v>0</v>
      </c>
      <c r="I53" s="26">
        <v>0</v>
      </c>
      <c r="J53" s="26">
        <v>0</v>
      </c>
      <c r="K53" s="26">
        <v>0</v>
      </c>
      <c r="L53" s="26">
        <v>0</v>
      </c>
      <c r="M53" s="26">
        <v>0</v>
      </c>
      <c r="N53" s="26">
        <v>0</v>
      </c>
      <c r="O53" s="26">
        <v>0</v>
      </c>
      <c r="P53" s="26">
        <v>0</v>
      </c>
      <c r="Q53" s="26">
        <v>0</v>
      </c>
      <c r="R53" s="26">
        <v>1</v>
      </c>
      <c r="S53" s="26">
        <v>0</v>
      </c>
      <c r="T53" s="26">
        <v>0</v>
      </c>
      <c r="U53" s="26">
        <v>0</v>
      </c>
      <c r="V53" s="26">
        <v>0</v>
      </c>
      <c r="W53" s="26">
        <v>0</v>
      </c>
      <c r="X53" s="26">
        <v>0</v>
      </c>
      <c r="Y53" s="26">
        <v>0</v>
      </c>
      <c r="Z53" s="26">
        <v>0</v>
      </c>
      <c r="AA53" s="26">
        <v>3</v>
      </c>
      <c r="AB53" s="26">
        <v>1</v>
      </c>
      <c r="AC53" s="26">
        <v>0</v>
      </c>
      <c r="AD53" s="26">
        <v>1</v>
      </c>
      <c r="AE53" s="26">
        <v>2</v>
      </c>
      <c r="AF53" s="26">
        <v>0</v>
      </c>
      <c r="AG53" s="26">
        <v>4</v>
      </c>
      <c r="AH53" s="26">
        <v>0</v>
      </c>
      <c r="AI53" s="26">
        <v>0</v>
      </c>
      <c r="AJ53" s="26">
        <v>2</v>
      </c>
      <c r="AK53" s="16">
        <v>0</v>
      </c>
      <c r="AL53" s="16">
        <v>0</v>
      </c>
      <c r="AM53" s="16">
        <v>3</v>
      </c>
      <c r="AN53" s="16">
        <v>3</v>
      </c>
      <c r="AO53" s="16">
        <v>0</v>
      </c>
      <c r="AP53" s="16">
        <v>0</v>
      </c>
      <c r="AQ53" s="16">
        <v>0</v>
      </c>
      <c r="AR53" s="16">
        <v>0</v>
      </c>
      <c r="AS53" s="16">
        <v>5</v>
      </c>
      <c r="AT53" s="16">
        <v>0</v>
      </c>
      <c r="AU53" s="16">
        <v>4</v>
      </c>
      <c r="AV53" s="16">
        <v>0</v>
      </c>
      <c r="AW53" s="16">
        <v>0</v>
      </c>
      <c r="AX53" s="16">
        <v>0</v>
      </c>
      <c r="AY53" s="16">
        <v>0</v>
      </c>
      <c r="AZ53" s="16">
        <v>0</v>
      </c>
      <c r="BA53" s="16">
        <v>0</v>
      </c>
      <c r="BB53" s="16">
        <v>2</v>
      </c>
      <c r="BC53" s="16">
        <v>0</v>
      </c>
      <c r="BD53" s="16">
        <v>0</v>
      </c>
      <c r="BE53" s="16">
        <v>0</v>
      </c>
      <c r="BF53" s="16">
        <v>0</v>
      </c>
      <c r="BG53" s="16">
        <v>0</v>
      </c>
      <c r="BH53" s="16">
        <v>0</v>
      </c>
      <c r="BI53" s="16">
        <v>0</v>
      </c>
      <c r="BJ53" s="16">
        <v>3</v>
      </c>
      <c r="BK53" s="16">
        <v>3</v>
      </c>
      <c r="BL53" s="16">
        <v>0</v>
      </c>
      <c r="BM53" s="16">
        <v>0</v>
      </c>
      <c r="BN53" s="16">
        <v>0</v>
      </c>
      <c r="BO53" s="16">
        <v>0</v>
      </c>
    </row>
    <row r="54" spans="1:191" ht="18.600000000000001" customHeight="1" x14ac:dyDescent="0.25">
      <c r="A54" s="125" t="s">
        <v>95</v>
      </c>
      <c r="B54" s="4"/>
      <c r="C54" s="47" t="s">
        <v>75</v>
      </c>
      <c r="D54" s="48"/>
      <c r="E54" s="16">
        <f t="shared" si="0"/>
        <v>3043</v>
      </c>
      <c r="F54" s="16">
        <v>0</v>
      </c>
      <c r="G54" s="16">
        <v>0</v>
      </c>
      <c r="H54" s="16">
        <v>0</v>
      </c>
      <c r="I54" s="16">
        <v>0</v>
      </c>
      <c r="J54" s="16">
        <v>0</v>
      </c>
      <c r="K54" s="16">
        <v>0</v>
      </c>
      <c r="L54" s="26">
        <v>612</v>
      </c>
      <c r="M54" s="26">
        <v>313</v>
      </c>
      <c r="N54" s="26">
        <v>18</v>
      </c>
      <c r="O54" s="26">
        <v>0</v>
      </c>
      <c r="P54" s="26">
        <v>10</v>
      </c>
      <c r="Q54" s="26">
        <v>6</v>
      </c>
      <c r="R54" s="26">
        <v>86</v>
      </c>
      <c r="S54" s="26">
        <v>43</v>
      </c>
      <c r="T54" s="26">
        <v>0</v>
      </c>
      <c r="U54" s="26">
        <v>12</v>
      </c>
      <c r="V54" s="26">
        <v>70</v>
      </c>
      <c r="W54" s="26">
        <v>0</v>
      </c>
      <c r="X54" s="26">
        <v>0</v>
      </c>
      <c r="Y54" s="26">
        <v>22</v>
      </c>
      <c r="Z54" s="26">
        <v>74</v>
      </c>
      <c r="AA54" s="26">
        <v>35</v>
      </c>
      <c r="AB54" s="26">
        <v>240</v>
      </c>
      <c r="AC54" s="26">
        <v>13</v>
      </c>
      <c r="AD54" s="26">
        <v>162</v>
      </c>
      <c r="AE54" s="26">
        <v>18</v>
      </c>
      <c r="AF54" s="26">
        <v>0</v>
      </c>
      <c r="AG54" s="26">
        <v>449</v>
      </c>
      <c r="AH54" s="26">
        <v>3</v>
      </c>
      <c r="AI54" s="26">
        <v>0</v>
      </c>
      <c r="AJ54" s="26">
        <v>2</v>
      </c>
      <c r="AK54" s="16">
        <v>2</v>
      </c>
      <c r="AL54" s="16">
        <v>0</v>
      </c>
      <c r="AM54" s="16">
        <v>67</v>
      </c>
      <c r="AN54" s="16">
        <v>11</v>
      </c>
      <c r="AO54" s="16">
        <v>0</v>
      </c>
      <c r="AP54" s="16">
        <v>0</v>
      </c>
      <c r="AQ54" s="16">
        <v>0</v>
      </c>
      <c r="AR54" s="16">
        <v>0</v>
      </c>
      <c r="AS54" s="16">
        <v>4</v>
      </c>
      <c r="AT54" s="16">
        <v>0</v>
      </c>
      <c r="AU54" s="16">
        <v>156</v>
      </c>
      <c r="AV54" s="16">
        <v>108</v>
      </c>
      <c r="AW54" s="16">
        <v>2</v>
      </c>
      <c r="AX54" s="16">
        <v>22</v>
      </c>
      <c r="AY54" s="16">
        <v>5</v>
      </c>
      <c r="AZ54" s="16">
        <v>1</v>
      </c>
      <c r="BA54" s="16">
        <v>2</v>
      </c>
      <c r="BB54" s="16">
        <v>12</v>
      </c>
      <c r="BC54" s="16">
        <v>4</v>
      </c>
      <c r="BD54" s="16">
        <v>0</v>
      </c>
      <c r="BE54" s="16">
        <v>9</v>
      </c>
      <c r="BF54" s="16">
        <v>18</v>
      </c>
      <c r="BG54" s="16">
        <v>12</v>
      </c>
      <c r="BH54" s="16">
        <v>0</v>
      </c>
      <c r="BI54" s="16">
        <v>0</v>
      </c>
      <c r="BJ54" s="16">
        <v>313</v>
      </c>
      <c r="BK54" s="16">
        <v>61</v>
      </c>
      <c r="BL54" s="16">
        <v>27</v>
      </c>
      <c r="BM54" s="16">
        <v>0</v>
      </c>
      <c r="BN54" s="16">
        <v>0</v>
      </c>
      <c r="BO54" s="16">
        <v>19</v>
      </c>
    </row>
    <row r="55" spans="1:191" ht="18.600000000000001" customHeight="1" x14ac:dyDescent="0.25">
      <c r="A55" s="125"/>
      <c r="B55" s="4"/>
      <c r="C55" s="47" t="s">
        <v>76</v>
      </c>
      <c r="D55" s="48"/>
      <c r="E55" s="16">
        <f t="shared" si="0"/>
        <v>17</v>
      </c>
      <c r="F55" s="26">
        <v>0</v>
      </c>
      <c r="G55" s="26">
        <v>0</v>
      </c>
      <c r="H55" s="26">
        <v>0</v>
      </c>
      <c r="I55" s="26">
        <v>0</v>
      </c>
      <c r="J55" s="26">
        <v>0</v>
      </c>
      <c r="K55" s="26">
        <v>0</v>
      </c>
      <c r="L55" s="26">
        <v>0</v>
      </c>
      <c r="M55" s="26">
        <v>0</v>
      </c>
      <c r="N55" s="26">
        <v>0</v>
      </c>
      <c r="O55" s="26">
        <v>0</v>
      </c>
      <c r="P55" s="26">
        <v>0</v>
      </c>
      <c r="Q55" s="26">
        <v>0</v>
      </c>
      <c r="R55" s="26">
        <v>1</v>
      </c>
      <c r="S55" s="26">
        <v>0</v>
      </c>
      <c r="T55" s="26">
        <v>0</v>
      </c>
      <c r="U55" s="26">
        <v>0</v>
      </c>
      <c r="V55" s="26">
        <v>1</v>
      </c>
      <c r="W55" s="26">
        <v>0</v>
      </c>
      <c r="X55" s="26">
        <v>0</v>
      </c>
      <c r="Y55" s="26">
        <v>0</v>
      </c>
      <c r="Z55" s="26">
        <v>0</v>
      </c>
      <c r="AA55" s="26">
        <v>0</v>
      </c>
      <c r="AB55" s="26">
        <v>1</v>
      </c>
      <c r="AC55" s="26">
        <v>0</v>
      </c>
      <c r="AD55" s="26">
        <v>0</v>
      </c>
      <c r="AE55" s="26">
        <v>0</v>
      </c>
      <c r="AF55" s="26">
        <v>0</v>
      </c>
      <c r="AG55" s="26">
        <v>12</v>
      </c>
      <c r="AH55" s="26">
        <v>0</v>
      </c>
      <c r="AI55" s="26">
        <v>0</v>
      </c>
      <c r="AJ55" s="26">
        <v>0</v>
      </c>
      <c r="AK55" s="16">
        <v>0</v>
      </c>
      <c r="AL55" s="16">
        <v>0</v>
      </c>
      <c r="AM55" s="16">
        <v>0</v>
      </c>
      <c r="AN55" s="16">
        <v>0</v>
      </c>
      <c r="AO55" s="16">
        <v>0</v>
      </c>
      <c r="AP55" s="16">
        <v>0</v>
      </c>
      <c r="AQ55" s="16">
        <v>0</v>
      </c>
      <c r="AR55" s="16">
        <v>0</v>
      </c>
      <c r="AS55" s="16">
        <v>0</v>
      </c>
      <c r="AT55" s="16">
        <v>0</v>
      </c>
      <c r="AU55" s="16">
        <v>1</v>
      </c>
      <c r="AV55" s="16">
        <v>0</v>
      </c>
      <c r="AW55" s="16">
        <v>0</v>
      </c>
      <c r="AX55" s="16">
        <v>0</v>
      </c>
      <c r="AY55" s="16">
        <v>0</v>
      </c>
      <c r="AZ55" s="16">
        <v>0</v>
      </c>
      <c r="BA55" s="16">
        <v>0</v>
      </c>
      <c r="BB55" s="16">
        <v>0</v>
      </c>
      <c r="BC55" s="16">
        <v>0</v>
      </c>
      <c r="BD55" s="16">
        <v>0</v>
      </c>
      <c r="BE55" s="16">
        <v>0</v>
      </c>
      <c r="BF55" s="16">
        <v>0</v>
      </c>
      <c r="BG55" s="16">
        <v>0</v>
      </c>
      <c r="BH55" s="16">
        <v>0</v>
      </c>
      <c r="BI55" s="16">
        <v>0</v>
      </c>
      <c r="BJ55" s="16">
        <v>1</v>
      </c>
      <c r="BK55" s="16">
        <v>0</v>
      </c>
      <c r="BL55" s="16">
        <v>0</v>
      </c>
      <c r="BM55" s="16">
        <v>0</v>
      </c>
      <c r="BN55" s="16">
        <v>0</v>
      </c>
      <c r="BO55" s="16">
        <v>0</v>
      </c>
    </row>
    <row r="56" spans="1:191" ht="18.600000000000001" customHeight="1" x14ac:dyDescent="0.25">
      <c r="A56" s="125" t="s">
        <v>96</v>
      </c>
      <c r="B56" s="4"/>
      <c r="C56" s="47" t="s">
        <v>75</v>
      </c>
      <c r="D56" s="48"/>
      <c r="E56" s="16">
        <f t="shared" si="0"/>
        <v>578</v>
      </c>
      <c r="F56" s="16">
        <v>0</v>
      </c>
      <c r="G56" s="16">
        <v>0</v>
      </c>
      <c r="H56" s="16">
        <v>0</v>
      </c>
      <c r="I56" s="16">
        <v>0</v>
      </c>
      <c r="J56" s="16">
        <v>0</v>
      </c>
      <c r="K56" s="16">
        <v>0</v>
      </c>
      <c r="L56" s="26">
        <v>16</v>
      </c>
      <c r="M56" s="26">
        <v>14</v>
      </c>
      <c r="N56" s="26">
        <v>0</v>
      </c>
      <c r="O56" s="26">
        <v>0</v>
      </c>
      <c r="P56" s="26">
        <v>0</v>
      </c>
      <c r="Q56" s="26">
        <v>0</v>
      </c>
      <c r="R56" s="26">
        <v>79</v>
      </c>
      <c r="S56" s="26">
        <v>43</v>
      </c>
      <c r="T56" s="26">
        <v>0</v>
      </c>
      <c r="U56" s="26">
        <v>8</v>
      </c>
      <c r="V56" s="26">
        <v>14</v>
      </c>
      <c r="W56" s="26">
        <v>0</v>
      </c>
      <c r="X56" s="26">
        <v>2</v>
      </c>
      <c r="Y56" s="26">
        <v>14</v>
      </c>
      <c r="Z56" s="26">
        <v>0</v>
      </c>
      <c r="AA56" s="26">
        <v>6</v>
      </c>
      <c r="AB56" s="26">
        <v>31</v>
      </c>
      <c r="AC56" s="26">
        <v>8</v>
      </c>
      <c r="AD56" s="26">
        <v>12</v>
      </c>
      <c r="AE56" s="26">
        <v>16</v>
      </c>
      <c r="AF56" s="26">
        <v>0</v>
      </c>
      <c r="AG56" s="26">
        <v>191</v>
      </c>
      <c r="AH56" s="26">
        <v>0</v>
      </c>
      <c r="AI56" s="26">
        <v>0</v>
      </c>
      <c r="AJ56" s="26">
        <v>11</v>
      </c>
      <c r="AK56" s="16">
        <v>4</v>
      </c>
      <c r="AL56" s="16">
        <v>0</v>
      </c>
      <c r="AM56" s="16">
        <v>22</v>
      </c>
      <c r="AN56" s="16">
        <v>3</v>
      </c>
      <c r="AO56" s="16">
        <v>0</v>
      </c>
      <c r="AP56" s="16">
        <v>0</v>
      </c>
      <c r="AQ56" s="16">
        <v>0</v>
      </c>
      <c r="AR56" s="16">
        <v>0</v>
      </c>
      <c r="AS56" s="16">
        <v>13</v>
      </c>
      <c r="AT56" s="16">
        <v>0</v>
      </c>
      <c r="AU56" s="16">
        <v>7</v>
      </c>
      <c r="AV56" s="16">
        <v>3</v>
      </c>
      <c r="AW56" s="16">
        <v>0</v>
      </c>
      <c r="AX56" s="16">
        <v>0</v>
      </c>
      <c r="AY56" s="16">
        <v>4</v>
      </c>
      <c r="AZ56" s="16">
        <v>1</v>
      </c>
      <c r="BA56" s="16">
        <v>0</v>
      </c>
      <c r="BB56" s="16">
        <v>10</v>
      </c>
      <c r="BC56" s="16">
        <v>2</v>
      </c>
      <c r="BD56" s="16">
        <v>0</v>
      </c>
      <c r="BE56" s="16">
        <v>2</v>
      </c>
      <c r="BF56" s="16">
        <v>6</v>
      </c>
      <c r="BG56" s="16">
        <v>0</v>
      </c>
      <c r="BH56" s="16">
        <v>0</v>
      </c>
      <c r="BI56" s="16">
        <v>0</v>
      </c>
      <c r="BJ56" s="16">
        <v>32</v>
      </c>
      <c r="BK56" s="16">
        <v>2</v>
      </c>
      <c r="BL56" s="16">
        <v>2</v>
      </c>
      <c r="BM56" s="16">
        <v>0</v>
      </c>
      <c r="BN56" s="16">
        <v>0</v>
      </c>
      <c r="BO56" s="16">
        <v>0</v>
      </c>
    </row>
    <row r="57" spans="1:191" ht="18.600000000000001" customHeight="1" x14ac:dyDescent="0.25">
      <c r="A57" s="134"/>
      <c r="B57" s="6"/>
      <c r="C57" s="49" t="s">
        <v>76</v>
      </c>
      <c r="D57" s="50"/>
      <c r="E57" s="55">
        <f t="shared" si="0"/>
        <v>7</v>
      </c>
      <c r="F57" s="56">
        <v>0</v>
      </c>
      <c r="G57" s="56">
        <v>0</v>
      </c>
      <c r="H57" s="56">
        <v>0</v>
      </c>
      <c r="I57" s="56">
        <v>0</v>
      </c>
      <c r="J57" s="56">
        <v>0</v>
      </c>
      <c r="K57" s="56">
        <v>0</v>
      </c>
      <c r="L57" s="56">
        <v>0</v>
      </c>
      <c r="M57" s="56">
        <v>0</v>
      </c>
      <c r="N57" s="56">
        <v>0</v>
      </c>
      <c r="O57" s="56">
        <v>0</v>
      </c>
      <c r="P57" s="56">
        <v>0</v>
      </c>
      <c r="Q57" s="56">
        <v>0</v>
      </c>
      <c r="R57" s="56">
        <v>0</v>
      </c>
      <c r="S57" s="56">
        <v>0</v>
      </c>
      <c r="T57" s="56">
        <v>0</v>
      </c>
      <c r="U57" s="56">
        <v>0</v>
      </c>
      <c r="V57" s="56">
        <v>0</v>
      </c>
      <c r="W57" s="56">
        <v>0</v>
      </c>
      <c r="X57" s="56">
        <v>0</v>
      </c>
      <c r="Y57" s="56">
        <v>0</v>
      </c>
      <c r="Z57" s="56">
        <v>0</v>
      </c>
      <c r="AA57" s="56">
        <v>0</v>
      </c>
      <c r="AB57" s="56">
        <v>0</v>
      </c>
      <c r="AC57" s="56">
        <v>0</v>
      </c>
      <c r="AD57" s="56">
        <v>0</v>
      </c>
      <c r="AE57" s="56">
        <v>0</v>
      </c>
      <c r="AF57" s="56">
        <v>0</v>
      </c>
      <c r="AG57" s="56">
        <v>6</v>
      </c>
      <c r="AH57" s="56">
        <v>0</v>
      </c>
      <c r="AI57" s="56">
        <v>0</v>
      </c>
      <c r="AJ57" s="56">
        <v>0</v>
      </c>
      <c r="AK57" s="57">
        <v>0</v>
      </c>
      <c r="AL57" s="57">
        <v>0</v>
      </c>
      <c r="AM57" s="57">
        <v>1</v>
      </c>
      <c r="AN57" s="57">
        <v>0</v>
      </c>
      <c r="AO57" s="57">
        <v>0</v>
      </c>
      <c r="AP57" s="57">
        <v>0</v>
      </c>
      <c r="AQ57" s="57">
        <v>0</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row>
    <row r="58" spans="1:191" s="58" customFormat="1" ht="13.5" customHeight="1" x14ac:dyDescent="0.3">
      <c r="AA58" s="59"/>
      <c r="AC58" s="60"/>
      <c r="AG58" s="61"/>
      <c r="AI58" s="62"/>
      <c r="AK58" s="63"/>
      <c r="AL58" s="64"/>
      <c r="AN58" s="63"/>
      <c r="AO58" s="63" t="s">
        <v>178</v>
      </c>
      <c r="AP58" s="63"/>
      <c r="AQ58" s="62"/>
      <c r="AS58" s="63"/>
      <c r="AU58" s="64"/>
      <c r="AV58" s="64"/>
      <c r="AW58" s="62" t="s">
        <v>179</v>
      </c>
      <c r="AY58" s="63"/>
      <c r="AZ58" s="62"/>
      <c r="BA58" s="65"/>
      <c r="BB58" s="64"/>
      <c r="BD58" s="62" t="s">
        <v>180</v>
      </c>
      <c r="BG58" s="62"/>
      <c r="BH58" s="62"/>
      <c r="BI58" s="62"/>
      <c r="BJ58" s="62"/>
      <c r="BL58" s="62"/>
      <c r="BM58" s="62"/>
      <c r="BN58" s="62"/>
      <c r="BO58" s="66"/>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row>
    <row r="59" spans="1:191" s="58" customFormat="1" ht="12" customHeight="1" x14ac:dyDescent="0.3">
      <c r="AG59" s="61"/>
      <c r="AI59" s="62"/>
      <c r="AK59" s="63"/>
      <c r="AL59" s="64"/>
      <c r="AM59" s="64"/>
      <c r="AN59" s="65"/>
      <c r="AO59" s="63"/>
      <c r="AP59" s="63"/>
      <c r="AQ59" s="63"/>
      <c r="AS59" s="63"/>
      <c r="AU59" s="63"/>
      <c r="AV59" s="63"/>
      <c r="AW59" s="65" t="s">
        <v>181</v>
      </c>
      <c r="AX59" s="63"/>
      <c r="AY59" s="63"/>
      <c r="AZ59" s="62"/>
      <c r="BA59" s="65"/>
      <c r="BB59" s="63"/>
      <c r="BC59" s="62"/>
      <c r="BG59" s="65"/>
      <c r="BH59" s="62"/>
      <c r="BI59" s="63"/>
      <c r="BJ59" s="63"/>
      <c r="BK59" s="63"/>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row>
    <row r="60" spans="1:191" s="58" customFormat="1" ht="18" customHeight="1" x14ac:dyDescent="0.3">
      <c r="Z60" s="73"/>
      <c r="AA60" s="74"/>
      <c r="AB60" s="73"/>
      <c r="AC60" s="75"/>
      <c r="AD60" s="75"/>
      <c r="AE60" s="75"/>
      <c r="AF60" s="75"/>
      <c r="AI60" s="62"/>
      <c r="AL60" s="76"/>
      <c r="AM60" s="77"/>
      <c r="AN60" s="76"/>
      <c r="AO60" s="74"/>
      <c r="AP60" s="76"/>
      <c r="AQ60" s="76"/>
      <c r="AR60" s="76"/>
      <c r="AS60" s="76"/>
      <c r="AT60" s="76"/>
      <c r="AU60" s="77"/>
      <c r="AV60" s="76"/>
      <c r="AW60" s="76"/>
      <c r="AX60" s="76"/>
      <c r="AY60" s="76"/>
      <c r="AZ60" s="59"/>
      <c r="BA60" s="59"/>
      <c r="BB60" s="59"/>
      <c r="BC60" s="75"/>
      <c r="BG60" s="78"/>
      <c r="BH60" s="78"/>
      <c r="BI60" s="62"/>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row>
    <row r="61" spans="1:191" s="58" customFormat="1" ht="18" customHeight="1" x14ac:dyDescent="0.3">
      <c r="Z61" s="73"/>
      <c r="AA61" s="74"/>
      <c r="AB61" s="73"/>
      <c r="AC61" s="75"/>
      <c r="AD61" s="75"/>
      <c r="AE61" s="75"/>
      <c r="AF61" s="75"/>
      <c r="AI61" s="62"/>
      <c r="AL61" s="76"/>
      <c r="AM61" s="77"/>
      <c r="AN61" s="76"/>
      <c r="AO61" s="74"/>
      <c r="AP61" s="76"/>
      <c r="AQ61" s="76"/>
      <c r="AR61" s="76"/>
      <c r="AS61" s="76"/>
      <c r="AT61" s="76"/>
      <c r="AU61" s="77"/>
      <c r="AV61" s="76"/>
      <c r="AW61" s="76"/>
      <c r="AX61" s="76"/>
      <c r="AY61" s="76"/>
      <c r="AZ61" s="59"/>
      <c r="BA61" s="59"/>
      <c r="BB61" s="59"/>
      <c r="BC61" s="75"/>
      <c r="BG61" s="78"/>
      <c r="BH61" s="78"/>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row>
  </sheetData>
  <mergeCells count="112">
    <mergeCell ref="A56:A57"/>
    <mergeCell ref="A50:A51"/>
    <mergeCell ref="A52:A53"/>
    <mergeCell ref="A54:A55"/>
    <mergeCell ref="A38:A39"/>
    <mergeCell ref="A40:A41"/>
    <mergeCell ref="A42:A43"/>
    <mergeCell ref="A44:A45"/>
    <mergeCell ref="A46:A47"/>
    <mergeCell ref="A48:A49"/>
    <mergeCell ref="A26:A27"/>
    <mergeCell ref="A28:A29"/>
    <mergeCell ref="A30:A31"/>
    <mergeCell ref="A32:A33"/>
    <mergeCell ref="A34:A35"/>
    <mergeCell ref="A36:A37"/>
    <mergeCell ref="A14:A15"/>
    <mergeCell ref="A16:A17"/>
    <mergeCell ref="A18:A19"/>
    <mergeCell ref="A20:A21"/>
    <mergeCell ref="A22:A23"/>
    <mergeCell ref="A24:A25"/>
    <mergeCell ref="A12:A13"/>
    <mergeCell ref="BC7:BC11"/>
    <mergeCell ref="BE7:BE11"/>
    <mergeCell ref="BF7:BF11"/>
    <mergeCell ref="BG7:BG11"/>
    <mergeCell ref="BK7:BK11"/>
    <mergeCell ref="AW7:AW11"/>
    <mergeCell ref="AX7:AX11"/>
    <mergeCell ref="AS6:AS11"/>
    <mergeCell ref="AT6:AV6"/>
    <mergeCell ref="AW6:AY6"/>
    <mergeCell ref="AL7:AL11"/>
    <mergeCell ref="AM7:AM11"/>
    <mergeCell ref="AN7:AN11"/>
    <mergeCell ref="AO7:AO11"/>
    <mergeCell ref="AP7:AP11"/>
    <mergeCell ref="BJ7:BJ11"/>
    <mergeCell ref="AQ7:AQ11"/>
    <mergeCell ref="AT7:AT11"/>
    <mergeCell ref="AU7:AU11"/>
    <mergeCell ref="Z7:Z11"/>
    <mergeCell ref="AA7:AA11"/>
    <mergeCell ref="AB7:AB11"/>
    <mergeCell ref="AC7:AC11"/>
    <mergeCell ref="BM7:BM11"/>
    <mergeCell ref="BN7:BN11"/>
    <mergeCell ref="BO7:BO11"/>
    <mergeCell ref="BL7:BL11"/>
    <mergeCell ref="BE6:BG6"/>
    <mergeCell ref="BH6:BH11"/>
    <mergeCell ref="BI6:BI11"/>
    <mergeCell ref="AV7:AV11"/>
    <mergeCell ref="AF7:AF11"/>
    <mergeCell ref="AG7:AG11"/>
    <mergeCell ref="AH7:AH11"/>
    <mergeCell ref="AI7:AI11"/>
    <mergeCell ref="AJ7:AJ11"/>
    <mergeCell ref="AK7:AK11"/>
    <mergeCell ref="BJ6:BL6"/>
    <mergeCell ref="BM6:BO6"/>
    <mergeCell ref="AZ6:BA6"/>
    <mergeCell ref="BB6:BC6"/>
    <mergeCell ref="BD6:BD11"/>
    <mergeCell ref="AY7:AY11"/>
    <mergeCell ref="AZ7:AZ11"/>
    <mergeCell ref="BA7:BA11"/>
    <mergeCell ref="BB7:BB11"/>
    <mergeCell ref="U6:AF6"/>
    <mergeCell ref="AG6:AJ6"/>
    <mergeCell ref="AK6:AN6"/>
    <mergeCell ref="AO6:AQ6"/>
    <mergeCell ref="AR6:AR11"/>
    <mergeCell ref="U7:U11"/>
    <mergeCell ref="V7:V11"/>
    <mergeCell ref="W7:W11"/>
    <mergeCell ref="X7:X11"/>
    <mergeCell ref="Y7:Y11"/>
    <mergeCell ref="AD7:AD11"/>
    <mergeCell ref="AE7:AE11"/>
    <mergeCell ref="A6:D11"/>
    <mergeCell ref="E6:E11"/>
    <mergeCell ref="F6:K6"/>
    <mergeCell ref="L6:N6"/>
    <mergeCell ref="O6:Q6"/>
    <mergeCell ref="R6:T6"/>
    <mergeCell ref="K7:K11"/>
    <mergeCell ref="L7:L11"/>
    <mergeCell ref="M7:M11"/>
    <mergeCell ref="N7:N11"/>
    <mergeCell ref="O7:O11"/>
    <mergeCell ref="P7:P11"/>
    <mergeCell ref="Q7:Q11"/>
    <mergeCell ref="R7:R11"/>
    <mergeCell ref="S7:S11"/>
    <mergeCell ref="T7:T11"/>
    <mergeCell ref="F7:F11"/>
    <mergeCell ref="G7:G11"/>
    <mergeCell ref="H7:H11"/>
    <mergeCell ref="I7:I11"/>
    <mergeCell ref="J7:J11"/>
    <mergeCell ref="A1:B1"/>
    <mergeCell ref="AF1:AG1"/>
    <mergeCell ref="AH1:AJ1"/>
    <mergeCell ref="BK1:BL1"/>
    <mergeCell ref="BM1:BO1"/>
    <mergeCell ref="A2:B2"/>
    <mergeCell ref="AF2:AG2"/>
    <mergeCell ref="AH2:AJ2"/>
    <mergeCell ref="BK2:BL2"/>
    <mergeCell ref="BM2:BO2"/>
  </mergeCells>
  <phoneticPr fontId="5" type="noConversion"/>
  <printOptions horizontalCentered="1"/>
  <pageMargins left="0.23622047244094491" right="0.23622047244094491" top="0.98425196850393704" bottom="0.78740157480314965" header="0" footer="0"/>
  <pageSetup paperSize="8" scale="65" firstPageNumber="41"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I65"/>
  <sheetViews>
    <sheetView zoomScale="80" zoomScaleNormal="80" workbookViewId="0">
      <selection sqref="A1:B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F1" s="170" t="s">
        <v>45</v>
      </c>
      <c r="AG1" s="171"/>
      <c r="AH1" s="172" t="s">
        <v>46</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K1" s="170" t="s">
        <v>45</v>
      </c>
      <c r="BL1" s="171"/>
      <c r="BM1" s="172" t="s">
        <v>46</v>
      </c>
      <c r="BN1" s="173"/>
      <c r="BO1" s="174"/>
      <c r="BP1" s="38"/>
      <c r="BQ1" s="38"/>
    </row>
    <row r="2" spans="1:69" s="37" customFormat="1" ht="21.9" customHeight="1" x14ac:dyDescent="0.3">
      <c r="A2" s="163" t="s">
        <v>279</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41"/>
      <c r="AF2" s="165" t="s">
        <v>187</v>
      </c>
      <c r="AG2" s="166"/>
      <c r="AH2" s="167" t="s">
        <v>33</v>
      </c>
      <c r="AI2" s="168"/>
      <c r="AJ2" s="169"/>
      <c r="AK2" s="163" t="s">
        <v>279</v>
      </c>
      <c r="AL2" s="164"/>
      <c r="AM2" s="39" t="s">
        <v>47</v>
      </c>
      <c r="AN2" s="33"/>
      <c r="AO2" s="33"/>
      <c r="AP2" s="33"/>
      <c r="AQ2" s="33"/>
      <c r="AR2" s="33"/>
      <c r="AS2" s="33"/>
      <c r="AT2" s="33"/>
      <c r="AU2" s="33"/>
      <c r="AV2" s="33"/>
      <c r="AW2" s="33"/>
      <c r="AX2" s="33"/>
      <c r="AY2" s="33"/>
      <c r="AZ2" s="33"/>
      <c r="BA2" s="33"/>
      <c r="BB2" s="33"/>
      <c r="BC2" s="33"/>
      <c r="BD2" s="33"/>
      <c r="BE2" s="33"/>
      <c r="BF2" s="33"/>
      <c r="BG2" s="33"/>
      <c r="BH2" s="42"/>
      <c r="BI2" s="41"/>
      <c r="BJ2" s="41"/>
      <c r="BK2" s="165" t="s">
        <v>187</v>
      </c>
      <c r="BL2" s="166"/>
      <c r="BM2" s="167" t="s">
        <v>10</v>
      </c>
      <c r="BN2" s="168"/>
      <c r="BO2" s="169"/>
      <c r="BP2" s="43"/>
      <c r="BQ2" s="43"/>
    </row>
    <row r="3" spans="1:69" s="53" customFormat="1" ht="30" customHeight="1" x14ac:dyDescent="0.25">
      <c r="A3" s="159" t="s">
        <v>384</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386</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54"/>
      <c r="BQ3" s="54"/>
    </row>
    <row r="4" spans="1:69" s="37" customFormat="1" ht="26.1" customHeight="1" x14ac:dyDescent="0.25">
      <c r="A4" s="160" t="s">
        <v>196</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t="s">
        <v>196</v>
      </c>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row>
    <row r="5" spans="1:69" s="37" customFormat="1" ht="20.100000000000001" customHeight="1" x14ac:dyDescent="0.25">
      <c r="A5" s="40"/>
      <c r="B5" s="41"/>
      <c r="C5" s="41"/>
      <c r="D5" s="67"/>
      <c r="E5" s="67"/>
      <c r="F5" s="67"/>
      <c r="G5" s="67"/>
      <c r="H5" s="67"/>
      <c r="I5" s="67"/>
      <c r="J5" s="67"/>
      <c r="K5" s="67"/>
      <c r="L5" s="67"/>
      <c r="M5" s="67"/>
      <c r="N5" s="67"/>
      <c r="O5" s="41"/>
      <c r="P5" s="67"/>
      <c r="Q5" s="41"/>
      <c r="R5" s="67"/>
      <c r="S5" s="44"/>
      <c r="T5" s="67"/>
      <c r="U5" s="33"/>
      <c r="V5" s="33"/>
      <c r="W5" s="33"/>
      <c r="X5" s="68"/>
      <c r="Y5" s="5"/>
      <c r="Z5" s="33"/>
      <c r="AA5" s="33"/>
      <c r="AB5" s="33"/>
      <c r="AC5" s="33"/>
      <c r="AD5" s="33"/>
      <c r="AE5" s="33"/>
      <c r="AF5" s="33"/>
      <c r="AH5" s="33"/>
      <c r="AI5" s="33"/>
      <c r="AJ5" s="45" t="s">
        <v>48</v>
      </c>
      <c r="AK5" s="45"/>
      <c r="AL5" s="33"/>
      <c r="AM5" s="33"/>
      <c r="AN5" s="33"/>
      <c r="AO5" s="33"/>
      <c r="AP5" s="33"/>
      <c r="AQ5" s="33"/>
      <c r="AR5" s="33"/>
      <c r="AS5" s="33"/>
      <c r="AT5" s="33"/>
      <c r="AU5" s="33"/>
      <c r="AV5" s="33"/>
      <c r="AW5" s="44"/>
      <c r="AX5" s="45"/>
      <c r="AY5" s="45"/>
      <c r="AZ5" s="45"/>
      <c r="BA5" s="45"/>
      <c r="BB5" s="5"/>
      <c r="BC5" s="33"/>
      <c r="BD5" s="33"/>
      <c r="BE5" s="33"/>
      <c r="BF5" s="33"/>
      <c r="BG5" s="33"/>
      <c r="BH5" s="33"/>
      <c r="BI5" s="5"/>
      <c r="BJ5" s="5"/>
      <c r="BK5" s="5"/>
      <c r="BL5" s="5"/>
      <c r="BM5" s="5"/>
      <c r="BO5" s="45" t="s">
        <v>48</v>
      </c>
    </row>
    <row r="6" spans="1:69" s="5" customFormat="1" ht="27.9" customHeight="1" x14ac:dyDescent="0.25">
      <c r="A6" s="125" t="s">
        <v>144</v>
      </c>
      <c r="B6" s="125"/>
      <c r="C6" s="125"/>
      <c r="D6" s="125"/>
      <c r="E6" s="135" t="s">
        <v>50</v>
      </c>
      <c r="F6" s="138" t="s">
        <v>145</v>
      </c>
      <c r="G6" s="138"/>
      <c r="H6" s="138"/>
      <c r="I6" s="138"/>
      <c r="J6" s="138"/>
      <c r="K6" s="138"/>
      <c r="L6" s="138" t="s">
        <v>52</v>
      </c>
      <c r="M6" s="138"/>
      <c r="N6" s="138"/>
      <c r="O6" s="138" t="s">
        <v>197</v>
      </c>
      <c r="P6" s="138"/>
      <c r="Q6" s="138"/>
      <c r="R6" s="138" t="s">
        <v>146</v>
      </c>
      <c r="S6" s="138"/>
      <c r="T6" s="138"/>
      <c r="U6" s="138" t="s">
        <v>147</v>
      </c>
      <c r="V6" s="138"/>
      <c r="W6" s="138"/>
      <c r="X6" s="138"/>
      <c r="Y6" s="138"/>
      <c r="Z6" s="138"/>
      <c r="AA6" s="138"/>
      <c r="AB6" s="138"/>
      <c r="AC6" s="138"/>
      <c r="AD6" s="138"/>
      <c r="AE6" s="138"/>
      <c r="AF6" s="138"/>
      <c r="AG6" s="145" t="s">
        <v>148</v>
      </c>
      <c r="AH6" s="146"/>
      <c r="AI6" s="146"/>
      <c r="AJ6" s="146"/>
      <c r="AK6" s="145" t="s">
        <v>148</v>
      </c>
      <c r="AL6" s="146"/>
      <c r="AM6" s="146"/>
      <c r="AN6" s="147"/>
      <c r="AO6" s="141" t="s">
        <v>149</v>
      </c>
      <c r="AP6" s="141"/>
      <c r="AQ6" s="141"/>
      <c r="AR6" s="148" t="s">
        <v>382</v>
      </c>
      <c r="AS6" s="140" t="s">
        <v>150</v>
      </c>
      <c r="AT6" s="141" t="s">
        <v>58</v>
      </c>
      <c r="AU6" s="141"/>
      <c r="AV6" s="141"/>
      <c r="AW6" s="142" t="s">
        <v>59</v>
      </c>
      <c r="AX6" s="142"/>
      <c r="AY6" s="143"/>
      <c r="AZ6" s="144" t="s">
        <v>60</v>
      </c>
      <c r="BA6" s="144"/>
      <c r="BB6" s="144" t="s">
        <v>151</v>
      </c>
      <c r="BC6" s="144"/>
      <c r="BD6" s="140" t="s">
        <v>198</v>
      </c>
      <c r="BE6" s="144" t="s">
        <v>63</v>
      </c>
      <c r="BF6" s="144"/>
      <c r="BG6" s="144"/>
      <c r="BH6" s="140" t="s">
        <v>152</v>
      </c>
      <c r="BI6" s="140" t="s">
        <v>153</v>
      </c>
      <c r="BJ6" s="141" t="s">
        <v>97</v>
      </c>
      <c r="BK6" s="149"/>
      <c r="BL6" s="149"/>
      <c r="BM6" s="149" t="s">
        <v>65</v>
      </c>
      <c r="BN6" s="143"/>
      <c r="BO6" s="151"/>
    </row>
    <row r="7" spans="1:69" s="5" customFormat="1" ht="30" customHeight="1" x14ac:dyDescent="0.25">
      <c r="A7" s="125"/>
      <c r="B7" s="125"/>
      <c r="C7" s="125"/>
      <c r="D7" s="125"/>
      <c r="E7" s="136"/>
      <c r="F7" s="139" t="s">
        <v>154</v>
      </c>
      <c r="G7" s="139" t="s">
        <v>155</v>
      </c>
      <c r="H7" s="139" t="s">
        <v>230</v>
      </c>
      <c r="I7" s="139" t="s">
        <v>199</v>
      </c>
      <c r="J7" s="139" t="s">
        <v>106</v>
      </c>
      <c r="K7" s="139" t="s">
        <v>200</v>
      </c>
      <c r="L7" s="139" t="s">
        <v>156</v>
      </c>
      <c r="M7" s="130" t="s">
        <v>333</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9" t="s">
        <v>99</v>
      </c>
      <c r="AC7" s="139" t="s">
        <v>114</v>
      </c>
      <c r="AD7" s="139" t="s">
        <v>162</v>
      </c>
      <c r="AE7" s="139" t="s">
        <v>137</v>
      </c>
      <c r="AF7" s="139" t="s">
        <v>100</v>
      </c>
      <c r="AG7" s="139" t="s">
        <v>122</v>
      </c>
      <c r="AH7" s="139" t="s">
        <v>163</v>
      </c>
      <c r="AI7" s="139" t="s">
        <v>164</v>
      </c>
      <c r="AJ7" s="139" t="s">
        <v>165</v>
      </c>
      <c r="AK7" s="139" t="s">
        <v>166</v>
      </c>
      <c r="AL7" s="139" t="s">
        <v>167</v>
      </c>
      <c r="AM7" s="139" t="s">
        <v>168</v>
      </c>
      <c r="AN7" s="154" t="s">
        <v>232</v>
      </c>
      <c r="AO7" s="155" t="s">
        <v>169</v>
      </c>
      <c r="AP7" s="157" t="s">
        <v>233</v>
      </c>
      <c r="AQ7" s="139" t="s">
        <v>183</v>
      </c>
      <c r="AR7" s="148"/>
      <c r="AS7" s="140"/>
      <c r="AT7" s="140" t="s">
        <v>170</v>
      </c>
      <c r="AU7" s="140" t="s">
        <v>171</v>
      </c>
      <c r="AV7" s="129" t="s">
        <v>275</v>
      </c>
      <c r="AW7" s="140" t="s">
        <v>105</v>
      </c>
      <c r="AX7" s="140" t="s">
        <v>172</v>
      </c>
      <c r="AY7" s="140" t="s">
        <v>234</v>
      </c>
      <c r="AZ7" s="139" t="s">
        <v>224</v>
      </c>
      <c r="BA7" s="140" t="s">
        <v>173</v>
      </c>
      <c r="BB7" s="140" t="s">
        <v>235</v>
      </c>
      <c r="BC7" s="140" t="s">
        <v>236</v>
      </c>
      <c r="BD7" s="140"/>
      <c r="BE7" s="140" t="s">
        <v>237</v>
      </c>
      <c r="BF7" s="140" t="s">
        <v>174</v>
      </c>
      <c r="BG7" s="140" t="s">
        <v>238</v>
      </c>
      <c r="BH7" s="140"/>
      <c r="BI7" s="140"/>
      <c r="BJ7" s="140" t="s">
        <v>239</v>
      </c>
      <c r="BK7" s="140" t="s">
        <v>240</v>
      </c>
      <c r="BL7" s="140" t="s">
        <v>204</v>
      </c>
      <c r="BM7" s="140" t="s">
        <v>112</v>
      </c>
      <c r="BN7" s="140" t="s">
        <v>175</v>
      </c>
      <c r="BO7" s="150" t="s">
        <v>241</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54"/>
      <c r="AO8" s="156"/>
      <c r="AP8" s="158"/>
      <c r="AQ8" s="139"/>
      <c r="AR8" s="148"/>
      <c r="AS8" s="140"/>
      <c r="AT8" s="140"/>
      <c r="AU8" s="140"/>
      <c r="AV8" s="140"/>
      <c r="AW8" s="152"/>
      <c r="AX8" s="140"/>
      <c r="AY8" s="140"/>
      <c r="AZ8" s="139"/>
      <c r="BA8" s="143"/>
      <c r="BB8" s="152"/>
      <c r="BC8" s="140"/>
      <c r="BD8" s="140"/>
      <c r="BE8" s="153"/>
      <c r="BF8" s="153"/>
      <c r="BG8" s="152"/>
      <c r="BH8" s="140"/>
      <c r="BI8" s="140"/>
      <c r="BJ8" s="140"/>
      <c r="BK8" s="140"/>
      <c r="BL8" s="152"/>
      <c r="BM8" s="152"/>
      <c r="BN8" s="140"/>
      <c r="BO8" s="150"/>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54"/>
      <c r="AO9" s="156"/>
      <c r="AP9" s="158"/>
      <c r="AQ9" s="139"/>
      <c r="AR9" s="148"/>
      <c r="AS9" s="140"/>
      <c r="AT9" s="140"/>
      <c r="AU9" s="140"/>
      <c r="AV9" s="140"/>
      <c r="AW9" s="152"/>
      <c r="AX9" s="140"/>
      <c r="AY9" s="140"/>
      <c r="AZ9" s="139"/>
      <c r="BA9" s="143"/>
      <c r="BB9" s="152"/>
      <c r="BC9" s="140"/>
      <c r="BD9" s="140"/>
      <c r="BE9" s="153"/>
      <c r="BF9" s="153"/>
      <c r="BG9" s="152"/>
      <c r="BH9" s="140"/>
      <c r="BI9" s="140"/>
      <c r="BJ9" s="140"/>
      <c r="BK9" s="140"/>
      <c r="BL9" s="152"/>
      <c r="BM9" s="152"/>
      <c r="BN9" s="140"/>
      <c r="BO9" s="150"/>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54"/>
      <c r="AO10" s="156"/>
      <c r="AP10" s="158"/>
      <c r="AQ10" s="139"/>
      <c r="AR10" s="148"/>
      <c r="AS10" s="140"/>
      <c r="AT10" s="140"/>
      <c r="AU10" s="140"/>
      <c r="AV10" s="140"/>
      <c r="AW10" s="152"/>
      <c r="AX10" s="140"/>
      <c r="AY10" s="140"/>
      <c r="AZ10" s="139"/>
      <c r="BA10" s="143"/>
      <c r="BB10" s="152"/>
      <c r="BC10" s="140"/>
      <c r="BD10" s="140"/>
      <c r="BE10" s="153"/>
      <c r="BF10" s="153"/>
      <c r="BG10" s="152"/>
      <c r="BH10" s="140"/>
      <c r="BI10" s="140"/>
      <c r="BJ10" s="140"/>
      <c r="BK10" s="140"/>
      <c r="BL10" s="152"/>
      <c r="BM10" s="152"/>
      <c r="BN10" s="140"/>
      <c r="BO10" s="150"/>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54"/>
      <c r="AO11" s="156"/>
      <c r="AP11" s="158"/>
      <c r="AQ11" s="139"/>
      <c r="AR11" s="148"/>
      <c r="AS11" s="140"/>
      <c r="AT11" s="140"/>
      <c r="AU11" s="140"/>
      <c r="AV11" s="140"/>
      <c r="AW11" s="152"/>
      <c r="AX11" s="140"/>
      <c r="AY11" s="140"/>
      <c r="AZ11" s="139"/>
      <c r="BA11" s="143"/>
      <c r="BB11" s="152"/>
      <c r="BC11" s="140"/>
      <c r="BD11" s="140"/>
      <c r="BE11" s="153"/>
      <c r="BF11" s="153"/>
      <c r="BG11" s="152"/>
      <c r="BH11" s="140"/>
      <c r="BI11" s="140"/>
      <c r="BJ11" s="140"/>
      <c r="BK11" s="140"/>
      <c r="BL11" s="152"/>
      <c r="BM11" s="152"/>
      <c r="BN11" s="140"/>
      <c r="BO11" s="150"/>
    </row>
    <row r="12" spans="1:69" s="3" customFormat="1" ht="21.9" customHeight="1" x14ac:dyDescent="0.25">
      <c r="A12" s="125" t="s">
        <v>343</v>
      </c>
      <c r="B12" s="32"/>
      <c r="C12" s="51" t="s">
        <v>242</v>
      </c>
      <c r="D12" s="52"/>
      <c r="E12" s="16">
        <f t="shared" ref="E12:E57" si="0">SUM(F12:BO12)</f>
        <v>461206</v>
      </c>
      <c r="F12" s="16">
        <f>F14+F16+F18+F20+F22+F24+F26+F28+F30+F32+F34+F36+F38+F40+F42+F44+F46+F48+F50+F52+F54+F56</f>
        <v>4940</v>
      </c>
      <c r="G12" s="16">
        <f t="shared" ref="G12:BO13" si="1">G14+G16+G18+G20+G22+G24+G26+G28+G30+G32+G34+G36+G38+G40+G42+G44+G46+G48+G50+G52+G54+G56</f>
        <v>3034</v>
      </c>
      <c r="H12" s="16">
        <f t="shared" si="1"/>
        <v>2122</v>
      </c>
      <c r="I12" s="16">
        <f t="shared" si="1"/>
        <v>237</v>
      </c>
      <c r="J12" s="16">
        <f t="shared" si="1"/>
        <v>1236</v>
      </c>
      <c r="K12" s="16">
        <f t="shared" si="1"/>
        <v>1956</v>
      </c>
      <c r="L12" s="16">
        <f t="shared" si="1"/>
        <v>14132</v>
      </c>
      <c r="M12" s="16">
        <f t="shared" si="1"/>
        <v>10193</v>
      </c>
      <c r="N12" s="16">
        <f t="shared" si="1"/>
        <v>979</v>
      </c>
      <c r="O12" s="16">
        <f t="shared" si="1"/>
        <v>4379</v>
      </c>
      <c r="P12" s="16">
        <f t="shared" si="1"/>
        <v>1957</v>
      </c>
      <c r="Q12" s="16">
        <f t="shared" si="1"/>
        <v>4</v>
      </c>
      <c r="R12" s="16">
        <f t="shared" si="1"/>
        <v>5507</v>
      </c>
      <c r="S12" s="16">
        <f t="shared" si="1"/>
        <v>5781</v>
      </c>
      <c r="T12" s="16">
        <f t="shared" si="1"/>
        <v>2836</v>
      </c>
      <c r="U12" s="16">
        <f t="shared" si="1"/>
        <v>5122</v>
      </c>
      <c r="V12" s="16">
        <f t="shared" si="1"/>
        <v>17616</v>
      </c>
      <c r="W12" s="16">
        <f t="shared" si="1"/>
        <v>1524</v>
      </c>
      <c r="X12" s="16">
        <f t="shared" si="1"/>
        <v>844</v>
      </c>
      <c r="Y12" s="16">
        <f t="shared" si="1"/>
        <v>2228</v>
      </c>
      <c r="Z12" s="16">
        <f t="shared" si="1"/>
        <v>18616</v>
      </c>
      <c r="AA12" s="16">
        <f t="shared" si="1"/>
        <v>7042</v>
      </c>
      <c r="AB12" s="16">
        <f t="shared" si="1"/>
        <v>2788</v>
      </c>
      <c r="AC12" s="16">
        <f t="shared" si="1"/>
        <v>9647</v>
      </c>
      <c r="AD12" s="16">
        <f t="shared" si="1"/>
        <v>79402</v>
      </c>
      <c r="AE12" s="16">
        <f t="shared" si="1"/>
        <v>25919</v>
      </c>
      <c r="AF12" s="16">
        <f t="shared" si="1"/>
        <v>0</v>
      </c>
      <c r="AG12" s="16">
        <f t="shared" si="1"/>
        <v>31944</v>
      </c>
      <c r="AH12" s="16">
        <f t="shared" si="1"/>
        <v>3049</v>
      </c>
      <c r="AI12" s="16">
        <f t="shared" si="1"/>
        <v>98</v>
      </c>
      <c r="AJ12" s="16">
        <f t="shared" si="1"/>
        <v>6912</v>
      </c>
      <c r="AK12" s="103">
        <f t="shared" ref="AK12:AN13" si="2">AK14+AK16+AK18+AK20+AK22+AK24+AK26+AK28+AK30+AK32+AK34+AK36+AK38+AK40+AK42+AK44+AK46+AK48+AK50+AK52+AK54+AK56</f>
        <v>1029</v>
      </c>
      <c r="AL12" s="16">
        <f t="shared" si="2"/>
        <v>0</v>
      </c>
      <c r="AM12" s="16">
        <f t="shared" si="2"/>
        <v>9513</v>
      </c>
      <c r="AN12" s="16">
        <f t="shared" si="2"/>
        <v>3078</v>
      </c>
      <c r="AO12" s="16">
        <f t="shared" si="1"/>
        <v>375</v>
      </c>
      <c r="AP12" s="16">
        <f t="shared" si="1"/>
        <v>96</v>
      </c>
      <c r="AQ12" s="16">
        <f t="shared" si="1"/>
        <v>465</v>
      </c>
      <c r="AR12" s="16">
        <f t="shared" si="1"/>
        <v>3897</v>
      </c>
      <c r="AS12" s="16">
        <f t="shared" si="1"/>
        <v>4345</v>
      </c>
      <c r="AT12" s="16">
        <f t="shared" si="1"/>
        <v>6283</v>
      </c>
      <c r="AU12" s="16">
        <f t="shared" si="1"/>
        <v>47367</v>
      </c>
      <c r="AV12" s="16">
        <f t="shared" si="1"/>
        <v>9046</v>
      </c>
      <c r="AW12" s="16">
        <f t="shared" si="1"/>
        <v>316</v>
      </c>
      <c r="AX12" s="16">
        <f t="shared" si="1"/>
        <v>9140</v>
      </c>
      <c r="AY12" s="16">
        <f t="shared" si="1"/>
        <v>1791</v>
      </c>
      <c r="AZ12" s="16">
        <f t="shared" si="1"/>
        <v>3717</v>
      </c>
      <c r="BA12" s="16">
        <f t="shared" si="1"/>
        <v>2960</v>
      </c>
      <c r="BB12" s="16">
        <f t="shared" si="1"/>
        <v>1230</v>
      </c>
      <c r="BC12" s="16">
        <f t="shared" si="1"/>
        <v>1663</v>
      </c>
      <c r="BD12" s="16">
        <f t="shared" si="1"/>
        <v>506</v>
      </c>
      <c r="BE12" s="16">
        <f t="shared" si="1"/>
        <v>7994</v>
      </c>
      <c r="BF12" s="16">
        <f t="shared" si="1"/>
        <v>8774</v>
      </c>
      <c r="BG12" s="16">
        <f t="shared" si="1"/>
        <v>9799</v>
      </c>
      <c r="BH12" s="16">
        <f t="shared" si="1"/>
        <v>3139</v>
      </c>
      <c r="BI12" s="16">
        <f t="shared" si="1"/>
        <v>2649</v>
      </c>
      <c r="BJ12" s="16">
        <f t="shared" si="1"/>
        <v>18375</v>
      </c>
      <c r="BK12" s="16">
        <f t="shared" si="1"/>
        <v>5594</v>
      </c>
      <c r="BL12" s="16">
        <f t="shared" si="1"/>
        <v>9172</v>
      </c>
      <c r="BM12" s="16">
        <f t="shared" si="1"/>
        <v>67</v>
      </c>
      <c r="BN12" s="16">
        <f t="shared" si="1"/>
        <v>52</v>
      </c>
      <c r="BO12" s="16">
        <f t="shared" si="1"/>
        <v>16730</v>
      </c>
    </row>
    <row r="13" spans="1:69" s="3" customFormat="1" ht="21.9" customHeight="1" x14ac:dyDescent="0.25">
      <c r="A13" s="125"/>
      <c r="B13" s="5"/>
      <c r="C13" s="47" t="s">
        <v>177</v>
      </c>
      <c r="D13" s="48"/>
      <c r="E13" s="16">
        <f t="shared" si="0"/>
        <v>2857</v>
      </c>
      <c r="F13" s="26">
        <f>F15+F17+F19+F21+F23+F25+F27+F29+F31+F33+F35+F37+F39+F41+F43+F45+F47+F49+F51+F53+F55+F57</f>
        <v>0</v>
      </c>
      <c r="G13" s="26">
        <f t="shared" si="1"/>
        <v>1</v>
      </c>
      <c r="H13" s="26">
        <f t="shared" si="1"/>
        <v>0</v>
      </c>
      <c r="I13" s="26">
        <f t="shared" si="1"/>
        <v>1</v>
      </c>
      <c r="J13" s="26">
        <f t="shared" si="1"/>
        <v>4</v>
      </c>
      <c r="K13" s="26">
        <f t="shared" si="1"/>
        <v>3</v>
      </c>
      <c r="L13" s="26">
        <f t="shared" si="1"/>
        <v>12</v>
      </c>
      <c r="M13" s="26">
        <f t="shared" si="1"/>
        <v>44</v>
      </c>
      <c r="N13" s="26">
        <f t="shared" si="1"/>
        <v>1</v>
      </c>
      <c r="O13" s="26">
        <f t="shared" si="1"/>
        <v>7</v>
      </c>
      <c r="P13" s="26">
        <f t="shared" si="1"/>
        <v>16</v>
      </c>
      <c r="Q13" s="26">
        <f t="shared" si="1"/>
        <v>0</v>
      </c>
      <c r="R13" s="26">
        <f t="shared" si="1"/>
        <v>36</v>
      </c>
      <c r="S13" s="26">
        <f t="shared" si="1"/>
        <v>36</v>
      </c>
      <c r="T13" s="26">
        <f t="shared" si="1"/>
        <v>4</v>
      </c>
      <c r="U13" s="26">
        <f t="shared" si="1"/>
        <v>19</v>
      </c>
      <c r="V13" s="26">
        <f t="shared" si="1"/>
        <v>121</v>
      </c>
      <c r="W13" s="26">
        <f t="shared" si="1"/>
        <v>0</v>
      </c>
      <c r="X13" s="26">
        <f t="shared" si="1"/>
        <v>2</v>
      </c>
      <c r="Y13" s="26">
        <f t="shared" si="1"/>
        <v>14</v>
      </c>
      <c r="Z13" s="26">
        <f t="shared" si="1"/>
        <v>16</v>
      </c>
      <c r="AA13" s="26">
        <f t="shared" si="1"/>
        <v>68</v>
      </c>
      <c r="AB13" s="26">
        <f t="shared" si="1"/>
        <v>42</v>
      </c>
      <c r="AC13" s="26">
        <f t="shared" si="1"/>
        <v>54</v>
      </c>
      <c r="AD13" s="26">
        <f t="shared" si="1"/>
        <v>173</v>
      </c>
      <c r="AE13" s="26">
        <f t="shared" si="1"/>
        <v>69</v>
      </c>
      <c r="AF13" s="26">
        <f t="shared" si="1"/>
        <v>0</v>
      </c>
      <c r="AG13" s="26">
        <f t="shared" si="1"/>
        <v>594</v>
      </c>
      <c r="AH13" s="26">
        <f t="shared" si="1"/>
        <v>1</v>
      </c>
      <c r="AI13" s="26">
        <f t="shared" si="1"/>
        <v>0</v>
      </c>
      <c r="AJ13" s="26">
        <f t="shared" si="1"/>
        <v>48</v>
      </c>
      <c r="AK13" s="99">
        <f t="shared" si="2"/>
        <v>4</v>
      </c>
      <c r="AL13" s="26">
        <f t="shared" si="2"/>
        <v>0</v>
      </c>
      <c r="AM13" s="26">
        <f t="shared" si="2"/>
        <v>102</v>
      </c>
      <c r="AN13" s="26">
        <f t="shared" si="2"/>
        <v>53</v>
      </c>
      <c r="AO13" s="26">
        <f t="shared" si="1"/>
        <v>0</v>
      </c>
      <c r="AP13" s="26">
        <f t="shared" si="1"/>
        <v>2</v>
      </c>
      <c r="AQ13" s="26">
        <f t="shared" si="1"/>
        <v>1</v>
      </c>
      <c r="AR13" s="26">
        <f t="shared" si="1"/>
        <v>24</v>
      </c>
      <c r="AS13" s="26">
        <f t="shared" si="1"/>
        <v>237</v>
      </c>
      <c r="AT13" s="26">
        <f t="shared" si="1"/>
        <v>8</v>
      </c>
      <c r="AU13" s="26">
        <f t="shared" si="1"/>
        <v>266</v>
      </c>
      <c r="AV13" s="26">
        <f t="shared" si="1"/>
        <v>99</v>
      </c>
      <c r="AW13" s="26">
        <f t="shared" si="1"/>
        <v>1</v>
      </c>
      <c r="AX13" s="26">
        <f t="shared" si="1"/>
        <v>7</v>
      </c>
      <c r="AY13" s="26">
        <f t="shared" si="1"/>
        <v>3</v>
      </c>
      <c r="AZ13" s="26">
        <f t="shared" si="1"/>
        <v>11</v>
      </c>
      <c r="BA13" s="26">
        <f t="shared" si="1"/>
        <v>8</v>
      </c>
      <c r="BB13" s="26">
        <f t="shared" si="1"/>
        <v>64</v>
      </c>
      <c r="BC13" s="26">
        <f t="shared" si="1"/>
        <v>14</v>
      </c>
      <c r="BD13" s="26">
        <f t="shared" si="1"/>
        <v>1</v>
      </c>
      <c r="BE13" s="26">
        <f t="shared" si="1"/>
        <v>13</v>
      </c>
      <c r="BF13" s="26">
        <f t="shared" si="1"/>
        <v>46</v>
      </c>
      <c r="BG13" s="26">
        <f t="shared" si="1"/>
        <v>31</v>
      </c>
      <c r="BH13" s="26">
        <f t="shared" si="1"/>
        <v>33</v>
      </c>
      <c r="BI13" s="26">
        <f t="shared" si="1"/>
        <v>24</v>
      </c>
      <c r="BJ13" s="26">
        <f t="shared" si="1"/>
        <v>130</v>
      </c>
      <c r="BK13" s="26">
        <f t="shared" si="1"/>
        <v>195</v>
      </c>
      <c r="BL13" s="26">
        <f t="shared" si="1"/>
        <v>20</v>
      </c>
      <c r="BM13" s="26">
        <f t="shared" si="1"/>
        <v>0</v>
      </c>
      <c r="BN13" s="26">
        <f t="shared" si="1"/>
        <v>0</v>
      </c>
      <c r="BO13" s="26">
        <f t="shared" si="1"/>
        <v>74</v>
      </c>
    </row>
    <row r="14" spans="1:69" s="5" customFormat="1" ht="21.9" customHeight="1" x14ac:dyDescent="0.25">
      <c r="A14" s="125" t="s">
        <v>344</v>
      </c>
      <c r="B14" s="4"/>
      <c r="C14" s="47" t="s">
        <v>75</v>
      </c>
      <c r="D14" s="48"/>
      <c r="E14" s="16">
        <f t="shared" si="0"/>
        <v>52889</v>
      </c>
      <c r="F14" s="16">
        <v>157</v>
      </c>
      <c r="G14" s="16">
        <v>7</v>
      </c>
      <c r="H14" s="16">
        <v>33</v>
      </c>
      <c r="I14" s="16">
        <v>10</v>
      </c>
      <c r="J14" s="16">
        <v>312</v>
      </c>
      <c r="K14" s="16">
        <v>97</v>
      </c>
      <c r="L14" s="16">
        <v>1136</v>
      </c>
      <c r="M14" s="16">
        <v>727</v>
      </c>
      <c r="N14" s="16">
        <v>43</v>
      </c>
      <c r="O14" s="16">
        <v>206</v>
      </c>
      <c r="P14" s="16">
        <v>254</v>
      </c>
      <c r="Q14" s="16">
        <v>0</v>
      </c>
      <c r="R14" s="16">
        <v>584</v>
      </c>
      <c r="S14" s="16">
        <v>412</v>
      </c>
      <c r="T14" s="16">
        <v>98</v>
      </c>
      <c r="U14" s="16">
        <v>677</v>
      </c>
      <c r="V14" s="16">
        <v>755</v>
      </c>
      <c r="W14" s="16">
        <v>695</v>
      </c>
      <c r="X14" s="16">
        <v>36</v>
      </c>
      <c r="Y14" s="16">
        <v>123</v>
      </c>
      <c r="Z14" s="16">
        <v>870</v>
      </c>
      <c r="AA14" s="16">
        <v>3437</v>
      </c>
      <c r="AB14" s="16">
        <v>55</v>
      </c>
      <c r="AC14" s="16">
        <v>1771</v>
      </c>
      <c r="AD14" s="16">
        <v>8844</v>
      </c>
      <c r="AE14" s="16">
        <v>2651</v>
      </c>
      <c r="AF14" s="16">
        <v>0</v>
      </c>
      <c r="AG14" s="16">
        <v>960</v>
      </c>
      <c r="AH14" s="16">
        <v>41</v>
      </c>
      <c r="AI14" s="16">
        <v>3</v>
      </c>
      <c r="AJ14" s="16">
        <v>135</v>
      </c>
      <c r="AK14" s="98">
        <v>19</v>
      </c>
      <c r="AL14" s="16">
        <v>0</v>
      </c>
      <c r="AM14" s="16">
        <v>1864</v>
      </c>
      <c r="AN14" s="16">
        <v>155</v>
      </c>
      <c r="AO14" s="16">
        <v>0</v>
      </c>
      <c r="AP14" s="16">
        <v>0</v>
      </c>
      <c r="AQ14" s="16">
        <v>0</v>
      </c>
      <c r="AR14" s="16">
        <v>395</v>
      </c>
      <c r="AS14" s="16">
        <v>255</v>
      </c>
      <c r="AT14" s="16">
        <v>139</v>
      </c>
      <c r="AU14" s="16">
        <v>2022</v>
      </c>
      <c r="AV14" s="16">
        <v>502</v>
      </c>
      <c r="AW14" s="16">
        <v>94</v>
      </c>
      <c r="AX14" s="16">
        <v>1388</v>
      </c>
      <c r="AY14" s="16">
        <v>356</v>
      </c>
      <c r="AZ14" s="16">
        <v>4</v>
      </c>
      <c r="BA14" s="16">
        <v>259</v>
      </c>
      <c r="BB14" s="16">
        <v>60</v>
      </c>
      <c r="BC14" s="16">
        <v>968</v>
      </c>
      <c r="BD14" s="16">
        <v>0</v>
      </c>
      <c r="BE14" s="16">
        <v>1393</v>
      </c>
      <c r="BF14" s="16">
        <v>1276</v>
      </c>
      <c r="BG14" s="16">
        <v>2303</v>
      </c>
      <c r="BH14" s="16">
        <v>2</v>
      </c>
      <c r="BI14" s="16">
        <v>14</v>
      </c>
      <c r="BJ14" s="16">
        <v>915</v>
      </c>
      <c r="BK14" s="16">
        <v>506</v>
      </c>
      <c r="BL14" s="16">
        <v>958</v>
      </c>
      <c r="BM14" s="16">
        <v>0</v>
      </c>
      <c r="BN14" s="16">
        <v>0</v>
      </c>
      <c r="BO14" s="16">
        <f>11903+10+0</f>
        <v>11913</v>
      </c>
    </row>
    <row r="15" spans="1:69" s="5" customFormat="1" ht="21.9" customHeight="1" x14ac:dyDescent="0.25">
      <c r="A15" s="125"/>
      <c r="B15" s="4"/>
      <c r="C15" s="47" t="s">
        <v>76</v>
      </c>
      <c r="D15" s="48"/>
      <c r="E15" s="16">
        <f t="shared" si="0"/>
        <v>315</v>
      </c>
      <c r="F15" s="26">
        <v>0</v>
      </c>
      <c r="G15" s="26">
        <v>0</v>
      </c>
      <c r="H15" s="26">
        <v>0</v>
      </c>
      <c r="I15" s="26">
        <v>0</v>
      </c>
      <c r="J15" s="26">
        <v>1</v>
      </c>
      <c r="K15" s="26">
        <v>0</v>
      </c>
      <c r="L15" s="26">
        <v>1</v>
      </c>
      <c r="M15" s="26">
        <v>9</v>
      </c>
      <c r="N15" s="26">
        <v>0</v>
      </c>
      <c r="O15" s="26">
        <v>0</v>
      </c>
      <c r="P15" s="26">
        <v>2</v>
      </c>
      <c r="Q15" s="26">
        <v>0</v>
      </c>
      <c r="R15" s="26">
        <v>7</v>
      </c>
      <c r="S15" s="26">
        <v>3</v>
      </c>
      <c r="T15" s="26">
        <v>0</v>
      </c>
      <c r="U15" s="16">
        <v>1</v>
      </c>
      <c r="V15" s="16">
        <v>13</v>
      </c>
      <c r="W15" s="16">
        <v>0</v>
      </c>
      <c r="X15" s="16">
        <v>0</v>
      </c>
      <c r="Y15" s="16">
        <v>0</v>
      </c>
      <c r="Z15" s="16">
        <v>0</v>
      </c>
      <c r="AA15" s="16">
        <v>17</v>
      </c>
      <c r="AB15" s="16">
        <v>4</v>
      </c>
      <c r="AC15" s="16">
        <v>7</v>
      </c>
      <c r="AD15" s="16">
        <v>31</v>
      </c>
      <c r="AE15" s="16">
        <v>7</v>
      </c>
      <c r="AF15" s="16">
        <v>0</v>
      </c>
      <c r="AG15" s="16">
        <v>25</v>
      </c>
      <c r="AH15" s="16">
        <v>0</v>
      </c>
      <c r="AI15" s="16">
        <v>0</v>
      </c>
      <c r="AJ15" s="16">
        <v>0</v>
      </c>
      <c r="AK15" s="98">
        <v>0</v>
      </c>
      <c r="AL15" s="16">
        <v>0</v>
      </c>
      <c r="AM15" s="16">
        <v>0</v>
      </c>
      <c r="AN15" s="16">
        <v>4</v>
      </c>
      <c r="AO15" s="16">
        <v>0</v>
      </c>
      <c r="AP15" s="16">
        <v>0</v>
      </c>
      <c r="AQ15" s="16">
        <v>0</v>
      </c>
      <c r="AR15" s="16">
        <v>2</v>
      </c>
      <c r="AS15" s="16">
        <v>27</v>
      </c>
      <c r="AT15" s="16">
        <v>0</v>
      </c>
      <c r="AU15" s="16">
        <v>22</v>
      </c>
      <c r="AV15" s="16">
        <v>1</v>
      </c>
      <c r="AW15" s="16">
        <v>0</v>
      </c>
      <c r="AX15" s="16">
        <v>1</v>
      </c>
      <c r="AY15" s="16">
        <v>1</v>
      </c>
      <c r="AZ15" s="16">
        <v>0</v>
      </c>
      <c r="BA15" s="16">
        <v>1</v>
      </c>
      <c r="BB15" s="16">
        <v>2</v>
      </c>
      <c r="BC15" s="16">
        <v>7</v>
      </c>
      <c r="BD15" s="16">
        <v>0</v>
      </c>
      <c r="BE15" s="16">
        <v>0</v>
      </c>
      <c r="BF15" s="16">
        <v>7</v>
      </c>
      <c r="BG15" s="16">
        <v>1</v>
      </c>
      <c r="BH15" s="16">
        <v>0</v>
      </c>
      <c r="BI15" s="16">
        <v>0</v>
      </c>
      <c r="BJ15" s="16">
        <v>49</v>
      </c>
      <c r="BK15" s="16">
        <v>21</v>
      </c>
      <c r="BL15" s="16">
        <v>1</v>
      </c>
      <c r="BM15" s="16">
        <v>0</v>
      </c>
      <c r="BN15" s="16">
        <v>0</v>
      </c>
      <c r="BO15" s="16">
        <f>37+3+0</f>
        <v>40</v>
      </c>
    </row>
    <row r="16" spans="1:69" s="5" customFormat="1" ht="21.9" customHeight="1" x14ac:dyDescent="0.25">
      <c r="A16" s="125" t="s">
        <v>283</v>
      </c>
      <c r="B16" s="4"/>
      <c r="C16" s="47" t="s">
        <v>75</v>
      </c>
      <c r="D16" s="48"/>
      <c r="E16" s="16">
        <f t="shared" si="0"/>
        <v>69275</v>
      </c>
      <c r="F16" s="16">
        <v>995</v>
      </c>
      <c r="G16" s="16">
        <v>1249</v>
      </c>
      <c r="H16" s="16">
        <v>1425</v>
      </c>
      <c r="I16" s="16">
        <v>3</v>
      </c>
      <c r="J16" s="16">
        <v>184</v>
      </c>
      <c r="K16" s="16">
        <v>33</v>
      </c>
      <c r="L16" s="16">
        <v>701</v>
      </c>
      <c r="M16" s="16">
        <v>956</v>
      </c>
      <c r="N16" s="16">
        <v>2</v>
      </c>
      <c r="O16" s="16">
        <v>215</v>
      </c>
      <c r="P16" s="16">
        <v>41</v>
      </c>
      <c r="Q16" s="16">
        <v>0</v>
      </c>
      <c r="R16" s="16">
        <v>354</v>
      </c>
      <c r="S16" s="16">
        <v>178</v>
      </c>
      <c r="T16" s="16">
        <v>108</v>
      </c>
      <c r="U16" s="16">
        <v>388</v>
      </c>
      <c r="V16" s="16">
        <v>1214</v>
      </c>
      <c r="W16" s="16">
        <v>71</v>
      </c>
      <c r="X16" s="16">
        <v>57</v>
      </c>
      <c r="Y16" s="16">
        <v>119</v>
      </c>
      <c r="Z16" s="16">
        <v>5839</v>
      </c>
      <c r="AA16" s="16">
        <v>272</v>
      </c>
      <c r="AB16" s="16">
        <v>44</v>
      </c>
      <c r="AC16" s="16">
        <v>366</v>
      </c>
      <c r="AD16" s="16">
        <v>18393</v>
      </c>
      <c r="AE16" s="16">
        <v>3824</v>
      </c>
      <c r="AF16" s="16">
        <v>0</v>
      </c>
      <c r="AG16" s="16">
        <v>1738</v>
      </c>
      <c r="AH16" s="16">
        <v>120</v>
      </c>
      <c r="AI16" s="16">
        <v>1</v>
      </c>
      <c r="AJ16" s="16">
        <v>183</v>
      </c>
      <c r="AK16" s="98">
        <v>41</v>
      </c>
      <c r="AL16" s="16">
        <v>0</v>
      </c>
      <c r="AM16" s="16">
        <v>142</v>
      </c>
      <c r="AN16" s="16">
        <v>107</v>
      </c>
      <c r="AO16" s="16">
        <v>13</v>
      </c>
      <c r="AP16" s="16">
        <v>2</v>
      </c>
      <c r="AQ16" s="16">
        <v>55</v>
      </c>
      <c r="AR16" s="16">
        <v>119</v>
      </c>
      <c r="AS16" s="16">
        <v>237</v>
      </c>
      <c r="AT16" s="16">
        <v>2158</v>
      </c>
      <c r="AU16" s="16">
        <v>13674</v>
      </c>
      <c r="AV16" s="16">
        <v>480</v>
      </c>
      <c r="AW16" s="16">
        <v>8</v>
      </c>
      <c r="AX16" s="16">
        <v>279</v>
      </c>
      <c r="AY16" s="16">
        <v>133</v>
      </c>
      <c r="AZ16" s="16">
        <v>34</v>
      </c>
      <c r="BA16" s="16">
        <v>21</v>
      </c>
      <c r="BB16" s="16">
        <v>40</v>
      </c>
      <c r="BC16" s="16">
        <v>114</v>
      </c>
      <c r="BD16" s="16">
        <v>25</v>
      </c>
      <c r="BE16" s="16">
        <v>358</v>
      </c>
      <c r="BF16" s="16">
        <v>322</v>
      </c>
      <c r="BG16" s="16">
        <v>689</v>
      </c>
      <c r="BH16" s="16">
        <v>297</v>
      </c>
      <c r="BI16" s="16">
        <f>361+1+1</f>
        <v>363</v>
      </c>
      <c r="BJ16" s="16">
        <v>8391</v>
      </c>
      <c r="BK16" s="16">
        <v>160</v>
      </c>
      <c r="BL16" s="16">
        <v>1629</v>
      </c>
      <c r="BM16" s="16">
        <v>29</v>
      </c>
      <c r="BN16" s="16">
        <v>0</v>
      </c>
      <c r="BO16" s="16">
        <v>282</v>
      </c>
    </row>
    <row r="17" spans="1:67" s="5" customFormat="1" ht="21.9" customHeight="1" x14ac:dyDescent="0.25">
      <c r="A17" s="125"/>
      <c r="B17" s="4"/>
      <c r="C17" s="47" t="s">
        <v>177</v>
      </c>
      <c r="D17" s="48"/>
      <c r="E17" s="16">
        <f t="shared" si="0"/>
        <v>299</v>
      </c>
      <c r="F17" s="26">
        <v>0</v>
      </c>
      <c r="G17" s="26">
        <v>1</v>
      </c>
      <c r="H17" s="26">
        <v>0</v>
      </c>
      <c r="I17" s="26">
        <v>0</v>
      </c>
      <c r="J17" s="26">
        <v>0</v>
      </c>
      <c r="K17" s="26">
        <v>2</v>
      </c>
      <c r="L17" s="26">
        <v>1</v>
      </c>
      <c r="M17" s="26">
        <v>0</v>
      </c>
      <c r="N17" s="26">
        <v>0</v>
      </c>
      <c r="O17" s="26">
        <v>0</v>
      </c>
      <c r="P17" s="26">
        <v>1</v>
      </c>
      <c r="Q17" s="26">
        <v>0</v>
      </c>
      <c r="R17" s="26">
        <v>10</v>
      </c>
      <c r="S17" s="26">
        <v>1</v>
      </c>
      <c r="T17" s="26">
        <v>0</v>
      </c>
      <c r="U17" s="16">
        <v>0</v>
      </c>
      <c r="V17" s="16">
        <v>17</v>
      </c>
      <c r="W17" s="16">
        <v>0</v>
      </c>
      <c r="X17" s="16">
        <v>0</v>
      </c>
      <c r="Y17" s="16">
        <v>1</v>
      </c>
      <c r="Z17" s="16">
        <v>2</v>
      </c>
      <c r="AA17" s="16">
        <v>18</v>
      </c>
      <c r="AB17" s="16">
        <v>2</v>
      </c>
      <c r="AC17" s="16">
        <v>3</v>
      </c>
      <c r="AD17" s="16">
        <v>10</v>
      </c>
      <c r="AE17" s="16">
        <v>7</v>
      </c>
      <c r="AF17" s="16">
        <v>0</v>
      </c>
      <c r="AG17" s="16">
        <v>121</v>
      </c>
      <c r="AH17" s="16">
        <v>0</v>
      </c>
      <c r="AI17" s="16">
        <v>0</v>
      </c>
      <c r="AJ17" s="16">
        <v>2</v>
      </c>
      <c r="AK17" s="98">
        <v>0</v>
      </c>
      <c r="AL17" s="16">
        <v>0</v>
      </c>
      <c r="AM17" s="16">
        <v>3</v>
      </c>
      <c r="AN17" s="16">
        <v>1</v>
      </c>
      <c r="AO17" s="16">
        <v>0</v>
      </c>
      <c r="AP17" s="16">
        <v>0</v>
      </c>
      <c r="AQ17" s="16">
        <v>0</v>
      </c>
      <c r="AR17" s="16">
        <v>0</v>
      </c>
      <c r="AS17" s="16">
        <v>27</v>
      </c>
      <c r="AT17" s="16">
        <v>0</v>
      </c>
      <c r="AU17" s="16">
        <v>37</v>
      </c>
      <c r="AV17" s="16">
        <v>0</v>
      </c>
      <c r="AW17" s="16">
        <v>0</v>
      </c>
      <c r="AX17" s="16">
        <v>1</v>
      </c>
      <c r="AY17" s="16">
        <v>0</v>
      </c>
      <c r="AZ17" s="16">
        <v>0</v>
      </c>
      <c r="BA17" s="16">
        <v>0</v>
      </c>
      <c r="BB17" s="16">
        <v>5</v>
      </c>
      <c r="BC17" s="16">
        <v>3</v>
      </c>
      <c r="BD17" s="16">
        <v>0</v>
      </c>
      <c r="BE17" s="16">
        <v>0</v>
      </c>
      <c r="BF17" s="16">
        <v>1</v>
      </c>
      <c r="BG17" s="16">
        <v>0</v>
      </c>
      <c r="BH17" s="16">
        <v>2</v>
      </c>
      <c r="BI17" s="16">
        <f>1+0+1</f>
        <v>2</v>
      </c>
      <c r="BJ17" s="16">
        <v>10</v>
      </c>
      <c r="BK17" s="16">
        <v>2</v>
      </c>
      <c r="BL17" s="16">
        <v>1</v>
      </c>
      <c r="BM17" s="16">
        <v>0</v>
      </c>
      <c r="BN17" s="16">
        <v>0</v>
      </c>
      <c r="BO17" s="16">
        <v>5</v>
      </c>
    </row>
    <row r="18" spans="1:67" s="5" customFormat="1" ht="21.9" customHeight="1" x14ac:dyDescent="0.25">
      <c r="A18" s="125" t="s">
        <v>176</v>
      </c>
      <c r="C18" s="47" t="s">
        <v>75</v>
      </c>
      <c r="D18" s="48"/>
      <c r="E18" s="16">
        <f t="shared" si="0"/>
        <v>52049</v>
      </c>
      <c r="F18" s="16">
        <v>536</v>
      </c>
      <c r="G18" s="16">
        <v>406</v>
      </c>
      <c r="H18" s="16">
        <v>198</v>
      </c>
      <c r="I18" s="16">
        <v>5</v>
      </c>
      <c r="J18" s="16">
        <v>56</v>
      </c>
      <c r="K18" s="16">
        <v>125</v>
      </c>
      <c r="L18" s="16">
        <v>1852</v>
      </c>
      <c r="M18" s="16">
        <v>927</v>
      </c>
      <c r="N18" s="16">
        <v>146</v>
      </c>
      <c r="O18" s="16">
        <v>219</v>
      </c>
      <c r="P18" s="16">
        <v>112</v>
      </c>
      <c r="Q18" s="16">
        <v>0</v>
      </c>
      <c r="R18" s="16">
        <v>522</v>
      </c>
      <c r="S18" s="16">
        <v>576</v>
      </c>
      <c r="T18" s="16">
        <v>1212</v>
      </c>
      <c r="U18" s="16">
        <v>584</v>
      </c>
      <c r="V18" s="16">
        <v>1299</v>
      </c>
      <c r="W18" s="16">
        <v>180</v>
      </c>
      <c r="X18" s="16">
        <v>179</v>
      </c>
      <c r="Y18" s="16">
        <v>164</v>
      </c>
      <c r="Z18" s="16">
        <v>2136</v>
      </c>
      <c r="AA18" s="16">
        <v>357</v>
      </c>
      <c r="AB18" s="16">
        <v>499</v>
      </c>
      <c r="AC18" s="16">
        <v>1118</v>
      </c>
      <c r="AD18" s="16">
        <v>10703</v>
      </c>
      <c r="AE18" s="16">
        <v>1685</v>
      </c>
      <c r="AF18" s="16">
        <v>0</v>
      </c>
      <c r="AG18" s="16">
        <v>7145</v>
      </c>
      <c r="AH18" s="16">
        <v>672</v>
      </c>
      <c r="AI18" s="16">
        <v>4</v>
      </c>
      <c r="AJ18" s="16">
        <v>575</v>
      </c>
      <c r="AK18" s="98">
        <v>107</v>
      </c>
      <c r="AL18" s="16">
        <v>0</v>
      </c>
      <c r="AM18" s="16">
        <v>805</v>
      </c>
      <c r="AN18" s="16">
        <v>364</v>
      </c>
      <c r="AO18" s="16">
        <v>11</v>
      </c>
      <c r="AP18" s="16">
        <v>1</v>
      </c>
      <c r="AQ18" s="16">
        <v>41</v>
      </c>
      <c r="AR18" s="16">
        <v>297</v>
      </c>
      <c r="AS18" s="16">
        <v>243</v>
      </c>
      <c r="AT18" s="16">
        <v>710</v>
      </c>
      <c r="AU18" s="16">
        <v>7229</v>
      </c>
      <c r="AV18" s="16">
        <v>1606</v>
      </c>
      <c r="AW18" s="16">
        <v>12</v>
      </c>
      <c r="AX18" s="16">
        <v>481</v>
      </c>
      <c r="AY18" s="16">
        <v>126</v>
      </c>
      <c r="AZ18" s="16">
        <v>36</v>
      </c>
      <c r="BA18" s="16">
        <v>168</v>
      </c>
      <c r="BB18" s="16">
        <v>71</v>
      </c>
      <c r="BC18" s="16">
        <v>33</v>
      </c>
      <c r="BD18" s="16">
        <v>14</v>
      </c>
      <c r="BE18" s="16">
        <v>420</v>
      </c>
      <c r="BF18" s="16">
        <v>584</v>
      </c>
      <c r="BG18" s="16">
        <v>889</v>
      </c>
      <c r="BH18" s="16">
        <v>108</v>
      </c>
      <c r="BI18" s="16">
        <f>99+11+10</f>
        <v>120</v>
      </c>
      <c r="BJ18" s="16">
        <v>1504</v>
      </c>
      <c r="BK18" s="16">
        <v>284</v>
      </c>
      <c r="BL18" s="16">
        <v>1469</v>
      </c>
      <c r="BM18" s="16">
        <v>10</v>
      </c>
      <c r="BN18" s="16">
        <v>0</v>
      </c>
      <c r="BO18" s="16">
        <f>99+8+7</f>
        <v>114</v>
      </c>
    </row>
    <row r="19" spans="1:67" s="5" customFormat="1" ht="21.9" customHeight="1" x14ac:dyDescent="0.25">
      <c r="A19" s="125"/>
      <c r="C19" s="47" t="s">
        <v>76</v>
      </c>
      <c r="D19" s="48"/>
      <c r="E19" s="16">
        <f t="shared" si="0"/>
        <v>350</v>
      </c>
      <c r="F19" s="26">
        <v>0</v>
      </c>
      <c r="G19" s="26">
        <v>0</v>
      </c>
      <c r="H19" s="26">
        <v>0</v>
      </c>
      <c r="I19" s="26">
        <v>1</v>
      </c>
      <c r="J19" s="26">
        <v>0</v>
      </c>
      <c r="K19" s="26">
        <v>0</v>
      </c>
      <c r="L19" s="26">
        <v>5</v>
      </c>
      <c r="M19" s="26">
        <v>12</v>
      </c>
      <c r="N19" s="26">
        <v>0</v>
      </c>
      <c r="O19" s="26">
        <v>3</v>
      </c>
      <c r="P19" s="26">
        <v>5</v>
      </c>
      <c r="Q19" s="26">
        <v>0</v>
      </c>
      <c r="R19" s="26">
        <v>1</v>
      </c>
      <c r="S19" s="26">
        <v>6</v>
      </c>
      <c r="T19" s="26">
        <v>0</v>
      </c>
      <c r="U19" s="16">
        <v>4</v>
      </c>
      <c r="V19" s="16">
        <v>15</v>
      </c>
      <c r="W19" s="16">
        <v>0</v>
      </c>
      <c r="X19" s="16">
        <v>0</v>
      </c>
      <c r="Y19" s="16">
        <v>1</v>
      </c>
      <c r="Z19" s="16">
        <v>0</v>
      </c>
      <c r="AA19" s="16">
        <v>2</v>
      </c>
      <c r="AB19" s="16">
        <v>2</v>
      </c>
      <c r="AC19" s="16">
        <v>6</v>
      </c>
      <c r="AD19" s="16">
        <v>16</v>
      </c>
      <c r="AE19" s="16">
        <v>11</v>
      </c>
      <c r="AF19" s="16">
        <v>0</v>
      </c>
      <c r="AG19" s="16">
        <v>38</v>
      </c>
      <c r="AH19" s="16">
        <v>0</v>
      </c>
      <c r="AI19" s="16">
        <v>0</v>
      </c>
      <c r="AJ19" s="16">
        <v>9</v>
      </c>
      <c r="AK19" s="98">
        <v>2</v>
      </c>
      <c r="AL19" s="16">
        <v>0</v>
      </c>
      <c r="AM19" s="16">
        <v>16</v>
      </c>
      <c r="AN19" s="16">
        <v>5</v>
      </c>
      <c r="AO19" s="16">
        <v>0</v>
      </c>
      <c r="AP19" s="16">
        <v>0</v>
      </c>
      <c r="AQ19" s="16">
        <v>0</v>
      </c>
      <c r="AR19" s="16">
        <v>10</v>
      </c>
      <c r="AS19" s="16">
        <v>20</v>
      </c>
      <c r="AT19" s="16">
        <v>8</v>
      </c>
      <c r="AU19" s="16">
        <v>32</v>
      </c>
      <c r="AV19" s="16">
        <v>18</v>
      </c>
      <c r="AW19" s="16">
        <v>1</v>
      </c>
      <c r="AX19" s="16">
        <v>3</v>
      </c>
      <c r="AY19" s="16">
        <v>1</v>
      </c>
      <c r="AZ19" s="16">
        <v>3</v>
      </c>
      <c r="BA19" s="16">
        <v>2</v>
      </c>
      <c r="BB19" s="16">
        <v>2</v>
      </c>
      <c r="BC19" s="16">
        <v>1</v>
      </c>
      <c r="BD19" s="16">
        <v>0</v>
      </c>
      <c r="BE19" s="16">
        <v>0</v>
      </c>
      <c r="BF19" s="16">
        <v>16</v>
      </c>
      <c r="BG19" s="16">
        <v>16</v>
      </c>
      <c r="BH19" s="16">
        <v>1</v>
      </c>
      <c r="BI19" s="16">
        <f>0+0+5</f>
        <v>5</v>
      </c>
      <c r="BJ19" s="16">
        <v>11</v>
      </c>
      <c r="BK19" s="16">
        <v>30</v>
      </c>
      <c r="BL19" s="16">
        <v>1</v>
      </c>
      <c r="BM19" s="16">
        <v>0</v>
      </c>
      <c r="BN19" s="16">
        <v>0</v>
      </c>
      <c r="BO19" s="16">
        <f>3+2+4</f>
        <v>9</v>
      </c>
    </row>
    <row r="20" spans="1:67" s="5" customFormat="1" ht="21.9" customHeight="1" x14ac:dyDescent="0.25">
      <c r="A20" s="125" t="s">
        <v>77</v>
      </c>
      <c r="B20" s="4"/>
      <c r="C20" s="47" t="s">
        <v>227</v>
      </c>
      <c r="D20" s="48"/>
      <c r="E20" s="16">
        <f t="shared" si="0"/>
        <v>38227</v>
      </c>
      <c r="F20" s="16">
        <v>348</v>
      </c>
      <c r="G20" s="16">
        <v>160</v>
      </c>
      <c r="H20" s="16">
        <v>111</v>
      </c>
      <c r="I20" s="16">
        <v>35</v>
      </c>
      <c r="J20" s="16">
        <v>94</v>
      </c>
      <c r="K20" s="16">
        <v>330</v>
      </c>
      <c r="L20" s="16">
        <v>584</v>
      </c>
      <c r="M20" s="16">
        <v>905</v>
      </c>
      <c r="N20" s="16">
        <v>46</v>
      </c>
      <c r="O20" s="16">
        <v>215</v>
      </c>
      <c r="P20" s="16">
        <v>174</v>
      </c>
      <c r="Q20" s="16">
        <v>0</v>
      </c>
      <c r="R20" s="16">
        <v>494</v>
      </c>
      <c r="S20" s="16">
        <v>950</v>
      </c>
      <c r="T20" s="16">
        <v>155</v>
      </c>
      <c r="U20" s="16">
        <v>542</v>
      </c>
      <c r="V20" s="16">
        <v>1303</v>
      </c>
      <c r="W20" s="16">
        <v>46</v>
      </c>
      <c r="X20" s="16">
        <v>132</v>
      </c>
      <c r="Y20" s="16">
        <v>298</v>
      </c>
      <c r="Z20" s="16">
        <v>1278</v>
      </c>
      <c r="AA20" s="16">
        <v>450</v>
      </c>
      <c r="AB20" s="16">
        <v>224</v>
      </c>
      <c r="AC20" s="16">
        <v>1202</v>
      </c>
      <c r="AD20" s="16">
        <v>7124</v>
      </c>
      <c r="AE20" s="16">
        <v>4043</v>
      </c>
      <c r="AF20" s="16">
        <v>0</v>
      </c>
      <c r="AG20" s="16">
        <v>1823</v>
      </c>
      <c r="AH20" s="16">
        <v>228</v>
      </c>
      <c r="AI20" s="16">
        <v>5</v>
      </c>
      <c r="AJ20" s="16">
        <v>679</v>
      </c>
      <c r="AK20" s="98">
        <v>229</v>
      </c>
      <c r="AL20" s="16">
        <v>0</v>
      </c>
      <c r="AM20" s="16">
        <v>666</v>
      </c>
      <c r="AN20" s="16">
        <v>194</v>
      </c>
      <c r="AO20" s="16">
        <v>55</v>
      </c>
      <c r="AP20" s="16">
        <v>17</v>
      </c>
      <c r="AQ20" s="16">
        <v>20</v>
      </c>
      <c r="AR20" s="16">
        <v>1112</v>
      </c>
      <c r="AS20" s="16">
        <v>509</v>
      </c>
      <c r="AT20" s="16">
        <v>587</v>
      </c>
      <c r="AU20" s="16">
        <v>2981</v>
      </c>
      <c r="AV20" s="16">
        <v>722</v>
      </c>
      <c r="AW20" s="16">
        <v>7</v>
      </c>
      <c r="AX20" s="16">
        <v>336</v>
      </c>
      <c r="AY20" s="16">
        <v>115</v>
      </c>
      <c r="AZ20" s="16">
        <v>11</v>
      </c>
      <c r="BA20" s="16">
        <v>59</v>
      </c>
      <c r="BB20" s="16">
        <v>52</v>
      </c>
      <c r="BC20" s="16">
        <v>22</v>
      </c>
      <c r="BD20" s="16">
        <v>0</v>
      </c>
      <c r="BE20" s="16">
        <v>380</v>
      </c>
      <c r="BF20" s="16">
        <v>591</v>
      </c>
      <c r="BG20" s="16">
        <v>662</v>
      </c>
      <c r="BH20" s="16">
        <v>876</v>
      </c>
      <c r="BI20" s="16">
        <v>71</v>
      </c>
      <c r="BJ20" s="16">
        <v>328</v>
      </c>
      <c r="BK20" s="16">
        <v>767</v>
      </c>
      <c r="BL20" s="16">
        <v>528</v>
      </c>
      <c r="BM20" s="16">
        <v>0</v>
      </c>
      <c r="BN20" s="16">
        <v>0</v>
      </c>
      <c r="BO20" s="16">
        <f>2331+20+1</f>
        <v>2352</v>
      </c>
    </row>
    <row r="21" spans="1:67" s="5" customFormat="1" ht="21.9" customHeight="1" x14ac:dyDescent="0.25">
      <c r="A21" s="125"/>
      <c r="B21" s="4"/>
      <c r="C21" s="47" t="s">
        <v>76</v>
      </c>
      <c r="D21" s="48"/>
      <c r="E21" s="16">
        <f t="shared" si="0"/>
        <v>235</v>
      </c>
      <c r="F21" s="16">
        <v>0</v>
      </c>
      <c r="G21" s="16">
        <v>0</v>
      </c>
      <c r="H21" s="16">
        <v>0</v>
      </c>
      <c r="I21" s="16">
        <v>0</v>
      </c>
      <c r="J21" s="16">
        <v>0</v>
      </c>
      <c r="K21" s="16">
        <v>0</v>
      </c>
      <c r="L21" s="16">
        <v>0</v>
      </c>
      <c r="M21" s="16">
        <v>3</v>
      </c>
      <c r="N21" s="16">
        <v>0</v>
      </c>
      <c r="O21" s="16">
        <v>1</v>
      </c>
      <c r="P21" s="16">
        <v>0</v>
      </c>
      <c r="Q21" s="16">
        <v>0</v>
      </c>
      <c r="R21" s="16">
        <v>2</v>
      </c>
      <c r="S21" s="16">
        <v>2</v>
      </c>
      <c r="T21" s="16">
        <v>0</v>
      </c>
      <c r="U21" s="16">
        <v>0</v>
      </c>
      <c r="V21" s="16">
        <v>10</v>
      </c>
      <c r="W21" s="16">
        <v>0</v>
      </c>
      <c r="X21" s="16">
        <v>0</v>
      </c>
      <c r="Y21" s="16">
        <v>0</v>
      </c>
      <c r="Z21" s="16">
        <v>1</v>
      </c>
      <c r="AA21" s="16">
        <v>3</v>
      </c>
      <c r="AB21" s="16">
        <v>6</v>
      </c>
      <c r="AC21" s="16">
        <v>0</v>
      </c>
      <c r="AD21" s="16">
        <v>13</v>
      </c>
      <c r="AE21" s="16">
        <v>0</v>
      </c>
      <c r="AF21" s="16">
        <v>0</v>
      </c>
      <c r="AG21" s="16">
        <v>33</v>
      </c>
      <c r="AH21" s="16">
        <v>0</v>
      </c>
      <c r="AI21" s="16">
        <v>0</v>
      </c>
      <c r="AJ21" s="16">
        <v>3</v>
      </c>
      <c r="AK21" s="98">
        <v>0</v>
      </c>
      <c r="AL21" s="16">
        <v>0</v>
      </c>
      <c r="AM21" s="16">
        <v>8</v>
      </c>
      <c r="AN21" s="16">
        <v>3</v>
      </c>
      <c r="AO21" s="16">
        <v>0</v>
      </c>
      <c r="AP21" s="16">
        <v>0</v>
      </c>
      <c r="AQ21" s="16">
        <v>0</v>
      </c>
      <c r="AR21" s="16">
        <v>1</v>
      </c>
      <c r="AS21" s="16">
        <v>49</v>
      </c>
      <c r="AT21" s="16">
        <v>0</v>
      </c>
      <c r="AU21" s="16">
        <v>14</v>
      </c>
      <c r="AV21" s="16">
        <v>0</v>
      </c>
      <c r="AW21" s="16">
        <v>0</v>
      </c>
      <c r="AX21" s="16">
        <v>0</v>
      </c>
      <c r="AY21" s="16">
        <v>0</v>
      </c>
      <c r="AZ21" s="16">
        <v>0</v>
      </c>
      <c r="BA21" s="16">
        <v>1</v>
      </c>
      <c r="BB21" s="16">
        <v>0</v>
      </c>
      <c r="BC21" s="16">
        <v>1</v>
      </c>
      <c r="BD21" s="16">
        <v>0</v>
      </c>
      <c r="BE21" s="16">
        <v>1</v>
      </c>
      <c r="BF21" s="16">
        <v>2</v>
      </c>
      <c r="BG21" s="16">
        <v>3</v>
      </c>
      <c r="BH21" s="16">
        <v>1</v>
      </c>
      <c r="BI21" s="16">
        <v>0</v>
      </c>
      <c r="BJ21" s="16">
        <v>12</v>
      </c>
      <c r="BK21" s="16">
        <v>58</v>
      </c>
      <c r="BL21" s="16">
        <v>2</v>
      </c>
      <c r="BM21" s="16">
        <v>0</v>
      </c>
      <c r="BN21" s="16">
        <v>0</v>
      </c>
      <c r="BO21" s="16">
        <f>1+1+0</f>
        <v>2</v>
      </c>
    </row>
    <row r="22" spans="1:67" s="5" customFormat="1" ht="21.9" customHeight="1" x14ac:dyDescent="0.25">
      <c r="A22" s="125" t="s">
        <v>79</v>
      </c>
      <c r="B22" s="4"/>
      <c r="C22" s="47" t="s">
        <v>75</v>
      </c>
      <c r="D22" s="48"/>
      <c r="E22" s="16">
        <f t="shared" si="0"/>
        <v>32459</v>
      </c>
      <c r="F22" s="16">
        <v>790</v>
      </c>
      <c r="G22" s="16">
        <v>183</v>
      </c>
      <c r="H22" s="16">
        <v>67</v>
      </c>
      <c r="I22" s="16">
        <v>34</v>
      </c>
      <c r="J22" s="16">
        <v>41</v>
      </c>
      <c r="K22" s="16">
        <v>651</v>
      </c>
      <c r="L22" s="16">
        <v>712</v>
      </c>
      <c r="M22" s="16">
        <v>514</v>
      </c>
      <c r="N22" s="16">
        <v>39</v>
      </c>
      <c r="O22" s="16">
        <v>201</v>
      </c>
      <c r="P22" s="16">
        <v>97</v>
      </c>
      <c r="Q22" s="16">
        <v>0</v>
      </c>
      <c r="R22" s="16">
        <v>283</v>
      </c>
      <c r="S22" s="16">
        <v>327</v>
      </c>
      <c r="T22" s="16">
        <v>36</v>
      </c>
      <c r="U22" s="16">
        <v>411</v>
      </c>
      <c r="V22" s="16">
        <v>1202</v>
      </c>
      <c r="W22" s="16">
        <v>10</v>
      </c>
      <c r="X22" s="16">
        <v>22</v>
      </c>
      <c r="Y22" s="16">
        <v>170</v>
      </c>
      <c r="Z22" s="16">
        <v>693</v>
      </c>
      <c r="AA22" s="16">
        <v>248</v>
      </c>
      <c r="AB22" s="16">
        <v>123</v>
      </c>
      <c r="AC22" s="16">
        <v>1157</v>
      </c>
      <c r="AD22" s="16">
        <v>7082</v>
      </c>
      <c r="AE22" s="16">
        <v>2012</v>
      </c>
      <c r="AF22" s="16">
        <v>0</v>
      </c>
      <c r="AG22" s="16">
        <v>3313</v>
      </c>
      <c r="AH22" s="16">
        <v>190</v>
      </c>
      <c r="AI22" s="16">
        <v>5</v>
      </c>
      <c r="AJ22" s="16">
        <v>531</v>
      </c>
      <c r="AK22" s="98">
        <v>102</v>
      </c>
      <c r="AL22" s="16">
        <v>0</v>
      </c>
      <c r="AM22" s="16">
        <v>514</v>
      </c>
      <c r="AN22" s="16">
        <v>270</v>
      </c>
      <c r="AO22" s="16">
        <v>2</v>
      </c>
      <c r="AP22" s="16">
        <v>2</v>
      </c>
      <c r="AQ22" s="16">
        <f>11+1+1</f>
        <v>13</v>
      </c>
      <c r="AR22" s="16">
        <v>251</v>
      </c>
      <c r="AS22" s="16">
        <v>320</v>
      </c>
      <c r="AT22" s="16">
        <v>119</v>
      </c>
      <c r="AU22" s="16">
        <v>2756</v>
      </c>
      <c r="AV22" s="16">
        <v>605</v>
      </c>
      <c r="AW22" s="16">
        <v>2</v>
      </c>
      <c r="AX22" s="16">
        <v>801</v>
      </c>
      <c r="AY22" s="16">
        <v>84</v>
      </c>
      <c r="AZ22" s="16">
        <v>331</v>
      </c>
      <c r="BA22" s="16">
        <v>254</v>
      </c>
      <c r="BB22" s="16">
        <v>115</v>
      </c>
      <c r="BC22" s="16">
        <v>76</v>
      </c>
      <c r="BD22" s="16">
        <v>67</v>
      </c>
      <c r="BE22" s="16">
        <v>532</v>
      </c>
      <c r="BF22" s="16">
        <v>707</v>
      </c>
      <c r="BG22" s="16">
        <v>795</v>
      </c>
      <c r="BH22" s="16">
        <v>111</v>
      </c>
      <c r="BI22" s="16">
        <f>25+27+28</f>
        <v>80</v>
      </c>
      <c r="BJ22" s="16">
        <v>1118</v>
      </c>
      <c r="BK22" s="16">
        <v>204</v>
      </c>
      <c r="BL22" s="16">
        <v>561</v>
      </c>
      <c r="BM22" s="16">
        <v>0</v>
      </c>
      <c r="BN22" s="16">
        <v>0</v>
      </c>
      <c r="BO22" s="16">
        <f>474+25+24</f>
        <v>523</v>
      </c>
    </row>
    <row r="23" spans="1:67" s="5" customFormat="1" ht="21.9" customHeight="1" x14ac:dyDescent="0.25">
      <c r="A23" s="125"/>
      <c r="B23" s="4"/>
      <c r="C23" s="47" t="s">
        <v>76</v>
      </c>
      <c r="D23" s="48"/>
      <c r="E23" s="16">
        <f t="shared" si="0"/>
        <v>212</v>
      </c>
      <c r="F23" s="16">
        <v>0</v>
      </c>
      <c r="G23" s="16">
        <v>0</v>
      </c>
      <c r="H23" s="16">
        <v>0</v>
      </c>
      <c r="I23" s="16">
        <v>0</v>
      </c>
      <c r="J23" s="16">
        <v>0</v>
      </c>
      <c r="K23" s="16">
        <v>0</v>
      </c>
      <c r="L23" s="16">
        <v>1</v>
      </c>
      <c r="M23" s="16">
        <v>1</v>
      </c>
      <c r="N23" s="16">
        <v>1</v>
      </c>
      <c r="O23" s="16">
        <v>2</v>
      </c>
      <c r="P23" s="16">
        <v>0</v>
      </c>
      <c r="Q23" s="16">
        <v>0</v>
      </c>
      <c r="R23" s="16">
        <v>3</v>
      </c>
      <c r="S23" s="16">
        <v>3</v>
      </c>
      <c r="T23" s="16">
        <v>0</v>
      </c>
      <c r="U23" s="16">
        <v>1</v>
      </c>
      <c r="V23" s="16">
        <v>14</v>
      </c>
      <c r="W23" s="16">
        <v>0</v>
      </c>
      <c r="X23" s="16">
        <v>0</v>
      </c>
      <c r="Y23" s="16">
        <v>2</v>
      </c>
      <c r="Z23" s="16">
        <v>7</v>
      </c>
      <c r="AA23" s="16">
        <v>7</v>
      </c>
      <c r="AB23" s="16">
        <v>0</v>
      </c>
      <c r="AC23" s="16">
        <v>1</v>
      </c>
      <c r="AD23" s="16">
        <v>21</v>
      </c>
      <c r="AE23" s="16">
        <v>6</v>
      </c>
      <c r="AF23" s="16">
        <v>0</v>
      </c>
      <c r="AG23" s="16">
        <v>10</v>
      </c>
      <c r="AH23" s="16">
        <v>1</v>
      </c>
      <c r="AI23" s="16">
        <v>0</v>
      </c>
      <c r="AJ23" s="16">
        <v>1</v>
      </c>
      <c r="AK23" s="98">
        <v>0</v>
      </c>
      <c r="AL23" s="16">
        <v>0</v>
      </c>
      <c r="AM23" s="16">
        <v>6</v>
      </c>
      <c r="AN23" s="16">
        <v>6</v>
      </c>
      <c r="AO23" s="16">
        <v>0</v>
      </c>
      <c r="AP23" s="16">
        <v>0</v>
      </c>
      <c r="AQ23" s="16">
        <v>0</v>
      </c>
      <c r="AR23" s="16">
        <v>0</v>
      </c>
      <c r="AS23" s="16">
        <v>23</v>
      </c>
      <c r="AT23" s="16">
        <v>0</v>
      </c>
      <c r="AU23" s="16">
        <v>40</v>
      </c>
      <c r="AV23" s="16">
        <v>1</v>
      </c>
      <c r="AW23" s="16">
        <v>0</v>
      </c>
      <c r="AX23" s="16">
        <v>0</v>
      </c>
      <c r="AY23" s="16">
        <v>1</v>
      </c>
      <c r="AZ23" s="16">
        <v>4</v>
      </c>
      <c r="BA23" s="16">
        <v>0</v>
      </c>
      <c r="BB23" s="16">
        <v>0</v>
      </c>
      <c r="BC23" s="16">
        <v>0</v>
      </c>
      <c r="BD23" s="16">
        <v>0</v>
      </c>
      <c r="BE23" s="16">
        <v>2</v>
      </c>
      <c r="BF23" s="16">
        <v>1</v>
      </c>
      <c r="BG23" s="16">
        <v>0</v>
      </c>
      <c r="BH23" s="16">
        <v>0</v>
      </c>
      <c r="BI23" s="16">
        <f>0+0+7</f>
        <v>7</v>
      </c>
      <c r="BJ23" s="16">
        <v>15</v>
      </c>
      <c r="BK23" s="16">
        <v>17</v>
      </c>
      <c r="BL23" s="16">
        <v>1</v>
      </c>
      <c r="BM23" s="16">
        <v>0</v>
      </c>
      <c r="BN23" s="16">
        <v>0</v>
      </c>
      <c r="BO23" s="16">
        <f>0+0+6</f>
        <v>6</v>
      </c>
    </row>
    <row r="24" spans="1:67" s="5" customFormat="1" ht="21.9" customHeight="1" x14ac:dyDescent="0.25">
      <c r="A24" s="125" t="s">
        <v>280</v>
      </c>
      <c r="B24" s="4"/>
      <c r="C24" s="47" t="s">
        <v>75</v>
      </c>
      <c r="D24" s="48"/>
      <c r="E24" s="16">
        <f t="shared" si="0"/>
        <v>54851</v>
      </c>
      <c r="F24" s="16">
        <v>778</v>
      </c>
      <c r="G24" s="16">
        <v>265</v>
      </c>
      <c r="H24" s="16">
        <v>131</v>
      </c>
      <c r="I24" s="16">
        <v>105</v>
      </c>
      <c r="J24" s="16">
        <v>272</v>
      </c>
      <c r="K24" s="16">
        <v>316</v>
      </c>
      <c r="L24" s="16">
        <v>1621</v>
      </c>
      <c r="M24" s="16">
        <v>1118</v>
      </c>
      <c r="N24" s="16">
        <v>326</v>
      </c>
      <c r="O24" s="16">
        <v>882</v>
      </c>
      <c r="P24" s="16">
        <v>306</v>
      </c>
      <c r="Q24" s="16">
        <v>1</v>
      </c>
      <c r="R24" s="16">
        <v>923</v>
      </c>
      <c r="S24" s="16">
        <v>662</v>
      </c>
      <c r="T24" s="16">
        <v>459</v>
      </c>
      <c r="U24" s="16">
        <v>533</v>
      </c>
      <c r="V24" s="16">
        <v>2175</v>
      </c>
      <c r="W24" s="16">
        <v>221</v>
      </c>
      <c r="X24" s="16">
        <v>78</v>
      </c>
      <c r="Y24" s="16">
        <v>232</v>
      </c>
      <c r="Z24" s="16">
        <v>2301</v>
      </c>
      <c r="AA24" s="16">
        <v>507</v>
      </c>
      <c r="AB24" s="16">
        <v>212</v>
      </c>
      <c r="AC24" s="16">
        <v>1150</v>
      </c>
      <c r="AD24" s="16">
        <v>7352</v>
      </c>
      <c r="AE24" s="16">
        <v>4039</v>
      </c>
      <c r="AF24" s="16">
        <v>0</v>
      </c>
      <c r="AG24" s="16">
        <v>4509</v>
      </c>
      <c r="AH24" s="16">
        <v>379</v>
      </c>
      <c r="AI24" s="16">
        <v>36</v>
      </c>
      <c r="AJ24" s="16">
        <v>1302</v>
      </c>
      <c r="AK24" s="98">
        <v>158</v>
      </c>
      <c r="AL24" s="16">
        <v>0</v>
      </c>
      <c r="AM24" s="16">
        <v>693</v>
      </c>
      <c r="AN24" s="16">
        <v>606</v>
      </c>
      <c r="AO24" s="16">
        <v>7</v>
      </c>
      <c r="AP24" s="16">
        <f>17+2+2</f>
        <v>21</v>
      </c>
      <c r="AQ24" s="16">
        <v>11</v>
      </c>
      <c r="AR24" s="16">
        <v>263</v>
      </c>
      <c r="AS24" s="16">
        <v>755</v>
      </c>
      <c r="AT24" s="16">
        <v>983</v>
      </c>
      <c r="AU24" s="16">
        <v>5407</v>
      </c>
      <c r="AV24" s="16">
        <v>1138</v>
      </c>
      <c r="AW24" s="16">
        <v>51</v>
      </c>
      <c r="AX24" s="16">
        <v>1547</v>
      </c>
      <c r="AY24" s="16">
        <v>189</v>
      </c>
      <c r="AZ24" s="16">
        <v>133</v>
      </c>
      <c r="BA24" s="16">
        <v>131</v>
      </c>
      <c r="BB24" s="16">
        <v>213</v>
      </c>
      <c r="BC24" s="16">
        <v>147</v>
      </c>
      <c r="BD24" s="16">
        <v>83</v>
      </c>
      <c r="BE24" s="16">
        <v>1602</v>
      </c>
      <c r="BF24" s="16">
        <v>1872</v>
      </c>
      <c r="BG24" s="16">
        <v>1673</v>
      </c>
      <c r="BH24" s="16">
        <v>438</v>
      </c>
      <c r="BI24" s="16">
        <f>13+1+1</f>
        <v>15</v>
      </c>
      <c r="BJ24" s="16">
        <v>1105</v>
      </c>
      <c r="BK24" s="16">
        <v>885</v>
      </c>
      <c r="BL24" s="16">
        <v>1208</v>
      </c>
      <c r="BM24" s="16">
        <v>6</v>
      </c>
      <c r="BN24" s="16">
        <v>0</v>
      </c>
      <c r="BO24" s="16">
        <f>318+2+0</f>
        <v>320</v>
      </c>
    </row>
    <row r="25" spans="1:67" s="5" customFormat="1" ht="21.9" customHeight="1" x14ac:dyDescent="0.25">
      <c r="A25" s="125"/>
      <c r="B25" s="4"/>
      <c r="C25" s="47" t="s">
        <v>243</v>
      </c>
      <c r="D25" s="48"/>
      <c r="E25" s="16">
        <f t="shared" si="0"/>
        <v>207</v>
      </c>
      <c r="F25" s="16">
        <v>0</v>
      </c>
      <c r="G25" s="16">
        <v>0</v>
      </c>
      <c r="H25" s="16">
        <v>0</v>
      </c>
      <c r="I25" s="16">
        <v>0</v>
      </c>
      <c r="J25" s="16">
        <v>0</v>
      </c>
      <c r="K25" s="16">
        <v>0</v>
      </c>
      <c r="L25" s="16">
        <v>0</v>
      </c>
      <c r="M25" s="16">
        <v>0</v>
      </c>
      <c r="N25" s="16">
        <v>0</v>
      </c>
      <c r="O25" s="16">
        <v>0</v>
      </c>
      <c r="P25" s="16">
        <v>0</v>
      </c>
      <c r="Q25" s="16">
        <v>0</v>
      </c>
      <c r="R25" s="16">
        <v>2</v>
      </c>
      <c r="S25" s="16">
        <v>5</v>
      </c>
      <c r="T25" s="16">
        <v>0</v>
      </c>
      <c r="U25" s="16">
        <v>4</v>
      </c>
      <c r="V25" s="16">
        <v>3</v>
      </c>
      <c r="W25" s="16">
        <v>0</v>
      </c>
      <c r="X25" s="16">
        <v>0</v>
      </c>
      <c r="Y25" s="16">
        <v>1</v>
      </c>
      <c r="Z25" s="16">
        <v>0</v>
      </c>
      <c r="AA25" s="16">
        <v>9</v>
      </c>
      <c r="AB25" s="16">
        <v>2</v>
      </c>
      <c r="AC25" s="16">
        <v>7</v>
      </c>
      <c r="AD25" s="16">
        <v>6</v>
      </c>
      <c r="AE25" s="16">
        <v>8</v>
      </c>
      <c r="AF25" s="16">
        <v>0</v>
      </c>
      <c r="AG25" s="16">
        <v>41</v>
      </c>
      <c r="AH25" s="16">
        <v>0</v>
      </c>
      <c r="AI25" s="16">
        <v>0</v>
      </c>
      <c r="AJ25" s="16">
        <v>2</v>
      </c>
      <c r="AK25" s="98">
        <v>0</v>
      </c>
      <c r="AL25" s="16">
        <v>0</v>
      </c>
      <c r="AM25" s="16">
        <v>8</v>
      </c>
      <c r="AN25" s="16">
        <v>3</v>
      </c>
      <c r="AO25" s="16">
        <v>0</v>
      </c>
      <c r="AP25" s="16">
        <f>0+0+2</f>
        <v>2</v>
      </c>
      <c r="AQ25" s="16">
        <v>1</v>
      </c>
      <c r="AR25" s="16">
        <v>2</v>
      </c>
      <c r="AS25" s="16">
        <v>13</v>
      </c>
      <c r="AT25" s="16">
        <v>0</v>
      </c>
      <c r="AU25" s="16">
        <v>14</v>
      </c>
      <c r="AV25" s="16">
        <v>0</v>
      </c>
      <c r="AW25" s="16">
        <v>0</v>
      </c>
      <c r="AX25" s="16">
        <v>0</v>
      </c>
      <c r="AY25" s="16">
        <v>0</v>
      </c>
      <c r="AZ25" s="16">
        <v>0</v>
      </c>
      <c r="BA25" s="16">
        <v>1</v>
      </c>
      <c r="BB25" s="16">
        <v>40</v>
      </c>
      <c r="BC25" s="16">
        <v>2</v>
      </c>
      <c r="BD25" s="16">
        <v>1</v>
      </c>
      <c r="BE25" s="16">
        <v>2</v>
      </c>
      <c r="BF25" s="16">
        <v>0</v>
      </c>
      <c r="BG25" s="16">
        <v>1</v>
      </c>
      <c r="BH25" s="16">
        <v>6</v>
      </c>
      <c r="BI25" s="16">
        <f>0+0+1</f>
        <v>1</v>
      </c>
      <c r="BJ25" s="16">
        <v>9</v>
      </c>
      <c r="BK25" s="16">
        <v>5</v>
      </c>
      <c r="BL25" s="16">
        <v>1</v>
      </c>
      <c r="BM25" s="16">
        <v>0</v>
      </c>
      <c r="BN25" s="16">
        <v>0</v>
      </c>
      <c r="BO25" s="16">
        <v>5</v>
      </c>
    </row>
    <row r="26" spans="1:67" s="5" customFormat="1" ht="21.9" customHeight="1" x14ac:dyDescent="0.25">
      <c r="A26" s="125" t="s">
        <v>345</v>
      </c>
      <c r="B26" s="4"/>
      <c r="C26" s="47" t="s">
        <v>75</v>
      </c>
      <c r="D26" s="48"/>
      <c r="E26" s="16">
        <f t="shared" si="0"/>
        <v>12916</v>
      </c>
      <c r="F26" s="16">
        <v>44</v>
      </c>
      <c r="G26" s="16">
        <v>68</v>
      </c>
      <c r="H26" s="16">
        <v>12</v>
      </c>
      <c r="I26" s="16">
        <v>5</v>
      </c>
      <c r="J26" s="16">
        <v>13</v>
      </c>
      <c r="K26" s="16">
        <v>28</v>
      </c>
      <c r="L26" s="16">
        <v>396</v>
      </c>
      <c r="M26" s="16">
        <v>306</v>
      </c>
      <c r="N26" s="16">
        <v>6</v>
      </c>
      <c r="O26" s="16">
        <v>103</v>
      </c>
      <c r="P26" s="16">
        <v>98</v>
      </c>
      <c r="Q26" s="16">
        <v>0</v>
      </c>
      <c r="R26" s="16">
        <v>139</v>
      </c>
      <c r="S26" s="16">
        <v>266</v>
      </c>
      <c r="T26" s="16">
        <v>47</v>
      </c>
      <c r="U26" s="16">
        <v>138</v>
      </c>
      <c r="V26" s="16">
        <v>486</v>
      </c>
      <c r="W26" s="16">
        <v>28</v>
      </c>
      <c r="X26" s="16">
        <v>29</v>
      </c>
      <c r="Y26" s="16">
        <v>100</v>
      </c>
      <c r="Z26" s="16">
        <v>285</v>
      </c>
      <c r="AA26" s="16">
        <v>205</v>
      </c>
      <c r="AB26" s="16">
        <v>122</v>
      </c>
      <c r="AC26" s="16">
        <v>191</v>
      </c>
      <c r="AD26" s="16">
        <v>1981</v>
      </c>
      <c r="AE26" s="16">
        <v>1001</v>
      </c>
      <c r="AF26" s="16">
        <v>0</v>
      </c>
      <c r="AG26" s="16">
        <v>1272</v>
      </c>
      <c r="AH26" s="16">
        <v>41</v>
      </c>
      <c r="AI26" s="16">
        <v>4</v>
      </c>
      <c r="AJ26" s="16">
        <v>328</v>
      </c>
      <c r="AK26" s="98">
        <v>61</v>
      </c>
      <c r="AL26" s="16">
        <v>0</v>
      </c>
      <c r="AM26" s="16">
        <v>612</v>
      </c>
      <c r="AN26" s="16">
        <v>290</v>
      </c>
      <c r="AO26" s="16">
        <v>0</v>
      </c>
      <c r="AP26" s="16">
        <v>1</v>
      </c>
      <c r="AQ26" s="16">
        <f>9+2+0</f>
        <v>11</v>
      </c>
      <c r="AR26" s="16">
        <v>186</v>
      </c>
      <c r="AS26" s="16">
        <v>158</v>
      </c>
      <c r="AT26" s="16">
        <v>82</v>
      </c>
      <c r="AU26" s="16">
        <v>1010</v>
      </c>
      <c r="AV26" s="16">
        <v>85</v>
      </c>
      <c r="AW26" s="16">
        <v>1</v>
      </c>
      <c r="AX26" s="16">
        <v>214</v>
      </c>
      <c r="AY26" s="16">
        <v>25</v>
      </c>
      <c r="AZ26" s="16">
        <f>58+34+3</f>
        <v>95</v>
      </c>
      <c r="BA26" s="16">
        <v>44</v>
      </c>
      <c r="BB26" s="16">
        <v>28</v>
      </c>
      <c r="BC26" s="16">
        <v>51</v>
      </c>
      <c r="BD26" s="16">
        <v>0</v>
      </c>
      <c r="BE26" s="16">
        <v>197</v>
      </c>
      <c r="BF26" s="16">
        <v>367</v>
      </c>
      <c r="BG26" s="16">
        <v>295</v>
      </c>
      <c r="BH26" s="16">
        <v>70</v>
      </c>
      <c r="BI26" s="16">
        <f>15+548+0</f>
        <v>563</v>
      </c>
      <c r="BJ26" s="16">
        <v>388</v>
      </c>
      <c r="BK26" s="16">
        <v>147</v>
      </c>
      <c r="BL26" s="16">
        <v>140</v>
      </c>
      <c r="BM26" s="16">
        <v>9</v>
      </c>
      <c r="BN26" s="16">
        <v>0</v>
      </c>
      <c r="BO26" s="16">
        <f>39+5+0</f>
        <v>44</v>
      </c>
    </row>
    <row r="27" spans="1:67" s="5" customFormat="1" ht="21.9" customHeight="1" x14ac:dyDescent="0.25">
      <c r="A27" s="125"/>
      <c r="B27" s="4"/>
      <c r="C27" s="47" t="s">
        <v>76</v>
      </c>
      <c r="D27" s="48"/>
      <c r="E27" s="16">
        <f t="shared" si="0"/>
        <v>105</v>
      </c>
      <c r="F27" s="26">
        <v>0</v>
      </c>
      <c r="G27" s="26">
        <v>0</v>
      </c>
      <c r="H27" s="26">
        <v>0</v>
      </c>
      <c r="I27" s="26">
        <v>0</v>
      </c>
      <c r="J27" s="26">
        <v>0</v>
      </c>
      <c r="K27" s="26">
        <v>0</v>
      </c>
      <c r="L27" s="26">
        <v>0</v>
      </c>
      <c r="M27" s="26">
        <v>3</v>
      </c>
      <c r="N27" s="26">
        <v>0</v>
      </c>
      <c r="O27" s="26">
        <v>0</v>
      </c>
      <c r="P27" s="26">
        <v>0</v>
      </c>
      <c r="Q27" s="26">
        <v>0</v>
      </c>
      <c r="R27" s="26">
        <v>1</v>
      </c>
      <c r="S27" s="26">
        <v>0</v>
      </c>
      <c r="T27" s="26">
        <v>2</v>
      </c>
      <c r="U27" s="16">
        <v>1</v>
      </c>
      <c r="V27" s="16">
        <v>4</v>
      </c>
      <c r="W27" s="16">
        <v>0</v>
      </c>
      <c r="X27" s="16">
        <v>0</v>
      </c>
      <c r="Y27" s="16">
        <v>0</v>
      </c>
      <c r="Z27" s="16">
        <v>0</v>
      </c>
      <c r="AA27" s="16">
        <v>1</v>
      </c>
      <c r="AB27" s="16">
        <v>4</v>
      </c>
      <c r="AC27" s="16">
        <v>0</v>
      </c>
      <c r="AD27" s="16">
        <v>23</v>
      </c>
      <c r="AE27" s="16">
        <v>0</v>
      </c>
      <c r="AF27" s="16">
        <v>0</v>
      </c>
      <c r="AG27" s="16">
        <v>25</v>
      </c>
      <c r="AH27" s="16">
        <v>0</v>
      </c>
      <c r="AI27" s="16">
        <v>0</v>
      </c>
      <c r="AJ27" s="16">
        <v>0</v>
      </c>
      <c r="AK27" s="98">
        <v>0</v>
      </c>
      <c r="AL27" s="16">
        <v>0</v>
      </c>
      <c r="AM27" s="16">
        <v>8</v>
      </c>
      <c r="AN27" s="16">
        <v>6</v>
      </c>
      <c r="AO27" s="16">
        <v>0</v>
      </c>
      <c r="AP27" s="16">
        <v>0</v>
      </c>
      <c r="AQ27" s="16">
        <v>0</v>
      </c>
      <c r="AR27" s="16">
        <v>0</v>
      </c>
      <c r="AS27" s="16">
        <v>13</v>
      </c>
      <c r="AT27" s="16">
        <v>0</v>
      </c>
      <c r="AU27" s="16">
        <v>5</v>
      </c>
      <c r="AV27" s="16">
        <v>0</v>
      </c>
      <c r="AW27" s="16">
        <v>0</v>
      </c>
      <c r="AX27" s="16">
        <v>0</v>
      </c>
      <c r="AY27" s="16">
        <v>0</v>
      </c>
      <c r="AZ27" s="16">
        <v>2</v>
      </c>
      <c r="BA27" s="16">
        <v>2</v>
      </c>
      <c r="BB27" s="16">
        <v>0</v>
      </c>
      <c r="BC27" s="16">
        <v>0</v>
      </c>
      <c r="BD27" s="16">
        <v>0</v>
      </c>
      <c r="BE27" s="16">
        <v>0</v>
      </c>
      <c r="BF27" s="16">
        <v>0</v>
      </c>
      <c r="BG27" s="16">
        <v>0</v>
      </c>
      <c r="BH27" s="16">
        <v>0</v>
      </c>
      <c r="BI27" s="16">
        <v>0</v>
      </c>
      <c r="BJ27" s="16">
        <v>5</v>
      </c>
      <c r="BK27" s="16">
        <v>0</v>
      </c>
      <c r="BL27" s="16">
        <v>0</v>
      </c>
      <c r="BM27" s="16">
        <v>0</v>
      </c>
      <c r="BN27" s="16">
        <v>0</v>
      </c>
      <c r="BO27" s="16">
        <v>0</v>
      </c>
    </row>
    <row r="28" spans="1:67" s="5" customFormat="1" ht="21.9" customHeight="1" x14ac:dyDescent="0.25">
      <c r="A28" s="125" t="s">
        <v>82</v>
      </c>
      <c r="B28" s="4"/>
      <c r="C28" s="47" t="s">
        <v>75</v>
      </c>
      <c r="D28" s="48"/>
      <c r="E28" s="16">
        <f t="shared" si="0"/>
        <v>2369</v>
      </c>
      <c r="F28" s="16">
        <v>3</v>
      </c>
      <c r="G28" s="16">
        <v>0</v>
      </c>
      <c r="H28" s="16">
        <v>15</v>
      </c>
      <c r="I28" s="16">
        <v>3</v>
      </c>
      <c r="J28" s="16">
        <v>0</v>
      </c>
      <c r="K28" s="16">
        <v>1</v>
      </c>
      <c r="L28" s="16">
        <v>224</v>
      </c>
      <c r="M28" s="16">
        <v>84</v>
      </c>
      <c r="N28" s="16">
        <v>5</v>
      </c>
      <c r="O28" s="16">
        <v>47</v>
      </c>
      <c r="P28" s="16">
        <v>11</v>
      </c>
      <c r="Q28" s="16">
        <v>0</v>
      </c>
      <c r="R28" s="16">
        <v>49</v>
      </c>
      <c r="S28" s="16">
        <v>46</v>
      </c>
      <c r="T28" s="16">
        <v>0</v>
      </c>
      <c r="U28" s="16">
        <v>28</v>
      </c>
      <c r="V28" s="16">
        <v>192</v>
      </c>
      <c r="W28" s="16">
        <v>1</v>
      </c>
      <c r="X28" s="16">
        <v>2</v>
      </c>
      <c r="Y28" s="16">
        <v>36</v>
      </c>
      <c r="Z28" s="16">
        <v>16</v>
      </c>
      <c r="AA28" s="16">
        <v>15</v>
      </c>
      <c r="AB28" s="16">
        <v>20</v>
      </c>
      <c r="AC28" s="16">
        <v>43</v>
      </c>
      <c r="AD28" s="16">
        <v>292</v>
      </c>
      <c r="AE28" s="16">
        <v>42</v>
      </c>
      <c r="AF28" s="16">
        <v>0</v>
      </c>
      <c r="AG28" s="16">
        <v>368</v>
      </c>
      <c r="AH28" s="16">
        <v>2</v>
      </c>
      <c r="AI28" s="16">
        <v>1</v>
      </c>
      <c r="AJ28" s="16">
        <v>98</v>
      </c>
      <c r="AK28" s="98">
        <v>10</v>
      </c>
      <c r="AL28" s="16">
        <v>0</v>
      </c>
      <c r="AM28" s="16">
        <v>76</v>
      </c>
      <c r="AN28" s="16">
        <v>26</v>
      </c>
      <c r="AO28" s="16">
        <v>0</v>
      </c>
      <c r="AP28" s="16">
        <v>0</v>
      </c>
      <c r="AQ28" s="16">
        <f>10+0+5</f>
        <v>15</v>
      </c>
      <c r="AR28" s="16">
        <v>61</v>
      </c>
      <c r="AS28" s="16">
        <v>42</v>
      </c>
      <c r="AT28" s="16">
        <v>3</v>
      </c>
      <c r="AU28" s="16">
        <v>68</v>
      </c>
      <c r="AV28" s="16">
        <v>57</v>
      </c>
      <c r="AW28" s="16">
        <v>0</v>
      </c>
      <c r="AX28" s="16">
        <v>9</v>
      </c>
      <c r="AY28" s="16">
        <v>5</v>
      </c>
      <c r="AZ28" s="16">
        <v>2</v>
      </c>
      <c r="BA28" s="16">
        <v>2</v>
      </c>
      <c r="BB28" s="16">
        <v>13</v>
      </c>
      <c r="BC28" s="16">
        <v>1</v>
      </c>
      <c r="BD28" s="16">
        <v>9</v>
      </c>
      <c r="BE28" s="16">
        <v>16</v>
      </c>
      <c r="BF28" s="16">
        <v>18</v>
      </c>
      <c r="BG28" s="16">
        <v>13</v>
      </c>
      <c r="BH28" s="16">
        <v>0</v>
      </c>
      <c r="BI28" s="16">
        <f>5+5+5</f>
        <v>15</v>
      </c>
      <c r="BJ28" s="16">
        <v>157</v>
      </c>
      <c r="BK28" s="16">
        <v>86</v>
      </c>
      <c r="BL28" s="16">
        <v>8</v>
      </c>
      <c r="BM28" s="16">
        <v>0</v>
      </c>
      <c r="BN28" s="16">
        <v>0</v>
      </c>
      <c r="BO28" s="16">
        <f>1+6+6</f>
        <v>13</v>
      </c>
    </row>
    <row r="29" spans="1:67" s="5" customFormat="1" ht="21.9" customHeight="1" x14ac:dyDescent="0.25">
      <c r="A29" s="125"/>
      <c r="B29" s="4"/>
      <c r="C29" s="47" t="s">
        <v>76</v>
      </c>
      <c r="D29" s="48"/>
      <c r="E29" s="16">
        <f t="shared" si="0"/>
        <v>47</v>
      </c>
      <c r="F29" s="26">
        <v>0</v>
      </c>
      <c r="G29" s="26">
        <v>0</v>
      </c>
      <c r="H29" s="26">
        <v>0</v>
      </c>
      <c r="I29" s="26">
        <v>0</v>
      </c>
      <c r="J29" s="26">
        <v>0</v>
      </c>
      <c r="K29" s="26">
        <v>0</v>
      </c>
      <c r="L29" s="26">
        <v>1</v>
      </c>
      <c r="M29" s="26">
        <v>0</v>
      </c>
      <c r="N29" s="26">
        <v>0</v>
      </c>
      <c r="O29" s="26">
        <v>0</v>
      </c>
      <c r="P29" s="26">
        <v>0</v>
      </c>
      <c r="Q29" s="26">
        <v>0</v>
      </c>
      <c r="R29" s="26">
        <v>0</v>
      </c>
      <c r="S29" s="26">
        <v>0</v>
      </c>
      <c r="T29" s="26">
        <v>0</v>
      </c>
      <c r="U29" s="16">
        <v>2</v>
      </c>
      <c r="V29" s="16">
        <v>1</v>
      </c>
      <c r="W29" s="16">
        <v>0</v>
      </c>
      <c r="X29" s="16">
        <v>0</v>
      </c>
      <c r="Y29" s="16">
        <v>0</v>
      </c>
      <c r="Z29" s="16">
        <v>0</v>
      </c>
      <c r="AA29" s="16">
        <v>0</v>
      </c>
      <c r="AB29" s="16">
        <v>4</v>
      </c>
      <c r="AC29" s="16">
        <v>0</v>
      </c>
      <c r="AD29" s="16">
        <v>0</v>
      </c>
      <c r="AE29" s="16">
        <v>0</v>
      </c>
      <c r="AF29" s="16">
        <v>0</v>
      </c>
      <c r="AG29" s="16">
        <v>23</v>
      </c>
      <c r="AH29" s="16">
        <v>0</v>
      </c>
      <c r="AI29" s="16">
        <v>0</v>
      </c>
      <c r="AJ29" s="16">
        <v>0</v>
      </c>
      <c r="AK29" s="98">
        <v>0</v>
      </c>
      <c r="AL29" s="16">
        <v>0</v>
      </c>
      <c r="AM29" s="16">
        <v>1</v>
      </c>
      <c r="AN29" s="16">
        <v>1</v>
      </c>
      <c r="AO29" s="16">
        <v>0</v>
      </c>
      <c r="AP29" s="16">
        <v>0</v>
      </c>
      <c r="AQ29" s="16">
        <v>0</v>
      </c>
      <c r="AR29" s="16">
        <v>0</v>
      </c>
      <c r="AS29" s="16">
        <v>4</v>
      </c>
      <c r="AT29" s="16">
        <v>0</v>
      </c>
      <c r="AU29" s="16">
        <v>3</v>
      </c>
      <c r="AV29" s="16">
        <v>6</v>
      </c>
      <c r="AW29" s="16">
        <v>0</v>
      </c>
      <c r="AX29" s="16">
        <v>0</v>
      </c>
      <c r="AY29" s="16">
        <v>0</v>
      </c>
      <c r="AZ29" s="16">
        <v>0</v>
      </c>
      <c r="BA29" s="16">
        <v>0</v>
      </c>
      <c r="BB29" s="16">
        <v>0</v>
      </c>
      <c r="BC29" s="16">
        <v>0</v>
      </c>
      <c r="BD29" s="16">
        <v>0</v>
      </c>
      <c r="BE29" s="16">
        <v>0</v>
      </c>
      <c r="BF29" s="16">
        <v>0</v>
      </c>
      <c r="BG29" s="16">
        <v>0</v>
      </c>
      <c r="BH29" s="16">
        <v>0</v>
      </c>
      <c r="BI29" s="16">
        <v>0</v>
      </c>
      <c r="BJ29" s="16">
        <v>0</v>
      </c>
      <c r="BK29" s="16">
        <v>1</v>
      </c>
      <c r="BL29" s="16">
        <v>0</v>
      </c>
      <c r="BM29" s="16">
        <v>0</v>
      </c>
      <c r="BN29" s="16">
        <v>0</v>
      </c>
      <c r="BO29" s="16">
        <v>0</v>
      </c>
    </row>
    <row r="30" spans="1:67" s="5" customFormat="1" ht="21.9" customHeight="1" x14ac:dyDescent="0.25">
      <c r="A30" s="125" t="s">
        <v>83</v>
      </c>
      <c r="B30" s="4"/>
      <c r="C30" s="47" t="s">
        <v>75</v>
      </c>
      <c r="D30" s="48"/>
      <c r="E30" s="16">
        <f t="shared" si="0"/>
        <v>1989</v>
      </c>
      <c r="F30" s="16">
        <v>17</v>
      </c>
      <c r="G30" s="16">
        <v>0</v>
      </c>
      <c r="H30" s="16">
        <v>0</v>
      </c>
      <c r="I30" s="16">
        <v>0</v>
      </c>
      <c r="J30" s="16">
        <v>0</v>
      </c>
      <c r="K30" s="16">
        <v>14</v>
      </c>
      <c r="L30" s="16">
        <v>102</v>
      </c>
      <c r="M30" s="16">
        <v>39</v>
      </c>
      <c r="N30" s="16">
        <v>0</v>
      </c>
      <c r="O30" s="16">
        <v>39</v>
      </c>
      <c r="P30" s="16">
        <v>15</v>
      </c>
      <c r="Q30" s="16">
        <v>0</v>
      </c>
      <c r="R30" s="16">
        <v>48</v>
      </c>
      <c r="S30" s="16">
        <v>28</v>
      </c>
      <c r="T30" s="16">
        <v>4</v>
      </c>
      <c r="U30" s="16">
        <v>27</v>
      </c>
      <c r="V30" s="16">
        <v>92</v>
      </c>
      <c r="W30" s="16">
        <v>3</v>
      </c>
      <c r="X30" s="16">
        <v>2</v>
      </c>
      <c r="Y30" s="16">
        <v>35</v>
      </c>
      <c r="Z30" s="16">
        <v>8</v>
      </c>
      <c r="AA30" s="16">
        <v>8</v>
      </c>
      <c r="AB30" s="16">
        <v>31</v>
      </c>
      <c r="AC30" s="16">
        <v>37</v>
      </c>
      <c r="AD30" s="16">
        <v>167</v>
      </c>
      <c r="AE30" s="16">
        <v>37</v>
      </c>
      <c r="AF30" s="16">
        <v>0</v>
      </c>
      <c r="AG30" s="16">
        <v>287</v>
      </c>
      <c r="AH30" s="16">
        <v>0</v>
      </c>
      <c r="AI30" s="16">
        <v>0</v>
      </c>
      <c r="AJ30" s="16">
        <v>91</v>
      </c>
      <c r="AK30" s="98">
        <v>6</v>
      </c>
      <c r="AL30" s="16">
        <v>0</v>
      </c>
      <c r="AM30" s="16">
        <v>207</v>
      </c>
      <c r="AN30" s="16">
        <v>21</v>
      </c>
      <c r="AO30" s="16">
        <v>0</v>
      </c>
      <c r="AP30" s="16">
        <v>0</v>
      </c>
      <c r="AQ30" s="16">
        <v>0</v>
      </c>
      <c r="AR30" s="16">
        <v>0</v>
      </c>
      <c r="AS30" s="16">
        <v>50</v>
      </c>
      <c r="AT30" s="16">
        <v>8</v>
      </c>
      <c r="AU30" s="16">
        <v>33</v>
      </c>
      <c r="AV30" s="16">
        <v>106</v>
      </c>
      <c r="AW30" s="16">
        <v>1</v>
      </c>
      <c r="AX30" s="16">
        <v>4</v>
      </c>
      <c r="AY30" s="16">
        <v>5</v>
      </c>
      <c r="AZ30" s="16">
        <f>30+14+0</f>
        <v>44</v>
      </c>
      <c r="BA30" s="16">
        <v>32</v>
      </c>
      <c r="BB30" s="16">
        <v>18</v>
      </c>
      <c r="BC30" s="16">
        <v>2</v>
      </c>
      <c r="BD30" s="16">
        <v>0</v>
      </c>
      <c r="BE30" s="16">
        <v>33</v>
      </c>
      <c r="BF30" s="16">
        <v>88</v>
      </c>
      <c r="BG30" s="16">
        <v>9</v>
      </c>
      <c r="BH30" s="16">
        <v>3</v>
      </c>
      <c r="BI30" s="16">
        <v>0</v>
      </c>
      <c r="BJ30" s="16">
        <v>45</v>
      </c>
      <c r="BK30" s="16">
        <v>125</v>
      </c>
      <c r="BL30" s="16">
        <v>8</v>
      </c>
      <c r="BM30" s="16">
        <v>0</v>
      </c>
      <c r="BN30" s="16">
        <v>0</v>
      </c>
      <c r="BO30" s="16">
        <v>10</v>
      </c>
    </row>
    <row r="31" spans="1:67" s="5" customFormat="1" ht="21.9" customHeight="1" x14ac:dyDescent="0.25">
      <c r="A31" s="125"/>
      <c r="B31" s="4"/>
      <c r="C31" s="47" t="s">
        <v>76</v>
      </c>
      <c r="D31" s="48"/>
      <c r="E31" s="16">
        <f t="shared" si="0"/>
        <v>18</v>
      </c>
      <c r="F31" s="26">
        <v>0</v>
      </c>
      <c r="G31" s="26">
        <v>0</v>
      </c>
      <c r="H31" s="26">
        <v>0</v>
      </c>
      <c r="I31" s="26">
        <v>0</v>
      </c>
      <c r="J31" s="26">
        <v>0</v>
      </c>
      <c r="K31" s="26">
        <v>0</v>
      </c>
      <c r="L31" s="26">
        <v>0</v>
      </c>
      <c r="M31" s="26">
        <v>0</v>
      </c>
      <c r="N31" s="26">
        <v>0</v>
      </c>
      <c r="O31" s="26">
        <v>0</v>
      </c>
      <c r="P31" s="26">
        <v>0</v>
      </c>
      <c r="Q31" s="26">
        <v>0</v>
      </c>
      <c r="R31" s="26">
        <v>0</v>
      </c>
      <c r="S31" s="26">
        <v>0</v>
      </c>
      <c r="T31" s="26">
        <v>0</v>
      </c>
      <c r="U31" s="16">
        <v>0</v>
      </c>
      <c r="V31" s="16">
        <v>0</v>
      </c>
      <c r="W31" s="16">
        <v>0</v>
      </c>
      <c r="X31" s="16">
        <v>0</v>
      </c>
      <c r="Y31" s="16">
        <v>0</v>
      </c>
      <c r="Z31" s="16">
        <v>0</v>
      </c>
      <c r="AA31" s="16">
        <v>0</v>
      </c>
      <c r="AB31" s="16">
        <v>1</v>
      </c>
      <c r="AC31" s="16">
        <v>0</v>
      </c>
      <c r="AD31" s="16">
        <v>0</v>
      </c>
      <c r="AE31" s="16">
        <v>0</v>
      </c>
      <c r="AF31" s="16">
        <v>0</v>
      </c>
      <c r="AG31" s="16">
        <v>13</v>
      </c>
      <c r="AH31" s="16">
        <v>0</v>
      </c>
      <c r="AI31" s="16">
        <v>0</v>
      </c>
      <c r="AJ31" s="16">
        <v>0</v>
      </c>
      <c r="AK31" s="98">
        <v>0</v>
      </c>
      <c r="AL31" s="16">
        <v>0</v>
      </c>
      <c r="AM31" s="16">
        <v>0</v>
      </c>
      <c r="AN31" s="16">
        <v>0</v>
      </c>
      <c r="AO31" s="16">
        <v>0</v>
      </c>
      <c r="AP31" s="16">
        <v>0</v>
      </c>
      <c r="AQ31" s="16">
        <v>0</v>
      </c>
      <c r="AR31" s="16">
        <v>0</v>
      </c>
      <c r="AS31" s="16">
        <v>0</v>
      </c>
      <c r="AT31" s="16">
        <v>0</v>
      </c>
      <c r="AU31" s="16">
        <v>1</v>
      </c>
      <c r="AV31" s="16">
        <v>1</v>
      </c>
      <c r="AW31" s="16">
        <v>0</v>
      </c>
      <c r="AX31" s="16">
        <v>0</v>
      </c>
      <c r="AY31" s="16">
        <v>0</v>
      </c>
      <c r="AZ31" s="16">
        <v>0</v>
      </c>
      <c r="BA31" s="16">
        <v>0</v>
      </c>
      <c r="BB31" s="16">
        <v>0</v>
      </c>
      <c r="BC31" s="16">
        <v>0</v>
      </c>
      <c r="BD31" s="16">
        <v>0</v>
      </c>
      <c r="BE31" s="16">
        <v>0</v>
      </c>
      <c r="BF31" s="16">
        <v>0</v>
      </c>
      <c r="BG31" s="16">
        <v>0</v>
      </c>
      <c r="BH31" s="16">
        <v>0</v>
      </c>
      <c r="BI31" s="16">
        <v>0</v>
      </c>
      <c r="BJ31" s="16">
        <v>1</v>
      </c>
      <c r="BK31" s="16">
        <v>1</v>
      </c>
      <c r="BL31" s="16">
        <v>0</v>
      </c>
      <c r="BM31" s="16">
        <v>0</v>
      </c>
      <c r="BN31" s="16">
        <v>0</v>
      </c>
      <c r="BO31" s="16">
        <v>0</v>
      </c>
    </row>
    <row r="32" spans="1:67" s="5" customFormat="1" ht="21.9" customHeight="1" x14ac:dyDescent="0.25">
      <c r="A32" s="125" t="s">
        <v>84</v>
      </c>
      <c r="B32" s="4"/>
      <c r="C32" s="47" t="s">
        <v>75</v>
      </c>
      <c r="D32" s="48"/>
      <c r="E32" s="16">
        <f t="shared" si="0"/>
        <v>37031</v>
      </c>
      <c r="F32" s="16">
        <v>201</v>
      </c>
      <c r="G32" s="16">
        <v>96</v>
      </c>
      <c r="H32" s="16">
        <v>11</v>
      </c>
      <c r="I32" s="16">
        <v>4</v>
      </c>
      <c r="J32" s="16">
        <v>34</v>
      </c>
      <c r="K32" s="16">
        <v>99</v>
      </c>
      <c r="L32" s="16">
        <v>2546</v>
      </c>
      <c r="M32" s="16">
        <v>1323</v>
      </c>
      <c r="N32" s="16">
        <v>14</v>
      </c>
      <c r="O32" s="16">
        <v>845</v>
      </c>
      <c r="P32" s="16">
        <v>413</v>
      </c>
      <c r="Q32" s="16">
        <v>0</v>
      </c>
      <c r="R32" s="16">
        <v>757</v>
      </c>
      <c r="S32" s="16">
        <v>433</v>
      </c>
      <c r="T32" s="16">
        <v>100</v>
      </c>
      <c r="U32" s="16">
        <v>595</v>
      </c>
      <c r="V32" s="16">
        <v>2363</v>
      </c>
      <c r="W32" s="16">
        <v>48</v>
      </c>
      <c r="X32" s="16">
        <v>89</v>
      </c>
      <c r="Y32" s="16">
        <v>253</v>
      </c>
      <c r="Z32" s="16">
        <v>987</v>
      </c>
      <c r="AA32" s="16">
        <v>323</v>
      </c>
      <c r="AB32" s="16">
        <v>250</v>
      </c>
      <c r="AC32" s="16">
        <v>775</v>
      </c>
      <c r="AD32" s="16">
        <v>1948</v>
      </c>
      <c r="AE32" s="16">
        <v>1315</v>
      </c>
      <c r="AF32" s="16">
        <v>0</v>
      </c>
      <c r="AG32" s="16">
        <v>2515</v>
      </c>
      <c r="AH32" s="16">
        <v>327</v>
      </c>
      <c r="AI32" s="16">
        <v>16</v>
      </c>
      <c r="AJ32" s="16">
        <v>403</v>
      </c>
      <c r="AK32" s="98">
        <v>34</v>
      </c>
      <c r="AL32" s="16">
        <v>0</v>
      </c>
      <c r="AM32" s="16">
        <v>892</v>
      </c>
      <c r="AN32" s="16">
        <v>162</v>
      </c>
      <c r="AO32" s="16">
        <f>176+91+0</f>
        <v>267</v>
      </c>
      <c r="AP32" s="16">
        <f>26+22+0</f>
        <v>48</v>
      </c>
      <c r="AQ32" s="16">
        <f>138+61+0</f>
        <v>199</v>
      </c>
      <c r="AR32" s="16">
        <v>262</v>
      </c>
      <c r="AS32" s="16">
        <v>672</v>
      </c>
      <c r="AT32" s="16">
        <v>112</v>
      </c>
      <c r="AU32" s="16">
        <v>2793</v>
      </c>
      <c r="AV32" s="16">
        <v>745</v>
      </c>
      <c r="AW32" s="16">
        <v>72</v>
      </c>
      <c r="AX32" s="16">
        <v>1762</v>
      </c>
      <c r="AY32" s="16">
        <v>349</v>
      </c>
      <c r="AZ32" s="16">
        <f>935+515+0</f>
        <v>1450</v>
      </c>
      <c r="BA32" s="16">
        <v>1522</v>
      </c>
      <c r="BB32" s="16">
        <v>234</v>
      </c>
      <c r="BC32" s="16">
        <v>144</v>
      </c>
      <c r="BD32" s="16">
        <v>194</v>
      </c>
      <c r="BE32" s="16">
        <v>687</v>
      </c>
      <c r="BF32" s="16">
        <v>578</v>
      </c>
      <c r="BG32" s="16">
        <v>622</v>
      </c>
      <c r="BH32" s="16">
        <v>965</v>
      </c>
      <c r="BI32" s="16">
        <f>365+200+0</f>
        <v>565</v>
      </c>
      <c r="BJ32" s="16">
        <v>1762</v>
      </c>
      <c r="BK32" s="16">
        <v>180</v>
      </c>
      <c r="BL32" s="16">
        <v>417</v>
      </c>
      <c r="BM32" s="16">
        <v>0</v>
      </c>
      <c r="BN32" s="16">
        <v>0</v>
      </c>
      <c r="BO32" s="16">
        <f>5+254+0</f>
        <v>259</v>
      </c>
    </row>
    <row r="33" spans="1:67" s="5" customFormat="1" ht="21.9" customHeight="1" x14ac:dyDescent="0.25">
      <c r="A33" s="125"/>
      <c r="B33" s="4"/>
      <c r="C33" s="47" t="s">
        <v>76</v>
      </c>
      <c r="D33" s="48"/>
      <c r="E33" s="16">
        <f t="shared" si="0"/>
        <v>195</v>
      </c>
      <c r="F33" s="26">
        <v>0</v>
      </c>
      <c r="G33" s="26">
        <v>0</v>
      </c>
      <c r="H33" s="26">
        <v>0</v>
      </c>
      <c r="I33" s="26">
        <v>0</v>
      </c>
      <c r="J33" s="26">
        <v>0</v>
      </c>
      <c r="K33" s="26">
        <v>0</v>
      </c>
      <c r="L33" s="26">
        <v>0</v>
      </c>
      <c r="M33" s="26">
        <v>4</v>
      </c>
      <c r="N33" s="26">
        <v>0</v>
      </c>
      <c r="O33" s="26">
        <v>1</v>
      </c>
      <c r="P33" s="26">
        <v>1</v>
      </c>
      <c r="Q33" s="26">
        <v>0</v>
      </c>
      <c r="R33" s="26">
        <v>2</v>
      </c>
      <c r="S33" s="26">
        <v>5</v>
      </c>
      <c r="T33" s="26">
        <v>1</v>
      </c>
      <c r="U33" s="26">
        <v>1</v>
      </c>
      <c r="V33" s="26">
        <v>6</v>
      </c>
      <c r="W33" s="26">
        <v>0</v>
      </c>
      <c r="X33" s="26">
        <v>0</v>
      </c>
      <c r="Y33" s="26">
        <v>1</v>
      </c>
      <c r="Z33" s="26">
        <v>3</v>
      </c>
      <c r="AA33" s="26">
        <v>0</v>
      </c>
      <c r="AB33" s="26">
        <v>4</v>
      </c>
      <c r="AC33" s="26">
        <v>6</v>
      </c>
      <c r="AD33" s="26">
        <v>7</v>
      </c>
      <c r="AE33" s="26">
        <v>7</v>
      </c>
      <c r="AF33" s="26">
        <v>0</v>
      </c>
      <c r="AG33" s="26">
        <v>31</v>
      </c>
      <c r="AH33" s="26">
        <v>0</v>
      </c>
      <c r="AI33" s="26">
        <v>0</v>
      </c>
      <c r="AJ33" s="26">
        <v>1</v>
      </c>
      <c r="AK33" s="98">
        <v>0</v>
      </c>
      <c r="AL33" s="16">
        <v>0</v>
      </c>
      <c r="AM33" s="16">
        <v>13</v>
      </c>
      <c r="AN33" s="16">
        <v>2</v>
      </c>
      <c r="AO33" s="16">
        <v>0</v>
      </c>
      <c r="AP33" s="16">
        <v>0</v>
      </c>
      <c r="AQ33" s="16">
        <v>0</v>
      </c>
      <c r="AR33" s="16">
        <v>2</v>
      </c>
      <c r="AS33" s="16">
        <v>2</v>
      </c>
      <c r="AT33" s="16">
        <v>0</v>
      </c>
      <c r="AU33" s="16">
        <v>8</v>
      </c>
      <c r="AV33" s="16">
        <v>42</v>
      </c>
      <c r="AW33" s="16">
        <v>0</v>
      </c>
      <c r="AX33" s="16">
        <v>1</v>
      </c>
      <c r="AY33" s="16">
        <v>0</v>
      </c>
      <c r="AZ33" s="16">
        <v>1</v>
      </c>
      <c r="BA33" s="16">
        <v>0</v>
      </c>
      <c r="BB33" s="16">
        <v>8</v>
      </c>
      <c r="BC33" s="16">
        <v>0</v>
      </c>
      <c r="BD33" s="16">
        <v>0</v>
      </c>
      <c r="BE33" s="16">
        <v>1</v>
      </c>
      <c r="BF33" s="16">
        <v>8</v>
      </c>
      <c r="BG33" s="16">
        <v>2</v>
      </c>
      <c r="BH33" s="16">
        <v>5</v>
      </c>
      <c r="BI33" s="16">
        <v>0</v>
      </c>
      <c r="BJ33" s="16">
        <v>1</v>
      </c>
      <c r="BK33" s="16">
        <v>17</v>
      </c>
      <c r="BL33" s="16">
        <v>1</v>
      </c>
      <c r="BM33" s="16">
        <v>0</v>
      </c>
      <c r="BN33" s="16">
        <v>0</v>
      </c>
      <c r="BO33" s="16">
        <v>0</v>
      </c>
    </row>
    <row r="34" spans="1:67" s="5" customFormat="1" ht="21.9" customHeight="1" x14ac:dyDescent="0.25">
      <c r="A34" s="125" t="s">
        <v>85</v>
      </c>
      <c r="C34" s="47" t="s">
        <v>75</v>
      </c>
      <c r="D34" s="48"/>
      <c r="E34" s="16">
        <f t="shared" si="0"/>
        <v>15019</v>
      </c>
      <c r="F34" s="16">
        <v>92</v>
      </c>
      <c r="G34" s="16">
        <v>46</v>
      </c>
      <c r="H34" s="16">
        <v>14</v>
      </c>
      <c r="I34" s="16">
        <v>6</v>
      </c>
      <c r="J34" s="16">
        <v>1</v>
      </c>
      <c r="K34" s="16">
        <v>34</v>
      </c>
      <c r="L34" s="26">
        <v>430</v>
      </c>
      <c r="M34" s="26">
        <v>501</v>
      </c>
      <c r="N34" s="26">
        <v>25</v>
      </c>
      <c r="O34" s="26">
        <v>152</v>
      </c>
      <c r="P34" s="26">
        <v>48</v>
      </c>
      <c r="Q34" s="26">
        <v>0</v>
      </c>
      <c r="R34" s="26">
        <v>136</v>
      </c>
      <c r="S34" s="26">
        <v>215</v>
      </c>
      <c r="T34" s="26">
        <v>20</v>
      </c>
      <c r="U34" s="26">
        <v>144</v>
      </c>
      <c r="V34" s="26">
        <v>637</v>
      </c>
      <c r="W34" s="26">
        <v>15</v>
      </c>
      <c r="X34" s="26">
        <v>27</v>
      </c>
      <c r="Y34" s="26">
        <v>145</v>
      </c>
      <c r="Z34" s="26">
        <v>572</v>
      </c>
      <c r="AA34" s="26">
        <v>130</v>
      </c>
      <c r="AB34" s="26">
        <v>225</v>
      </c>
      <c r="AC34" s="26">
        <v>323</v>
      </c>
      <c r="AD34" s="26">
        <v>2593</v>
      </c>
      <c r="AE34" s="26">
        <v>625</v>
      </c>
      <c r="AF34" s="26">
        <v>0</v>
      </c>
      <c r="AG34" s="26">
        <v>994</v>
      </c>
      <c r="AH34" s="26">
        <v>178</v>
      </c>
      <c r="AI34" s="26">
        <v>7</v>
      </c>
      <c r="AJ34" s="26">
        <v>518</v>
      </c>
      <c r="AK34" s="98">
        <v>100</v>
      </c>
      <c r="AL34" s="16">
        <v>0</v>
      </c>
      <c r="AM34" s="16">
        <v>885</v>
      </c>
      <c r="AN34" s="16">
        <v>172</v>
      </c>
      <c r="AO34" s="16">
        <v>3</v>
      </c>
      <c r="AP34" s="16">
        <v>3</v>
      </c>
      <c r="AQ34" s="16">
        <v>18</v>
      </c>
      <c r="AR34" s="16">
        <v>141</v>
      </c>
      <c r="AS34" s="16">
        <v>147</v>
      </c>
      <c r="AT34" s="16">
        <v>107</v>
      </c>
      <c r="AU34" s="16">
        <v>1268</v>
      </c>
      <c r="AV34" s="16">
        <v>257</v>
      </c>
      <c r="AW34" s="16">
        <v>5</v>
      </c>
      <c r="AX34" s="16">
        <v>430</v>
      </c>
      <c r="AY34" s="16">
        <v>66</v>
      </c>
      <c r="AZ34" s="16">
        <v>43</v>
      </c>
      <c r="BA34" s="16">
        <v>50</v>
      </c>
      <c r="BB34" s="16">
        <v>14</v>
      </c>
      <c r="BC34" s="16">
        <v>0</v>
      </c>
      <c r="BD34" s="16">
        <v>0</v>
      </c>
      <c r="BE34" s="16">
        <v>502</v>
      </c>
      <c r="BF34" s="16">
        <v>587</v>
      </c>
      <c r="BG34" s="16">
        <v>452</v>
      </c>
      <c r="BH34" s="16">
        <v>117</v>
      </c>
      <c r="BI34" s="16">
        <f>2+1+0</f>
        <v>3</v>
      </c>
      <c r="BJ34" s="16">
        <v>128</v>
      </c>
      <c r="BK34" s="16">
        <v>225</v>
      </c>
      <c r="BL34" s="16">
        <v>420</v>
      </c>
      <c r="BM34" s="16">
        <v>0</v>
      </c>
      <c r="BN34" s="16">
        <v>0</v>
      </c>
      <c r="BO34" s="16">
        <v>23</v>
      </c>
    </row>
    <row r="35" spans="1:67" s="5" customFormat="1" ht="21.9" customHeight="1" x14ac:dyDescent="0.25">
      <c r="A35" s="125"/>
      <c r="C35" s="47" t="s">
        <v>76</v>
      </c>
      <c r="D35" s="48"/>
      <c r="E35" s="16">
        <f t="shared" si="0"/>
        <v>155</v>
      </c>
      <c r="F35" s="26">
        <v>0</v>
      </c>
      <c r="G35" s="26">
        <v>0</v>
      </c>
      <c r="H35" s="26">
        <v>0</v>
      </c>
      <c r="I35" s="26">
        <v>0</v>
      </c>
      <c r="J35" s="26">
        <v>0</v>
      </c>
      <c r="K35" s="26">
        <v>0</v>
      </c>
      <c r="L35" s="26">
        <v>2</v>
      </c>
      <c r="M35" s="26">
        <v>4</v>
      </c>
      <c r="N35" s="26">
        <v>0</v>
      </c>
      <c r="O35" s="26">
        <v>0</v>
      </c>
      <c r="P35" s="26">
        <v>2</v>
      </c>
      <c r="Q35" s="26">
        <v>0</v>
      </c>
      <c r="R35" s="26">
        <v>0</v>
      </c>
      <c r="S35" s="26">
        <v>1</v>
      </c>
      <c r="T35" s="26">
        <v>0</v>
      </c>
      <c r="U35" s="26">
        <v>0</v>
      </c>
      <c r="V35" s="26">
        <v>8</v>
      </c>
      <c r="W35" s="26">
        <v>0</v>
      </c>
      <c r="X35" s="26">
        <v>0</v>
      </c>
      <c r="Y35" s="26">
        <v>3</v>
      </c>
      <c r="Z35" s="26">
        <v>0</v>
      </c>
      <c r="AA35" s="26">
        <v>0</v>
      </c>
      <c r="AB35" s="26">
        <v>2</v>
      </c>
      <c r="AC35" s="26">
        <v>12</v>
      </c>
      <c r="AD35" s="26">
        <v>7</v>
      </c>
      <c r="AE35" s="26">
        <v>7</v>
      </c>
      <c r="AF35" s="26">
        <v>0</v>
      </c>
      <c r="AG35" s="26">
        <v>30</v>
      </c>
      <c r="AH35" s="26">
        <v>0</v>
      </c>
      <c r="AI35" s="26">
        <v>0</v>
      </c>
      <c r="AJ35" s="26">
        <v>7</v>
      </c>
      <c r="AK35" s="98">
        <v>0</v>
      </c>
      <c r="AL35" s="16">
        <v>0</v>
      </c>
      <c r="AM35" s="16">
        <v>9</v>
      </c>
      <c r="AN35" s="16">
        <v>5</v>
      </c>
      <c r="AO35" s="16">
        <v>0</v>
      </c>
      <c r="AP35" s="16">
        <v>0</v>
      </c>
      <c r="AQ35" s="16">
        <v>0</v>
      </c>
      <c r="AR35" s="16">
        <v>0</v>
      </c>
      <c r="AS35" s="16">
        <v>2</v>
      </c>
      <c r="AT35" s="16">
        <v>0</v>
      </c>
      <c r="AU35" s="16">
        <v>14</v>
      </c>
      <c r="AV35" s="16">
        <v>15</v>
      </c>
      <c r="AW35" s="16">
        <v>0</v>
      </c>
      <c r="AX35" s="16">
        <v>0</v>
      </c>
      <c r="AY35" s="16">
        <v>0</v>
      </c>
      <c r="AZ35" s="16">
        <v>0</v>
      </c>
      <c r="BA35" s="16">
        <v>0</v>
      </c>
      <c r="BB35" s="16">
        <v>0</v>
      </c>
      <c r="BC35" s="16">
        <v>0</v>
      </c>
      <c r="BD35" s="16">
        <v>0</v>
      </c>
      <c r="BE35" s="16">
        <v>1</v>
      </c>
      <c r="BF35" s="16">
        <v>4</v>
      </c>
      <c r="BG35" s="16">
        <v>3</v>
      </c>
      <c r="BH35" s="16">
        <v>7</v>
      </c>
      <c r="BI35" s="16">
        <v>0</v>
      </c>
      <c r="BJ35" s="16">
        <v>0</v>
      </c>
      <c r="BK35" s="16">
        <v>7</v>
      </c>
      <c r="BL35" s="16">
        <v>1</v>
      </c>
      <c r="BM35" s="16">
        <v>0</v>
      </c>
      <c r="BN35" s="16">
        <v>0</v>
      </c>
      <c r="BO35" s="16">
        <v>2</v>
      </c>
    </row>
    <row r="36" spans="1:67" s="5" customFormat="1" ht="21.9" customHeight="1" x14ac:dyDescent="0.25">
      <c r="A36" s="125" t="s">
        <v>86</v>
      </c>
      <c r="B36" s="4"/>
      <c r="C36" s="47" t="s">
        <v>75</v>
      </c>
      <c r="D36" s="48"/>
      <c r="E36" s="16">
        <f t="shared" si="0"/>
        <v>7510</v>
      </c>
      <c r="F36" s="16">
        <v>83</v>
      </c>
      <c r="G36" s="16">
        <v>43</v>
      </c>
      <c r="H36" s="16">
        <v>5</v>
      </c>
      <c r="I36" s="16">
        <v>9</v>
      </c>
      <c r="J36" s="16">
        <v>24</v>
      </c>
      <c r="K36" s="16">
        <v>39</v>
      </c>
      <c r="L36" s="26">
        <v>261</v>
      </c>
      <c r="M36" s="26">
        <v>324</v>
      </c>
      <c r="N36" s="26">
        <v>6</v>
      </c>
      <c r="O36" s="26">
        <v>58</v>
      </c>
      <c r="P36" s="26">
        <v>33</v>
      </c>
      <c r="Q36" s="26">
        <v>0</v>
      </c>
      <c r="R36" s="26">
        <v>93</v>
      </c>
      <c r="S36" s="26">
        <v>110</v>
      </c>
      <c r="T36" s="26">
        <v>7</v>
      </c>
      <c r="U36" s="26">
        <v>73</v>
      </c>
      <c r="V36" s="26">
        <v>519</v>
      </c>
      <c r="W36" s="26">
        <v>21</v>
      </c>
      <c r="X36" s="26">
        <v>42</v>
      </c>
      <c r="Y36" s="26">
        <v>58</v>
      </c>
      <c r="Z36" s="26">
        <v>180</v>
      </c>
      <c r="AA36" s="26">
        <v>57</v>
      </c>
      <c r="AB36" s="26">
        <v>76</v>
      </c>
      <c r="AC36" s="26">
        <v>138</v>
      </c>
      <c r="AD36" s="26">
        <v>503</v>
      </c>
      <c r="AE36" s="26">
        <v>341</v>
      </c>
      <c r="AF36" s="26">
        <v>0</v>
      </c>
      <c r="AG36" s="26">
        <v>705</v>
      </c>
      <c r="AH36" s="26">
        <v>57</v>
      </c>
      <c r="AI36" s="26">
        <v>0</v>
      </c>
      <c r="AJ36" s="26">
        <v>133</v>
      </c>
      <c r="AK36" s="98">
        <v>4</v>
      </c>
      <c r="AL36" s="16">
        <v>0</v>
      </c>
      <c r="AM36" s="16">
        <v>136</v>
      </c>
      <c r="AN36" s="16">
        <v>22</v>
      </c>
      <c r="AO36" s="16">
        <f>0+11+0</f>
        <v>11</v>
      </c>
      <c r="AP36" s="16">
        <f>0+1+0</f>
        <v>1</v>
      </c>
      <c r="AQ36" s="16">
        <v>50</v>
      </c>
      <c r="AR36" s="16">
        <v>69</v>
      </c>
      <c r="AS36" s="16">
        <v>69</v>
      </c>
      <c r="AT36" s="16">
        <v>17</v>
      </c>
      <c r="AU36" s="16">
        <v>421</v>
      </c>
      <c r="AV36" s="16">
        <v>386</v>
      </c>
      <c r="AW36" s="16">
        <v>5</v>
      </c>
      <c r="AX36" s="16">
        <v>217</v>
      </c>
      <c r="AY36" s="16">
        <v>117</v>
      </c>
      <c r="AZ36" s="16">
        <f>82+225+17</f>
        <v>324</v>
      </c>
      <c r="BA36" s="16">
        <v>51</v>
      </c>
      <c r="BB36" s="16">
        <v>76</v>
      </c>
      <c r="BC36" s="16">
        <v>14</v>
      </c>
      <c r="BD36" s="16">
        <v>65</v>
      </c>
      <c r="BE36" s="16">
        <v>280</v>
      </c>
      <c r="BF36" s="16">
        <v>57</v>
      </c>
      <c r="BG36" s="16">
        <v>111</v>
      </c>
      <c r="BH36" s="16">
        <v>55</v>
      </c>
      <c r="BI36" s="16">
        <f>16+328+2</f>
        <v>346</v>
      </c>
      <c r="BJ36" s="16">
        <v>120</v>
      </c>
      <c r="BK36" s="16">
        <v>264</v>
      </c>
      <c r="BL36" s="16">
        <v>94</v>
      </c>
      <c r="BM36" s="16">
        <v>0</v>
      </c>
      <c r="BN36" s="16">
        <v>0</v>
      </c>
      <c r="BO36" s="16">
        <f>56+74+0</f>
        <v>130</v>
      </c>
    </row>
    <row r="37" spans="1:67" s="5" customFormat="1" ht="21.9" customHeight="1" x14ac:dyDescent="0.25">
      <c r="A37" s="125"/>
      <c r="B37" s="4"/>
      <c r="C37" s="47" t="s">
        <v>76</v>
      </c>
      <c r="D37" s="48"/>
      <c r="E37" s="16">
        <f t="shared" si="0"/>
        <v>99</v>
      </c>
      <c r="F37" s="26">
        <v>0</v>
      </c>
      <c r="G37" s="26">
        <v>0</v>
      </c>
      <c r="H37" s="26">
        <v>0</v>
      </c>
      <c r="I37" s="26">
        <v>0</v>
      </c>
      <c r="J37" s="26">
        <v>0</v>
      </c>
      <c r="K37" s="26">
        <v>0</v>
      </c>
      <c r="L37" s="26">
        <v>0</v>
      </c>
      <c r="M37" s="26">
        <v>3</v>
      </c>
      <c r="N37" s="26">
        <v>0</v>
      </c>
      <c r="O37" s="26">
        <v>0</v>
      </c>
      <c r="P37" s="26">
        <v>0</v>
      </c>
      <c r="Q37" s="26">
        <v>0</v>
      </c>
      <c r="R37" s="26">
        <v>1</v>
      </c>
      <c r="S37" s="26">
        <v>1</v>
      </c>
      <c r="T37" s="26">
        <v>0</v>
      </c>
      <c r="U37" s="26">
        <v>2</v>
      </c>
      <c r="V37" s="26">
        <v>6</v>
      </c>
      <c r="W37" s="26">
        <v>0</v>
      </c>
      <c r="X37" s="26">
        <v>0</v>
      </c>
      <c r="Y37" s="26">
        <v>0</v>
      </c>
      <c r="Z37" s="26">
        <v>0</v>
      </c>
      <c r="AA37" s="26">
        <v>2</v>
      </c>
      <c r="AB37" s="26">
        <v>2</v>
      </c>
      <c r="AC37" s="26">
        <v>6</v>
      </c>
      <c r="AD37" s="26">
        <v>5</v>
      </c>
      <c r="AE37" s="26">
        <v>7</v>
      </c>
      <c r="AF37" s="26">
        <v>0</v>
      </c>
      <c r="AG37" s="26">
        <v>11</v>
      </c>
      <c r="AH37" s="26">
        <v>0</v>
      </c>
      <c r="AI37" s="26">
        <v>0</v>
      </c>
      <c r="AJ37" s="26">
        <v>4</v>
      </c>
      <c r="AK37" s="98">
        <v>0</v>
      </c>
      <c r="AL37" s="16">
        <v>0</v>
      </c>
      <c r="AM37" s="16">
        <v>7</v>
      </c>
      <c r="AN37" s="16">
        <v>1</v>
      </c>
      <c r="AO37" s="16">
        <v>0</v>
      </c>
      <c r="AP37" s="16">
        <v>0</v>
      </c>
      <c r="AQ37" s="16">
        <v>0</v>
      </c>
      <c r="AR37" s="16">
        <v>0</v>
      </c>
      <c r="AS37" s="16">
        <v>7</v>
      </c>
      <c r="AT37" s="16">
        <v>0</v>
      </c>
      <c r="AU37" s="16">
        <v>6</v>
      </c>
      <c r="AV37" s="16">
        <v>6</v>
      </c>
      <c r="AW37" s="16">
        <v>0</v>
      </c>
      <c r="AX37" s="16">
        <v>0</v>
      </c>
      <c r="AY37" s="16">
        <v>0</v>
      </c>
      <c r="AZ37" s="16">
        <v>0</v>
      </c>
      <c r="BA37" s="16">
        <v>0</v>
      </c>
      <c r="BB37" s="16">
        <v>0</v>
      </c>
      <c r="BC37" s="16">
        <v>0</v>
      </c>
      <c r="BD37" s="16">
        <v>0</v>
      </c>
      <c r="BE37" s="16">
        <v>0</v>
      </c>
      <c r="BF37" s="16">
        <v>1</v>
      </c>
      <c r="BG37" s="16">
        <v>1</v>
      </c>
      <c r="BH37" s="16">
        <v>2</v>
      </c>
      <c r="BI37" s="16">
        <f>1+0+2</f>
        <v>3</v>
      </c>
      <c r="BJ37" s="16">
        <v>3</v>
      </c>
      <c r="BK37" s="16">
        <v>9</v>
      </c>
      <c r="BL37" s="16">
        <v>1</v>
      </c>
      <c r="BM37" s="16">
        <v>0</v>
      </c>
      <c r="BN37" s="16">
        <v>0</v>
      </c>
      <c r="BO37" s="16">
        <v>2</v>
      </c>
    </row>
    <row r="38" spans="1:67" s="5" customFormat="1" ht="21.9" customHeight="1" x14ac:dyDescent="0.25">
      <c r="A38" s="125" t="s">
        <v>87</v>
      </c>
      <c r="B38" s="4"/>
      <c r="C38" s="47" t="s">
        <v>75</v>
      </c>
      <c r="D38" s="48"/>
      <c r="E38" s="16">
        <f t="shared" si="0"/>
        <v>19140</v>
      </c>
      <c r="F38" s="16">
        <v>237</v>
      </c>
      <c r="G38" s="16">
        <v>162</v>
      </c>
      <c r="H38" s="16">
        <v>13</v>
      </c>
      <c r="I38" s="16">
        <v>2</v>
      </c>
      <c r="J38" s="16">
        <v>99</v>
      </c>
      <c r="K38" s="16">
        <v>91</v>
      </c>
      <c r="L38" s="26">
        <v>583</v>
      </c>
      <c r="M38" s="26">
        <v>616</v>
      </c>
      <c r="N38" s="26">
        <v>13</v>
      </c>
      <c r="O38" s="26">
        <v>134</v>
      </c>
      <c r="P38" s="26">
        <v>61</v>
      </c>
      <c r="Q38" s="26">
        <v>0</v>
      </c>
      <c r="R38" s="26">
        <v>105</v>
      </c>
      <c r="S38" s="26">
        <v>272</v>
      </c>
      <c r="T38" s="26">
        <v>59</v>
      </c>
      <c r="U38" s="26">
        <v>101</v>
      </c>
      <c r="V38" s="26">
        <v>632</v>
      </c>
      <c r="W38" s="26">
        <v>64</v>
      </c>
      <c r="X38" s="26">
        <v>15</v>
      </c>
      <c r="Y38" s="26">
        <v>97</v>
      </c>
      <c r="Z38" s="26">
        <v>819</v>
      </c>
      <c r="AA38" s="26">
        <v>263</v>
      </c>
      <c r="AB38" s="26">
        <v>130</v>
      </c>
      <c r="AC38" s="26">
        <v>401</v>
      </c>
      <c r="AD38" s="26">
        <v>3493</v>
      </c>
      <c r="AE38" s="26">
        <v>993</v>
      </c>
      <c r="AF38" s="26">
        <v>0</v>
      </c>
      <c r="AG38" s="26">
        <v>1086</v>
      </c>
      <c r="AH38" s="26">
        <v>48</v>
      </c>
      <c r="AI38" s="26">
        <v>9</v>
      </c>
      <c r="AJ38" s="26">
        <v>175</v>
      </c>
      <c r="AK38" s="98">
        <v>26</v>
      </c>
      <c r="AL38" s="16">
        <v>0</v>
      </c>
      <c r="AM38" s="16">
        <v>648</v>
      </c>
      <c r="AN38" s="16">
        <v>132</v>
      </c>
      <c r="AO38" s="16">
        <v>0</v>
      </c>
      <c r="AP38" s="16">
        <v>0</v>
      </c>
      <c r="AQ38" s="16">
        <f>6+2+0</f>
        <v>8</v>
      </c>
      <c r="AR38" s="16">
        <v>252</v>
      </c>
      <c r="AS38" s="16">
        <v>297</v>
      </c>
      <c r="AT38" s="16">
        <v>196</v>
      </c>
      <c r="AU38" s="16">
        <v>2366</v>
      </c>
      <c r="AV38" s="16">
        <v>1190</v>
      </c>
      <c r="AW38" s="16">
        <v>0</v>
      </c>
      <c r="AX38" s="16">
        <v>336</v>
      </c>
      <c r="AY38" s="16">
        <v>21</v>
      </c>
      <c r="AZ38" s="16">
        <f>24+3+3</f>
        <v>30</v>
      </c>
      <c r="BA38" s="16">
        <v>12</v>
      </c>
      <c r="BB38" s="16">
        <v>28</v>
      </c>
      <c r="BC38" s="16">
        <v>53</v>
      </c>
      <c r="BD38" s="16">
        <v>43</v>
      </c>
      <c r="BE38" s="16">
        <v>240</v>
      </c>
      <c r="BF38" s="16">
        <v>205</v>
      </c>
      <c r="BG38" s="16">
        <v>224</v>
      </c>
      <c r="BH38" s="16">
        <v>29</v>
      </c>
      <c r="BI38" s="16">
        <f>149+20+0</f>
        <v>169</v>
      </c>
      <c r="BJ38" s="16">
        <v>565</v>
      </c>
      <c r="BK38" s="16">
        <v>645</v>
      </c>
      <c r="BL38" s="16">
        <v>533</v>
      </c>
      <c r="BM38" s="16">
        <v>4</v>
      </c>
      <c r="BN38" s="16">
        <v>0</v>
      </c>
      <c r="BO38" s="16">
        <f>112+3+0</f>
        <v>115</v>
      </c>
    </row>
    <row r="39" spans="1:67" s="5" customFormat="1" ht="21.9" customHeight="1" x14ac:dyDescent="0.25">
      <c r="A39" s="125"/>
      <c r="B39" s="4"/>
      <c r="C39" s="47" t="s">
        <v>76</v>
      </c>
      <c r="D39" s="48"/>
      <c r="E39" s="16">
        <f t="shared" si="0"/>
        <v>67</v>
      </c>
      <c r="F39" s="26">
        <v>0</v>
      </c>
      <c r="G39" s="26">
        <v>0</v>
      </c>
      <c r="H39" s="26">
        <v>0</v>
      </c>
      <c r="I39" s="26">
        <v>0</v>
      </c>
      <c r="J39" s="26">
        <v>0</v>
      </c>
      <c r="K39" s="26">
        <v>0</v>
      </c>
      <c r="L39" s="26">
        <v>0</v>
      </c>
      <c r="M39" s="26">
        <v>0</v>
      </c>
      <c r="N39" s="26">
        <v>0</v>
      </c>
      <c r="O39" s="26">
        <v>0</v>
      </c>
      <c r="P39" s="26">
        <v>0</v>
      </c>
      <c r="Q39" s="26">
        <v>0</v>
      </c>
      <c r="R39" s="26">
        <v>0</v>
      </c>
      <c r="S39" s="26">
        <v>2</v>
      </c>
      <c r="T39" s="26">
        <v>0</v>
      </c>
      <c r="U39" s="26">
        <v>0</v>
      </c>
      <c r="V39" s="26">
        <v>3</v>
      </c>
      <c r="W39" s="26">
        <v>0</v>
      </c>
      <c r="X39" s="26">
        <v>0</v>
      </c>
      <c r="Y39" s="26">
        <v>1</v>
      </c>
      <c r="Z39" s="26">
        <v>1</v>
      </c>
      <c r="AA39" s="26">
        <v>2</v>
      </c>
      <c r="AB39" s="26">
        <v>3</v>
      </c>
      <c r="AC39" s="26">
        <v>0</v>
      </c>
      <c r="AD39" s="26">
        <v>5</v>
      </c>
      <c r="AE39" s="26">
        <v>1</v>
      </c>
      <c r="AF39" s="26">
        <v>0</v>
      </c>
      <c r="AG39" s="26">
        <v>1</v>
      </c>
      <c r="AH39" s="26">
        <v>0</v>
      </c>
      <c r="AI39" s="26">
        <v>0</v>
      </c>
      <c r="AJ39" s="26">
        <v>5</v>
      </c>
      <c r="AK39" s="98">
        <v>0</v>
      </c>
      <c r="AL39" s="16">
        <v>0</v>
      </c>
      <c r="AM39" s="16">
        <v>3</v>
      </c>
      <c r="AN39" s="16">
        <v>1</v>
      </c>
      <c r="AO39" s="16">
        <v>0</v>
      </c>
      <c r="AP39" s="16">
        <v>0</v>
      </c>
      <c r="AQ39" s="16">
        <v>0</v>
      </c>
      <c r="AR39" s="16">
        <v>0</v>
      </c>
      <c r="AS39" s="16">
        <v>9</v>
      </c>
      <c r="AT39" s="16">
        <v>0</v>
      </c>
      <c r="AU39" s="16">
        <v>5</v>
      </c>
      <c r="AV39" s="16">
        <v>5</v>
      </c>
      <c r="AW39" s="16">
        <v>0</v>
      </c>
      <c r="AX39" s="16">
        <v>0</v>
      </c>
      <c r="AY39" s="16">
        <v>0</v>
      </c>
      <c r="AZ39" s="16">
        <v>0</v>
      </c>
      <c r="BA39" s="16">
        <v>0</v>
      </c>
      <c r="BB39" s="16">
        <v>1</v>
      </c>
      <c r="BC39" s="16">
        <v>0</v>
      </c>
      <c r="BD39" s="16">
        <v>0</v>
      </c>
      <c r="BE39" s="16">
        <v>0</v>
      </c>
      <c r="BF39" s="16">
        <v>1</v>
      </c>
      <c r="BG39" s="16">
        <v>2</v>
      </c>
      <c r="BH39" s="16">
        <v>1</v>
      </c>
      <c r="BI39" s="16">
        <v>0</v>
      </c>
      <c r="BJ39" s="16">
        <v>0</v>
      </c>
      <c r="BK39" s="16">
        <v>10</v>
      </c>
      <c r="BL39" s="16">
        <v>5</v>
      </c>
      <c r="BM39" s="16">
        <v>0</v>
      </c>
      <c r="BN39" s="16">
        <v>0</v>
      </c>
      <c r="BO39" s="16">
        <v>0</v>
      </c>
    </row>
    <row r="40" spans="1:67" s="5" customFormat="1" ht="21.9" customHeight="1" x14ac:dyDescent="0.25">
      <c r="A40" s="125" t="s">
        <v>88</v>
      </c>
      <c r="C40" s="47" t="s">
        <v>75</v>
      </c>
      <c r="D40" s="48"/>
      <c r="E40" s="16">
        <f t="shared" si="0"/>
        <v>9241</v>
      </c>
      <c r="F40" s="16">
        <v>160</v>
      </c>
      <c r="G40" s="16">
        <v>48</v>
      </c>
      <c r="H40" s="16">
        <v>55</v>
      </c>
      <c r="I40" s="16">
        <v>5</v>
      </c>
      <c r="J40" s="16">
        <v>37</v>
      </c>
      <c r="K40" s="16">
        <v>8</v>
      </c>
      <c r="L40" s="26">
        <v>449</v>
      </c>
      <c r="M40" s="26">
        <v>500</v>
      </c>
      <c r="N40" s="26">
        <v>22</v>
      </c>
      <c r="O40" s="26">
        <v>175</v>
      </c>
      <c r="P40" s="26">
        <v>84</v>
      </c>
      <c r="Q40" s="26">
        <v>0</v>
      </c>
      <c r="R40" s="26">
        <v>120</v>
      </c>
      <c r="S40" s="26">
        <v>185</v>
      </c>
      <c r="T40" s="26">
        <v>20</v>
      </c>
      <c r="U40" s="26">
        <v>67</v>
      </c>
      <c r="V40" s="26">
        <v>453</v>
      </c>
      <c r="W40" s="26">
        <v>10</v>
      </c>
      <c r="X40" s="26">
        <v>17</v>
      </c>
      <c r="Y40" s="26">
        <v>26</v>
      </c>
      <c r="Z40" s="26">
        <v>96</v>
      </c>
      <c r="AA40" s="26">
        <v>144</v>
      </c>
      <c r="AB40" s="26">
        <v>74</v>
      </c>
      <c r="AC40" s="26">
        <v>160</v>
      </c>
      <c r="AD40" s="26">
        <v>630</v>
      </c>
      <c r="AE40" s="26">
        <v>426</v>
      </c>
      <c r="AF40" s="26">
        <v>0</v>
      </c>
      <c r="AG40" s="26">
        <v>563</v>
      </c>
      <c r="AH40" s="26">
        <v>110</v>
      </c>
      <c r="AI40" s="26">
        <v>0</v>
      </c>
      <c r="AJ40" s="26">
        <v>242</v>
      </c>
      <c r="AK40" s="98">
        <v>16</v>
      </c>
      <c r="AL40" s="16">
        <v>0</v>
      </c>
      <c r="AM40" s="16">
        <v>158</v>
      </c>
      <c r="AN40" s="16">
        <v>108</v>
      </c>
      <c r="AO40" s="16">
        <v>2</v>
      </c>
      <c r="AP40" s="16">
        <v>0</v>
      </c>
      <c r="AQ40" s="16">
        <v>11</v>
      </c>
      <c r="AR40" s="16">
        <v>201</v>
      </c>
      <c r="AS40" s="16">
        <v>153</v>
      </c>
      <c r="AT40" s="16">
        <v>85</v>
      </c>
      <c r="AU40" s="16">
        <v>529</v>
      </c>
      <c r="AV40" s="16">
        <v>19</v>
      </c>
      <c r="AW40" s="16">
        <v>11</v>
      </c>
      <c r="AX40" s="16">
        <v>419</v>
      </c>
      <c r="AY40" s="16">
        <v>18</v>
      </c>
      <c r="AZ40" s="16">
        <f>82+47+7</f>
        <v>136</v>
      </c>
      <c r="BA40" s="16">
        <v>55</v>
      </c>
      <c r="BB40" s="16">
        <v>27</v>
      </c>
      <c r="BC40" s="16">
        <v>17</v>
      </c>
      <c r="BD40" s="16">
        <v>4</v>
      </c>
      <c r="BE40" s="16">
        <v>621</v>
      </c>
      <c r="BF40" s="16">
        <v>433</v>
      </c>
      <c r="BG40" s="16">
        <v>266</v>
      </c>
      <c r="BH40" s="16">
        <v>24</v>
      </c>
      <c r="BI40" s="16">
        <f>33+201+4</f>
        <v>238</v>
      </c>
      <c r="BJ40" s="16">
        <v>219</v>
      </c>
      <c r="BK40" s="16">
        <v>246</v>
      </c>
      <c r="BL40" s="16">
        <v>192</v>
      </c>
      <c r="BM40" s="16">
        <v>8</v>
      </c>
      <c r="BN40" s="16">
        <v>0</v>
      </c>
      <c r="BO40" s="16">
        <f>137+2+0</f>
        <v>139</v>
      </c>
    </row>
    <row r="41" spans="1:67" s="5" customFormat="1" ht="21.9" customHeight="1" x14ac:dyDescent="0.25">
      <c r="A41" s="125"/>
      <c r="C41" s="47" t="s">
        <v>76</v>
      </c>
      <c r="D41" s="48"/>
      <c r="E41" s="16">
        <f t="shared" si="0"/>
        <v>123</v>
      </c>
      <c r="F41" s="26">
        <v>0</v>
      </c>
      <c r="G41" s="26">
        <v>0</v>
      </c>
      <c r="H41" s="26">
        <v>0</v>
      </c>
      <c r="I41" s="26">
        <v>0</v>
      </c>
      <c r="J41" s="26">
        <v>0</v>
      </c>
      <c r="K41" s="26">
        <v>0</v>
      </c>
      <c r="L41" s="26">
        <v>0</v>
      </c>
      <c r="M41" s="26">
        <v>1</v>
      </c>
      <c r="N41" s="26">
        <v>0</v>
      </c>
      <c r="O41" s="26">
        <v>0</v>
      </c>
      <c r="P41" s="26">
        <v>1</v>
      </c>
      <c r="Q41" s="26">
        <v>0</v>
      </c>
      <c r="R41" s="26">
        <v>2</v>
      </c>
      <c r="S41" s="26">
        <v>1</v>
      </c>
      <c r="T41" s="26">
        <v>0</v>
      </c>
      <c r="U41" s="26">
        <v>0</v>
      </c>
      <c r="V41" s="26">
        <v>5</v>
      </c>
      <c r="W41" s="26">
        <v>0</v>
      </c>
      <c r="X41" s="26">
        <v>2</v>
      </c>
      <c r="Y41" s="26">
        <v>0</v>
      </c>
      <c r="Z41" s="26">
        <v>1</v>
      </c>
      <c r="AA41" s="26">
        <v>4</v>
      </c>
      <c r="AB41" s="26">
        <v>2</v>
      </c>
      <c r="AC41" s="26">
        <v>2</v>
      </c>
      <c r="AD41" s="26">
        <v>6</v>
      </c>
      <c r="AE41" s="26">
        <v>2</v>
      </c>
      <c r="AF41" s="26">
        <v>0</v>
      </c>
      <c r="AG41" s="26">
        <v>32</v>
      </c>
      <c r="AH41" s="26">
        <v>0</v>
      </c>
      <c r="AI41" s="26">
        <v>0</v>
      </c>
      <c r="AJ41" s="26">
        <v>3</v>
      </c>
      <c r="AK41" s="98">
        <v>0</v>
      </c>
      <c r="AL41" s="16">
        <v>0</v>
      </c>
      <c r="AM41" s="16">
        <v>9</v>
      </c>
      <c r="AN41" s="16">
        <v>6</v>
      </c>
      <c r="AO41" s="16">
        <v>0</v>
      </c>
      <c r="AP41" s="16">
        <v>0</v>
      </c>
      <c r="AQ41" s="16">
        <v>0</v>
      </c>
      <c r="AR41" s="16">
        <v>1</v>
      </c>
      <c r="AS41" s="16">
        <v>7</v>
      </c>
      <c r="AT41" s="16">
        <v>0</v>
      </c>
      <c r="AU41" s="16">
        <v>5</v>
      </c>
      <c r="AV41" s="16">
        <v>0</v>
      </c>
      <c r="AW41" s="16">
        <v>0</v>
      </c>
      <c r="AX41" s="16">
        <v>0</v>
      </c>
      <c r="AY41" s="16">
        <v>0</v>
      </c>
      <c r="AZ41" s="16">
        <v>0</v>
      </c>
      <c r="BA41" s="16">
        <v>0</v>
      </c>
      <c r="BB41" s="16">
        <v>0</v>
      </c>
      <c r="BC41" s="16">
        <v>0</v>
      </c>
      <c r="BD41" s="16">
        <v>0</v>
      </c>
      <c r="BE41" s="16">
        <v>6</v>
      </c>
      <c r="BF41" s="16">
        <v>1</v>
      </c>
      <c r="BG41" s="16">
        <v>0</v>
      </c>
      <c r="BH41" s="16">
        <v>8</v>
      </c>
      <c r="BI41" s="16">
        <f>0+0+4</f>
        <v>4</v>
      </c>
      <c r="BJ41" s="16">
        <v>4</v>
      </c>
      <c r="BK41" s="16">
        <v>8</v>
      </c>
      <c r="BL41" s="16">
        <v>0</v>
      </c>
      <c r="BM41" s="16">
        <v>0</v>
      </c>
      <c r="BN41" s="16">
        <v>0</v>
      </c>
      <c r="BO41" s="16">
        <v>0</v>
      </c>
    </row>
    <row r="42" spans="1:67" s="5" customFormat="1" ht="21.9" customHeight="1" x14ac:dyDescent="0.25">
      <c r="A42" s="125" t="s">
        <v>89</v>
      </c>
      <c r="B42" s="4"/>
      <c r="C42" s="47" t="s">
        <v>75</v>
      </c>
      <c r="D42" s="48"/>
      <c r="E42" s="16">
        <f t="shared" si="0"/>
        <v>11125</v>
      </c>
      <c r="F42" s="16">
        <v>64</v>
      </c>
      <c r="G42" s="16">
        <v>55</v>
      </c>
      <c r="H42" s="16">
        <v>9</v>
      </c>
      <c r="I42" s="16">
        <v>7</v>
      </c>
      <c r="J42" s="16">
        <v>6</v>
      </c>
      <c r="K42" s="16">
        <v>16</v>
      </c>
      <c r="L42" s="26">
        <v>721</v>
      </c>
      <c r="M42" s="26">
        <v>510</v>
      </c>
      <c r="N42" s="26">
        <v>33</v>
      </c>
      <c r="O42" s="26">
        <v>83</v>
      </c>
      <c r="P42" s="26">
        <v>43</v>
      </c>
      <c r="Q42" s="26">
        <v>0</v>
      </c>
      <c r="R42" s="26">
        <v>84</v>
      </c>
      <c r="S42" s="26">
        <v>237</v>
      </c>
      <c r="T42" s="26">
        <v>58</v>
      </c>
      <c r="U42" s="26">
        <v>200</v>
      </c>
      <c r="V42" s="26">
        <v>777</v>
      </c>
      <c r="W42" s="26">
        <v>20</v>
      </c>
      <c r="X42" s="26">
        <v>26</v>
      </c>
      <c r="Y42" s="26">
        <v>73</v>
      </c>
      <c r="Z42" s="26">
        <v>474</v>
      </c>
      <c r="AA42" s="26">
        <v>137</v>
      </c>
      <c r="AB42" s="26">
        <v>75</v>
      </c>
      <c r="AC42" s="26">
        <v>194</v>
      </c>
      <c r="AD42" s="26">
        <v>1948</v>
      </c>
      <c r="AE42" s="26">
        <v>1055</v>
      </c>
      <c r="AF42" s="26">
        <v>0</v>
      </c>
      <c r="AG42" s="26">
        <v>738</v>
      </c>
      <c r="AH42" s="26">
        <v>124</v>
      </c>
      <c r="AI42" s="26">
        <v>3</v>
      </c>
      <c r="AJ42" s="26">
        <v>356</v>
      </c>
      <c r="AK42" s="98">
        <v>19</v>
      </c>
      <c r="AL42" s="16">
        <v>0</v>
      </c>
      <c r="AM42" s="16">
        <v>171</v>
      </c>
      <c r="AN42" s="16">
        <v>99</v>
      </c>
      <c r="AO42" s="16">
        <v>0</v>
      </c>
      <c r="AP42" s="16">
        <v>0</v>
      </c>
      <c r="AQ42" s="16">
        <v>1</v>
      </c>
      <c r="AR42" s="16">
        <v>15</v>
      </c>
      <c r="AS42" s="16">
        <v>122</v>
      </c>
      <c r="AT42" s="16">
        <v>109</v>
      </c>
      <c r="AU42" s="16">
        <v>1009</v>
      </c>
      <c r="AV42" s="16">
        <v>36</v>
      </c>
      <c r="AW42" s="16">
        <v>2</v>
      </c>
      <c r="AX42" s="16">
        <v>58</v>
      </c>
      <c r="AY42" s="16">
        <v>20</v>
      </c>
      <c r="AZ42" s="16">
        <v>51</v>
      </c>
      <c r="BA42" s="16">
        <v>77</v>
      </c>
      <c r="BB42" s="16">
        <v>120</v>
      </c>
      <c r="BC42" s="16">
        <v>10</v>
      </c>
      <c r="BD42" s="16">
        <v>0</v>
      </c>
      <c r="BE42" s="16">
        <v>76</v>
      </c>
      <c r="BF42" s="16">
        <v>174</v>
      </c>
      <c r="BG42" s="16">
        <v>185</v>
      </c>
      <c r="BH42" s="16">
        <v>9</v>
      </c>
      <c r="BI42" s="16">
        <v>0</v>
      </c>
      <c r="BJ42" s="16">
        <v>72</v>
      </c>
      <c r="BK42" s="16">
        <v>96</v>
      </c>
      <c r="BL42" s="16">
        <v>239</v>
      </c>
      <c r="BM42" s="16">
        <v>1</v>
      </c>
      <c r="BN42" s="16">
        <v>52</v>
      </c>
      <c r="BO42" s="16">
        <v>176</v>
      </c>
    </row>
    <row r="43" spans="1:67" s="5" customFormat="1" ht="21.9" customHeight="1" x14ac:dyDescent="0.25">
      <c r="A43" s="125"/>
      <c r="B43" s="4"/>
      <c r="C43" s="47" t="s">
        <v>76</v>
      </c>
      <c r="D43" s="48"/>
      <c r="E43" s="16">
        <f t="shared" si="0"/>
        <v>59</v>
      </c>
      <c r="F43" s="26">
        <v>0</v>
      </c>
      <c r="G43" s="26">
        <v>0</v>
      </c>
      <c r="H43" s="26">
        <v>0</v>
      </c>
      <c r="I43" s="26">
        <v>0</v>
      </c>
      <c r="J43" s="26">
        <v>0</v>
      </c>
      <c r="K43" s="26">
        <v>0</v>
      </c>
      <c r="L43" s="26">
        <v>0</v>
      </c>
      <c r="M43" s="26">
        <v>0</v>
      </c>
      <c r="N43" s="26">
        <v>0</v>
      </c>
      <c r="O43" s="26">
        <v>0</v>
      </c>
      <c r="P43" s="26">
        <v>0</v>
      </c>
      <c r="Q43" s="26">
        <v>0</v>
      </c>
      <c r="R43" s="26">
        <v>0</v>
      </c>
      <c r="S43" s="26">
        <v>0</v>
      </c>
      <c r="T43" s="26">
        <v>0</v>
      </c>
      <c r="U43" s="26">
        <v>0</v>
      </c>
      <c r="V43" s="26">
        <v>0</v>
      </c>
      <c r="W43" s="26">
        <v>0</v>
      </c>
      <c r="X43" s="26">
        <v>0</v>
      </c>
      <c r="Y43" s="26">
        <v>0</v>
      </c>
      <c r="Z43" s="26">
        <v>1</v>
      </c>
      <c r="AA43" s="26">
        <v>0</v>
      </c>
      <c r="AB43" s="26">
        <v>0</v>
      </c>
      <c r="AC43" s="26">
        <v>1</v>
      </c>
      <c r="AD43" s="26">
        <v>2</v>
      </c>
      <c r="AE43" s="26">
        <v>0</v>
      </c>
      <c r="AF43" s="26">
        <v>0</v>
      </c>
      <c r="AG43" s="26">
        <v>32</v>
      </c>
      <c r="AH43" s="26">
        <v>0</v>
      </c>
      <c r="AI43" s="26">
        <v>0</v>
      </c>
      <c r="AJ43" s="26">
        <v>0</v>
      </c>
      <c r="AK43" s="98">
        <v>1</v>
      </c>
      <c r="AL43" s="16">
        <v>0</v>
      </c>
      <c r="AM43" s="16">
        <v>3</v>
      </c>
      <c r="AN43" s="16">
        <v>2</v>
      </c>
      <c r="AO43" s="16">
        <v>0</v>
      </c>
      <c r="AP43" s="16">
        <v>0</v>
      </c>
      <c r="AQ43" s="16">
        <v>0</v>
      </c>
      <c r="AR43" s="16">
        <v>1</v>
      </c>
      <c r="AS43" s="16">
        <v>11</v>
      </c>
      <c r="AT43" s="16">
        <v>0</v>
      </c>
      <c r="AU43" s="16">
        <v>2</v>
      </c>
      <c r="AV43" s="16">
        <v>0</v>
      </c>
      <c r="AW43" s="16">
        <v>0</v>
      </c>
      <c r="AX43" s="16">
        <v>0</v>
      </c>
      <c r="AY43" s="16">
        <v>0</v>
      </c>
      <c r="AZ43" s="16">
        <v>0</v>
      </c>
      <c r="BA43" s="16">
        <v>0</v>
      </c>
      <c r="BB43" s="16">
        <v>0</v>
      </c>
      <c r="BC43" s="16">
        <v>0</v>
      </c>
      <c r="BD43" s="16">
        <v>0</v>
      </c>
      <c r="BE43" s="16">
        <v>0</v>
      </c>
      <c r="BF43" s="16">
        <v>0</v>
      </c>
      <c r="BG43" s="16">
        <v>0</v>
      </c>
      <c r="BH43" s="16">
        <v>0</v>
      </c>
      <c r="BI43" s="16">
        <v>0</v>
      </c>
      <c r="BJ43" s="16">
        <v>2</v>
      </c>
      <c r="BK43" s="16">
        <v>1</v>
      </c>
      <c r="BL43" s="16">
        <v>0</v>
      </c>
      <c r="BM43" s="16">
        <v>0</v>
      </c>
      <c r="BN43" s="16">
        <v>0</v>
      </c>
      <c r="BO43" s="16">
        <v>0</v>
      </c>
    </row>
    <row r="44" spans="1:67" s="5" customFormat="1" ht="21.9" customHeight="1" x14ac:dyDescent="0.25">
      <c r="A44" s="125" t="s">
        <v>90</v>
      </c>
      <c r="B44" s="4"/>
      <c r="C44" s="47" t="s">
        <v>75</v>
      </c>
      <c r="D44" s="48"/>
      <c r="E44" s="16">
        <f t="shared" si="0"/>
        <v>6142</v>
      </c>
      <c r="F44" s="16">
        <v>21</v>
      </c>
      <c r="G44" s="16">
        <v>10</v>
      </c>
      <c r="H44" s="16">
        <v>0</v>
      </c>
      <c r="I44" s="16">
        <v>0</v>
      </c>
      <c r="J44" s="16">
        <v>0</v>
      </c>
      <c r="K44" s="16">
        <v>10</v>
      </c>
      <c r="L44" s="26">
        <v>501</v>
      </c>
      <c r="M44" s="26">
        <v>116</v>
      </c>
      <c r="N44" s="26">
        <v>10</v>
      </c>
      <c r="O44" s="26">
        <v>20</v>
      </c>
      <c r="P44" s="26">
        <v>14</v>
      </c>
      <c r="Q44" s="26">
        <v>0</v>
      </c>
      <c r="R44" s="26">
        <v>55</v>
      </c>
      <c r="S44" s="26">
        <v>57</v>
      </c>
      <c r="T44" s="26">
        <v>0</v>
      </c>
      <c r="U44" s="26">
        <v>20</v>
      </c>
      <c r="V44" s="26">
        <v>1307</v>
      </c>
      <c r="W44" s="26">
        <v>27</v>
      </c>
      <c r="X44" s="26">
        <v>30</v>
      </c>
      <c r="Y44" s="26">
        <v>40</v>
      </c>
      <c r="Z44" s="26">
        <v>272</v>
      </c>
      <c r="AA44" s="26">
        <v>70</v>
      </c>
      <c r="AB44" s="26">
        <v>22</v>
      </c>
      <c r="AC44" s="26">
        <v>112</v>
      </c>
      <c r="AD44" s="26">
        <v>1247</v>
      </c>
      <c r="AE44" s="26">
        <v>454</v>
      </c>
      <c r="AF44" s="26">
        <v>0</v>
      </c>
      <c r="AG44" s="26">
        <v>293</v>
      </c>
      <c r="AH44" s="26">
        <v>3</v>
      </c>
      <c r="AI44" s="26">
        <v>1</v>
      </c>
      <c r="AJ44" s="26">
        <v>215</v>
      </c>
      <c r="AK44" s="98">
        <v>4</v>
      </c>
      <c r="AL44" s="16">
        <v>0</v>
      </c>
      <c r="AM44" s="16">
        <v>69</v>
      </c>
      <c r="AN44" s="16">
        <v>69</v>
      </c>
      <c r="AO44" s="16">
        <v>0</v>
      </c>
      <c r="AP44" s="16">
        <v>0</v>
      </c>
      <c r="AQ44" s="16">
        <v>0</v>
      </c>
      <c r="AR44" s="16">
        <v>5</v>
      </c>
      <c r="AS44" s="16">
        <v>56</v>
      </c>
      <c r="AT44" s="16">
        <v>0</v>
      </c>
      <c r="AU44" s="16">
        <v>294</v>
      </c>
      <c r="AV44" s="16">
        <v>140</v>
      </c>
      <c r="AW44" s="16">
        <v>3</v>
      </c>
      <c r="AX44" s="16">
        <v>113</v>
      </c>
      <c r="AY44" s="16">
        <v>19</v>
      </c>
      <c r="AZ44" s="16">
        <v>1</v>
      </c>
      <c r="BA44" s="16">
        <v>4</v>
      </c>
      <c r="BB44" s="16">
        <v>17</v>
      </c>
      <c r="BC44" s="16">
        <v>1</v>
      </c>
      <c r="BD44" s="16">
        <v>0</v>
      </c>
      <c r="BE44" s="16">
        <v>43</v>
      </c>
      <c r="BF44" s="16">
        <v>105</v>
      </c>
      <c r="BG44" s="16">
        <v>93</v>
      </c>
      <c r="BH44" s="16">
        <v>0</v>
      </c>
      <c r="BI44" s="16">
        <v>1</v>
      </c>
      <c r="BJ44" s="16">
        <v>80</v>
      </c>
      <c r="BK44" s="16">
        <v>34</v>
      </c>
      <c r="BL44" s="16">
        <v>60</v>
      </c>
      <c r="BM44" s="16">
        <v>0</v>
      </c>
      <c r="BN44" s="16">
        <v>0</v>
      </c>
      <c r="BO44" s="16">
        <v>4</v>
      </c>
    </row>
    <row r="45" spans="1:67" s="5" customFormat="1" ht="21.9" customHeight="1" x14ac:dyDescent="0.25">
      <c r="A45" s="125"/>
      <c r="B45" s="4"/>
      <c r="C45" s="47" t="s">
        <v>76</v>
      </c>
      <c r="D45" s="48"/>
      <c r="E45" s="16">
        <f t="shared" si="0"/>
        <v>64</v>
      </c>
      <c r="F45" s="26">
        <v>0</v>
      </c>
      <c r="G45" s="26">
        <v>0</v>
      </c>
      <c r="H45" s="26">
        <v>0</v>
      </c>
      <c r="I45" s="26">
        <v>0</v>
      </c>
      <c r="J45" s="26">
        <v>0</v>
      </c>
      <c r="K45" s="26">
        <v>0</v>
      </c>
      <c r="L45" s="26">
        <v>0</v>
      </c>
      <c r="M45" s="26">
        <v>0</v>
      </c>
      <c r="N45" s="26">
        <v>0</v>
      </c>
      <c r="O45" s="26">
        <v>0</v>
      </c>
      <c r="P45" s="26">
        <v>0</v>
      </c>
      <c r="Q45" s="26">
        <v>0</v>
      </c>
      <c r="R45" s="26">
        <v>1</v>
      </c>
      <c r="S45" s="26">
        <v>0</v>
      </c>
      <c r="T45" s="26">
        <v>0</v>
      </c>
      <c r="U45" s="26">
        <v>2</v>
      </c>
      <c r="V45" s="26">
        <v>1</v>
      </c>
      <c r="W45" s="26">
        <v>0</v>
      </c>
      <c r="X45" s="26">
        <v>0</v>
      </c>
      <c r="Y45" s="26">
        <v>0</v>
      </c>
      <c r="Z45" s="26">
        <v>0</v>
      </c>
      <c r="AA45" s="26">
        <v>1</v>
      </c>
      <c r="AB45" s="26">
        <v>0</v>
      </c>
      <c r="AC45" s="26">
        <v>1</v>
      </c>
      <c r="AD45" s="26">
        <v>2</v>
      </c>
      <c r="AE45" s="26">
        <v>0</v>
      </c>
      <c r="AF45" s="26">
        <v>0</v>
      </c>
      <c r="AG45" s="26">
        <v>28</v>
      </c>
      <c r="AH45" s="26">
        <v>0</v>
      </c>
      <c r="AI45" s="26">
        <v>0</v>
      </c>
      <c r="AJ45" s="26">
        <v>4</v>
      </c>
      <c r="AK45" s="98">
        <v>0</v>
      </c>
      <c r="AL45" s="16">
        <v>0</v>
      </c>
      <c r="AM45" s="16">
        <v>0</v>
      </c>
      <c r="AN45" s="16">
        <v>0</v>
      </c>
      <c r="AO45" s="16">
        <v>0</v>
      </c>
      <c r="AP45" s="16">
        <v>0</v>
      </c>
      <c r="AQ45" s="16">
        <v>0</v>
      </c>
      <c r="AR45" s="16">
        <v>0</v>
      </c>
      <c r="AS45" s="16">
        <v>5</v>
      </c>
      <c r="AT45" s="16">
        <v>0</v>
      </c>
      <c r="AU45" s="16">
        <v>16</v>
      </c>
      <c r="AV45" s="16">
        <v>1</v>
      </c>
      <c r="AW45" s="16">
        <v>0</v>
      </c>
      <c r="AX45" s="16">
        <v>0</v>
      </c>
      <c r="AY45" s="16">
        <v>0</v>
      </c>
      <c r="AZ45" s="16">
        <v>0</v>
      </c>
      <c r="BA45" s="16">
        <v>1</v>
      </c>
      <c r="BB45" s="16">
        <v>1</v>
      </c>
      <c r="BC45" s="16">
        <v>0</v>
      </c>
      <c r="BD45" s="16">
        <v>0</v>
      </c>
      <c r="BE45" s="16">
        <v>0</v>
      </c>
      <c r="BF45" s="16">
        <v>0</v>
      </c>
      <c r="BG45" s="16">
        <v>0</v>
      </c>
      <c r="BH45" s="16">
        <v>0</v>
      </c>
      <c r="BI45" s="16">
        <v>0</v>
      </c>
      <c r="BJ45" s="16">
        <v>0</v>
      </c>
      <c r="BK45" s="16">
        <v>0</v>
      </c>
      <c r="BL45" s="16">
        <v>0</v>
      </c>
      <c r="BM45" s="16">
        <v>0</v>
      </c>
      <c r="BN45" s="16">
        <v>0</v>
      </c>
      <c r="BO45" s="16">
        <v>0</v>
      </c>
    </row>
    <row r="46" spans="1:67" s="5" customFormat="1" ht="21.9" customHeight="1" x14ac:dyDescent="0.25">
      <c r="A46" s="125" t="s">
        <v>91</v>
      </c>
      <c r="B46" s="4"/>
      <c r="C46" s="47" t="s">
        <v>75</v>
      </c>
      <c r="D46" s="48"/>
      <c r="E46" s="16">
        <f t="shared" si="0"/>
        <v>12124</v>
      </c>
      <c r="F46" s="16">
        <v>221</v>
      </c>
      <c r="G46" s="16">
        <v>206</v>
      </c>
      <c r="H46" s="16">
        <v>0</v>
      </c>
      <c r="I46" s="16">
        <v>0</v>
      </c>
      <c r="J46" s="16">
        <v>33</v>
      </c>
      <c r="K46" s="16">
        <v>0</v>
      </c>
      <c r="L46" s="26">
        <v>156</v>
      </c>
      <c r="M46" s="26">
        <v>54</v>
      </c>
      <c r="N46" s="26">
        <v>195</v>
      </c>
      <c r="O46" s="26">
        <v>81</v>
      </c>
      <c r="P46" s="26">
        <v>2</v>
      </c>
      <c r="Q46" s="26">
        <v>2</v>
      </c>
      <c r="R46" s="26">
        <v>85</v>
      </c>
      <c r="S46" s="26">
        <v>45</v>
      </c>
      <c r="T46" s="26">
        <v>254</v>
      </c>
      <c r="U46" s="26">
        <v>46</v>
      </c>
      <c r="V46" s="26">
        <v>83</v>
      </c>
      <c r="W46" s="26">
        <v>34</v>
      </c>
      <c r="X46" s="26">
        <v>17</v>
      </c>
      <c r="Y46" s="26">
        <v>27</v>
      </c>
      <c r="Z46" s="26">
        <v>1140</v>
      </c>
      <c r="AA46" s="26">
        <v>199</v>
      </c>
      <c r="AB46" s="26">
        <v>38</v>
      </c>
      <c r="AC46" s="26">
        <v>54</v>
      </c>
      <c r="AD46" s="26">
        <v>2002</v>
      </c>
      <c r="AE46" s="26">
        <v>575</v>
      </c>
      <c r="AF46" s="26">
        <v>0</v>
      </c>
      <c r="AG46" s="26">
        <v>238</v>
      </c>
      <c r="AH46" s="26">
        <v>312</v>
      </c>
      <c r="AI46" s="26">
        <v>0</v>
      </c>
      <c r="AJ46" s="26">
        <v>59</v>
      </c>
      <c r="AK46" s="98">
        <v>21</v>
      </c>
      <c r="AL46" s="16">
        <v>0</v>
      </c>
      <c r="AM46" s="16">
        <v>211</v>
      </c>
      <c r="AN46" s="16">
        <v>81</v>
      </c>
      <c r="AO46" s="16">
        <v>0</v>
      </c>
      <c r="AP46" s="16">
        <v>0</v>
      </c>
      <c r="AQ46" s="16">
        <v>0</v>
      </c>
      <c r="AR46" s="16">
        <v>2</v>
      </c>
      <c r="AS46" s="16">
        <v>90</v>
      </c>
      <c r="AT46" s="16">
        <v>738</v>
      </c>
      <c r="AU46" s="16">
        <v>2461</v>
      </c>
      <c r="AV46" s="16">
        <v>548</v>
      </c>
      <c r="AW46" s="16">
        <v>1</v>
      </c>
      <c r="AX46" s="16">
        <v>242</v>
      </c>
      <c r="AY46" s="16">
        <v>2</v>
      </c>
      <c r="AZ46" s="16">
        <v>2</v>
      </c>
      <c r="BA46" s="16">
        <v>0</v>
      </c>
      <c r="BB46" s="16">
        <v>13</v>
      </c>
      <c r="BC46" s="16">
        <v>0</v>
      </c>
      <c r="BD46" s="16">
        <v>2</v>
      </c>
      <c r="BE46" s="16">
        <v>263</v>
      </c>
      <c r="BF46" s="16">
        <v>273</v>
      </c>
      <c r="BG46" s="16">
        <v>22</v>
      </c>
      <c r="BH46" s="16">
        <v>2</v>
      </c>
      <c r="BI46" s="16">
        <v>80</v>
      </c>
      <c r="BJ46" s="16">
        <v>463</v>
      </c>
      <c r="BK46" s="16">
        <v>270</v>
      </c>
      <c r="BL46" s="16">
        <v>148</v>
      </c>
      <c r="BM46" s="16">
        <v>0</v>
      </c>
      <c r="BN46" s="16">
        <v>0</v>
      </c>
      <c r="BO46" s="16">
        <v>31</v>
      </c>
    </row>
    <row r="47" spans="1:67" s="5" customFormat="1" ht="21.9" customHeight="1" x14ac:dyDescent="0.25">
      <c r="A47" s="125"/>
      <c r="B47" s="4"/>
      <c r="C47" s="47" t="s">
        <v>76</v>
      </c>
      <c r="D47" s="48"/>
      <c r="E47" s="16">
        <f t="shared" si="0"/>
        <v>38</v>
      </c>
      <c r="F47" s="26">
        <v>0</v>
      </c>
      <c r="G47" s="26">
        <v>0</v>
      </c>
      <c r="H47" s="26">
        <v>0</v>
      </c>
      <c r="I47" s="26">
        <v>0</v>
      </c>
      <c r="J47" s="26">
        <v>0</v>
      </c>
      <c r="K47" s="26">
        <v>0</v>
      </c>
      <c r="L47" s="26">
        <v>0</v>
      </c>
      <c r="M47" s="26">
        <v>0</v>
      </c>
      <c r="N47" s="26">
        <v>0</v>
      </c>
      <c r="O47" s="26">
        <v>0</v>
      </c>
      <c r="P47" s="26">
        <v>0</v>
      </c>
      <c r="Q47" s="26">
        <v>0</v>
      </c>
      <c r="R47" s="26">
        <v>0</v>
      </c>
      <c r="S47" s="26">
        <v>0</v>
      </c>
      <c r="T47" s="26">
        <v>0</v>
      </c>
      <c r="U47" s="26">
        <v>0</v>
      </c>
      <c r="V47" s="26">
        <v>1</v>
      </c>
      <c r="W47" s="26">
        <v>0</v>
      </c>
      <c r="X47" s="26">
        <v>0</v>
      </c>
      <c r="Y47" s="26">
        <v>0</v>
      </c>
      <c r="Z47" s="26">
        <v>0</v>
      </c>
      <c r="AA47" s="26">
        <v>0</v>
      </c>
      <c r="AB47" s="26">
        <v>0</v>
      </c>
      <c r="AC47" s="26">
        <v>0</v>
      </c>
      <c r="AD47" s="26">
        <v>0</v>
      </c>
      <c r="AE47" s="26">
        <v>0</v>
      </c>
      <c r="AF47" s="26">
        <v>0</v>
      </c>
      <c r="AG47" s="26">
        <v>14</v>
      </c>
      <c r="AH47" s="26">
        <v>0</v>
      </c>
      <c r="AI47" s="26">
        <v>0</v>
      </c>
      <c r="AJ47" s="26">
        <v>0</v>
      </c>
      <c r="AK47" s="98">
        <v>0</v>
      </c>
      <c r="AL47" s="16">
        <v>0</v>
      </c>
      <c r="AM47" s="16">
        <v>0</v>
      </c>
      <c r="AN47" s="16">
        <v>1</v>
      </c>
      <c r="AO47" s="16">
        <v>0</v>
      </c>
      <c r="AP47" s="16">
        <v>0</v>
      </c>
      <c r="AQ47" s="16">
        <v>0</v>
      </c>
      <c r="AR47" s="16">
        <v>0</v>
      </c>
      <c r="AS47" s="16">
        <v>3</v>
      </c>
      <c r="AT47" s="16">
        <v>0</v>
      </c>
      <c r="AU47" s="16">
        <v>13</v>
      </c>
      <c r="AV47" s="16">
        <v>3</v>
      </c>
      <c r="AW47" s="16">
        <v>0</v>
      </c>
      <c r="AX47" s="16">
        <v>0</v>
      </c>
      <c r="AY47" s="16">
        <v>0</v>
      </c>
      <c r="AZ47" s="16">
        <v>0</v>
      </c>
      <c r="BA47" s="16">
        <v>0</v>
      </c>
      <c r="BB47" s="16">
        <v>3</v>
      </c>
      <c r="BC47" s="16">
        <v>0</v>
      </c>
      <c r="BD47" s="16">
        <v>0</v>
      </c>
      <c r="BE47" s="16">
        <v>0</v>
      </c>
      <c r="BF47" s="16">
        <v>0</v>
      </c>
      <c r="BG47" s="16">
        <v>0</v>
      </c>
      <c r="BH47" s="16">
        <v>0</v>
      </c>
      <c r="BI47" s="16">
        <v>0</v>
      </c>
      <c r="BJ47" s="16">
        <v>0</v>
      </c>
      <c r="BK47" s="16">
        <v>0</v>
      </c>
      <c r="BL47" s="16">
        <v>0</v>
      </c>
      <c r="BM47" s="16">
        <v>0</v>
      </c>
      <c r="BN47" s="16">
        <v>0</v>
      </c>
      <c r="BO47" s="16">
        <v>0</v>
      </c>
    </row>
    <row r="48" spans="1:67" s="5" customFormat="1" ht="21.9" customHeight="1" x14ac:dyDescent="0.25">
      <c r="A48" s="125" t="s">
        <v>92</v>
      </c>
      <c r="B48" s="4"/>
      <c r="C48" s="47" t="s">
        <v>75</v>
      </c>
      <c r="D48" s="48"/>
      <c r="E48" s="16">
        <f t="shared" si="0"/>
        <v>5628</v>
      </c>
      <c r="F48" s="16">
        <v>37</v>
      </c>
      <c r="G48" s="16">
        <v>25</v>
      </c>
      <c r="H48" s="16">
        <v>14</v>
      </c>
      <c r="I48" s="16">
        <v>2</v>
      </c>
      <c r="J48" s="16">
        <v>3</v>
      </c>
      <c r="K48" s="16">
        <v>7</v>
      </c>
      <c r="L48" s="26">
        <v>502</v>
      </c>
      <c r="M48" s="26">
        <v>164</v>
      </c>
      <c r="N48" s="26">
        <v>10</v>
      </c>
      <c r="O48" s="26">
        <v>80</v>
      </c>
      <c r="P48" s="26">
        <v>22</v>
      </c>
      <c r="Q48" s="26">
        <v>0</v>
      </c>
      <c r="R48" s="26">
        <v>189</v>
      </c>
      <c r="S48" s="26">
        <v>226</v>
      </c>
      <c r="T48" s="26">
        <v>29</v>
      </c>
      <c r="U48" s="26">
        <v>17</v>
      </c>
      <c r="V48" s="26">
        <v>200</v>
      </c>
      <c r="W48" s="26">
        <v>3</v>
      </c>
      <c r="X48" s="26">
        <v>3</v>
      </c>
      <c r="Y48" s="26">
        <v>35</v>
      </c>
      <c r="Z48" s="26">
        <v>66</v>
      </c>
      <c r="AA48" s="26">
        <v>32</v>
      </c>
      <c r="AB48" s="26">
        <v>36</v>
      </c>
      <c r="AC48" s="26">
        <v>67</v>
      </c>
      <c r="AD48" s="26">
        <v>858</v>
      </c>
      <c r="AE48" s="26">
        <v>150</v>
      </c>
      <c r="AF48" s="26">
        <v>0</v>
      </c>
      <c r="AG48" s="26">
        <v>389</v>
      </c>
      <c r="AH48" s="26">
        <v>27</v>
      </c>
      <c r="AI48" s="26">
        <v>1</v>
      </c>
      <c r="AJ48" s="26">
        <v>156</v>
      </c>
      <c r="AK48" s="98">
        <v>11</v>
      </c>
      <c r="AL48" s="16">
        <v>0</v>
      </c>
      <c r="AM48" s="16">
        <v>81</v>
      </c>
      <c r="AN48" s="16">
        <v>39</v>
      </c>
      <c r="AO48" s="16">
        <v>2</v>
      </c>
      <c r="AP48" s="16">
        <v>0</v>
      </c>
      <c r="AQ48" s="16">
        <v>1</v>
      </c>
      <c r="AR48" s="16">
        <v>240</v>
      </c>
      <c r="AS48" s="16">
        <v>52</v>
      </c>
      <c r="AT48" s="16">
        <v>9</v>
      </c>
      <c r="AU48" s="16">
        <v>250</v>
      </c>
      <c r="AV48" s="16">
        <v>26</v>
      </c>
      <c r="AW48" s="16">
        <v>5</v>
      </c>
      <c r="AX48" s="16">
        <v>76</v>
      </c>
      <c r="AY48" s="16">
        <v>16</v>
      </c>
      <c r="AZ48" s="16">
        <f>7+9+0</f>
        <v>16</v>
      </c>
      <c r="BA48" s="16">
        <v>27</v>
      </c>
      <c r="BB48" s="16">
        <v>26</v>
      </c>
      <c r="BC48" s="16">
        <v>1</v>
      </c>
      <c r="BD48" s="16">
        <v>0</v>
      </c>
      <c r="BE48" s="16">
        <v>58</v>
      </c>
      <c r="BF48" s="16">
        <v>82</v>
      </c>
      <c r="BG48" s="16">
        <v>63</v>
      </c>
      <c r="BH48" s="16">
        <v>7</v>
      </c>
      <c r="BI48" s="16">
        <v>4</v>
      </c>
      <c r="BJ48" s="16">
        <v>712</v>
      </c>
      <c r="BK48" s="16">
        <v>170</v>
      </c>
      <c r="BL48" s="16">
        <v>278</v>
      </c>
      <c r="BM48" s="16">
        <v>0</v>
      </c>
      <c r="BN48" s="16">
        <v>0</v>
      </c>
      <c r="BO48" s="16">
        <v>26</v>
      </c>
    </row>
    <row r="49" spans="1:191" s="5" customFormat="1" ht="21.9" customHeight="1" x14ac:dyDescent="0.25">
      <c r="A49" s="125"/>
      <c r="B49" s="4"/>
      <c r="C49" s="47" t="s">
        <v>76</v>
      </c>
      <c r="D49" s="48"/>
      <c r="E49" s="16">
        <f t="shared" si="0"/>
        <v>119</v>
      </c>
      <c r="F49" s="26">
        <v>0</v>
      </c>
      <c r="G49" s="26">
        <v>0</v>
      </c>
      <c r="H49" s="26">
        <v>0</v>
      </c>
      <c r="I49" s="26">
        <v>0</v>
      </c>
      <c r="J49" s="26">
        <v>2</v>
      </c>
      <c r="K49" s="26">
        <v>1</v>
      </c>
      <c r="L49" s="26">
        <v>0</v>
      </c>
      <c r="M49" s="26">
        <v>4</v>
      </c>
      <c r="N49" s="26">
        <v>0</v>
      </c>
      <c r="O49" s="26">
        <v>0</v>
      </c>
      <c r="P49" s="26">
        <v>1</v>
      </c>
      <c r="Q49" s="26">
        <v>0</v>
      </c>
      <c r="R49" s="26">
        <v>1</v>
      </c>
      <c r="S49" s="26">
        <v>4</v>
      </c>
      <c r="T49" s="26">
        <v>1</v>
      </c>
      <c r="U49" s="26">
        <v>0</v>
      </c>
      <c r="V49" s="26">
        <v>5</v>
      </c>
      <c r="W49" s="26">
        <v>0</v>
      </c>
      <c r="X49" s="26">
        <v>0</v>
      </c>
      <c r="Y49" s="26">
        <v>2</v>
      </c>
      <c r="Z49" s="26">
        <v>0</v>
      </c>
      <c r="AA49" s="26">
        <v>1</v>
      </c>
      <c r="AB49" s="26">
        <v>1</v>
      </c>
      <c r="AC49" s="26">
        <v>2</v>
      </c>
      <c r="AD49" s="26">
        <v>9</v>
      </c>
      <c r="AE49" s="26">
        <v>3</v>
      </c>
      <c r="AF49" s="26">
        <v>0</v>
      </c>
      <c r="AG49" s="26">
        <v>23</v>
      </c>
      <c r="AH49" s="26">
        <v>0</v>
      </c>
      <c r="AI49" s="26">
        <v>0</v>
      </c>
      <c r="AJ49" s="26">
        <v>3</v>
      </c>
      <c r="AK49" s="98">
        <v>0</v>
      </c>
      <c r="AL49" s="16">
        <v>0</v>
      </c>
      <c r="AM49" s="16">
        <v>0</v>
      </c>
      <c r="AN49" s="16">
        <v>5</v>
      </c>
      <c r="AO49" s="16">
        <v>0</v>
      </c>
      <c r="AP49" s="16">
        <v>0</v>
      </c>
      <c r="AQ49" s="16">
        <v>0</v>
      </c>
      <c r="AR49" s="16">
        <v>4</v>
      </c>
      <c r="AS49" s="16">
        <v>6</v>
      </c>
      <c r="AT49" s="16">
        <v>0</v>
      </c>
      <c r="AU49" s="16">
        <v>20</v>
      </c>
      <c r="AV49" s="16">
        <v>0</v>
      </c>
      <c r="AW49" s="16">
        <v>0</v>
      </c>
      <c r="AX49" s="16">
        <v>1</v>
      </c>
      <c r="AY49" s="16">
        <v>0</v>
      </c>
      <c r="AZ49" s="16">
        <v>1</v>
      </c>
      <c r="BA49" s="16">
        <v>0</v>
      </c>
      <c r="BB49" s="16">
        <v>1</v>
      </c>
      <c r="BC49" s="16">
        <v>0</v>
      </c>
      <c r="BD49" s="16">
        <v>0</v>
      </c>
      <c r="BE49" s="16">
        <v>0</v>
      </c>
      <c r="BF49" s="16">
        <v>1</v>
      </c>
      <c r="BG49" s="16">
        <v>1</v>
      </c>
      <c r="BH49" s="16">
        <v>0</v>
      </c>
      <c r="BI49" s="16">
        <v>2</v>
      </c>
      <c r="BJ49" s="16">
        <v>3</v>
      </c>
      <c r="BK49" s="16">
        <v>5</v>
      </c>
      <c r="BL49" s="16">
        <v>5</v>
      </c>
      <c r="BM49" s="16">
        <v>0</v>
      </c>
      <c r="BN49" s="16">
        <v>0</v>
      </c>
      <c r="BO49" s="16">
        <v>1</v>
      </c>
    </row>
    <row r="50" spans="1:191" s="5" customFormat="1" ht="21.9" customHeight="1" x14ac:dyDescent="0.25">
      <c r="A50" s="125" t="s">
        <v>93</v>
      </c>
      <c r="C50" s="47" t="s">
        <v>75</v>
      </c>
      <c r="D50" s="48"/>
      <c r="E50" s="16">
        <f t="shared" si="0"/>
        <v>9654</v>
      </c>
      <c r="F50" s="16">
        <v>147</v>
      </c>
      <c r="G50" s="16">
        <v>0</v>
      </c>
      <c r="H50" s="16">
        <v>0</v>
      </c>
      <c r="I50" s="16">
        <v>0</v>
      </c>
      <c r="J50" s="16">
        <v>0</v>
      </c>
      <c r="K50" s="16">
        <v>30</v>
      </c>
      <c r="L50" s="26">
        <v>145</v>
      </c>
      <c r="M50" s="26">
        <v>181</v>
      </c>
      <c r="N50" s="26">
        <v>0</v>
      </c>
      <c r="O50" s="26">
        <v>374</v>
      </c>
      <c r="P50" s="26">
        <v>70</v>
      </c>
      <c r="Q50" s="26">
        <v>0</v>
      </c>
      <c r="R50" s="26">
        <v>145</v>
      </c>
      <c r="S50" s="26">
        <v>237</v>
      </c>
      <c r="T50" s="26">
        <v>24</v>
      </c>
      <c r="U50" s="26">
        <v>378</v>
      </c>
      <c r="V50" s="26">
        <v>1249</v>
      </c>
      <c r="W50" s="26">
        <v>22</v>
      </c>
      <c r="X50" s="26">
        <v>18</v>
      </c>
      <c r="Y50" s="26">
        <v>69</v>
      </c>
      <c r="Z50" s="26">
        <v>77</v>
      </c>
      <c r="AA50" s="26">
        <v>60</v>
      </c>
      <c r="AB50" s="26">
        <v>166</v>
      </c>
      <c r="AC50" s="26">
        <v>208</v>
      </c>
      <c r="AD50" s="26">
        <v>526</v>
      </c>
      <c r="AE50" s="26">
        <v>298</v>
      </c>
      <c r="AF50" s="26">
        <v>0</v>
      </c>
      <c r="AG50" s="26">
        <v>1548</v>
      </c>
      <c r="AH50" s="26">
        <v>85</v>
      </c>
      <c r="AI50" s="26">
        <v>0</v>
      </c>
      <c r="AJ50" s="26">
        <v>321</v>
      </c>
      <c r="AK50" s="98">
        <v>31</v>
      </c>
      <c r="AL50" s="16">
        <v>0</v>
      </c>
      <c r="AM50" s="16">
        <v>405</v>
      </c>
      <c r="AN50" s="16">
        <v>46</v>
      </c>
      <c r="AO50" s="16">
        <v>0</v>
      </c>
      <c r="AP50" s="16">
        <v>0</v>
      </c>
      <c r="AQ50" s="16">
        <f>10+1+0</f>
        <v>11</v>
      </c>
      <c r="AR50" s="16">
        <v>6</v>
      </c>
      <c r="AS50" s="16">
        <v>20</v>
      </c>
      <c r="AT50" s="16">
        <v>3</v>
      </c>
      <c r="AU50" s="16">
        <v>76</v>
      </c>
      <c r="AV50" s="16">
        <v>250</v>
      </c>
      <c r="AW50" s="16">
        <v>5</v>
      </c>
      <c r="AX50" s="16">
        <v>282</v>
      </c>
      <c r="AY50" s="16">
        <v>112</v>
      </c>
      <c r="AZ50" s="16">
        <f>902+58+0</f>
        <v>960</v>
      </c>
      <c r="BA50" s="16">
        <v>149</v>
      </c>
      <c r="BB50" s="16">
        <v>31</v>
      </c>
      <c r="BC50" s="16">
        <v>1</v>
      </c>
      <c r="BD50" s="16">
        <v>0</v>
      </c>
      <c r="BE50" s="16">
        <v>88</v>
      </c>
      <c r="BF50" s="16">
        <v>147</v>
      </c>
      <c r="BG50" s="16">
        <v>196</v>
      </c>
      <c r="BH50" s="16">
        <v>7</v>
      </c>
      <c r="BI50" s="16">
        <v>0</v>
      </c>
      <c r="BJ50" s="16">
        <v>102</v>
      </c>
      <c r="BK50" s="16">
        <v>41</v>
      </c>
      <c r="BL50" s="16">
        <v>196</v>
      </c>
      <c r="BM50" s="16">
        <v>0</v>
      </c>
      <c r="BN50" s="16">
        <v>0</v>
      </c>
      <c r="BO50" s="16">
        <v>111</v>
      </c>
    </row>
    <row r="51" spans="1:191" s="5" customFormat="1" ht="21.9" customHeight="1" x14ac:dyDescent="0.25">
      <c r="A51" s="125"/>
      <c r="C51" s="47" t="s">
        <v>76</v>
      </c>
      <c r="D51" s="48"/>
      <c r="E51" s="16">
        <f t="shared" si="0"/>
        <v>30</v>
      </c>
      <c r="F51" s="26">
        <v>0</v>
      </c>
      <c r="G51" s="26">
        <v>0</v>
      </c>
      <c r="H51" s="26">
        <v>0</v>
      </c>
      <c r="I51" s="26">
        <v>0</v>
      </c>
      <c r="J51" s="26">
        <v>0</v>
      </c>
      <c r="K51" s="26">
        <v>0</v>
      </c>
      <c r="L51" s="26">
        <v>0</v>
      </c>
      <c r="M51" s="26">
        <v>0</v>
      </c>
      <c r="N51" s="26">
        <v>0</v>
      </c>
      <c r="O51" s="26">
        <v>0</v>
      </c>
      <c r="P51" s="26">
        <v>0</v>
      </c>
      <c r="Q51" s="26">
        <v>0</v>
      </c>
      <c r="R51" s="26">
        <v>1</v>
      </c>
      <c r="S51" s="26">
        <v>1</v>
      </c>
      <c r="T51" s="26">
        <v>0</v>
      </c>
      <c r="U51" s="26">
        <v>0</v>
      </c>
      <c r="V51" s="26">
        <v>2</v>
      </c>
      <c r="W51" s="26">
        <v>0</v>
      </c>
      <c r="X51" s="26">
        <v>0</v>
      </c>
      <c r="Y51" s="26">
        <v>1</v>
      </c>
      <c r="Z51" s="26">
        <v>0</v>
      </c>
      <c r="AA51" s="26">
        <v>0</v>
      </c>
      <c r="AB51" s="26">
        <v>1</v>
      </c>
      <c r="AC51" s="26">
        <v>0</v>
      </c>
      <c r="AD51" s="26">
        <v>0</v>
      </c>
      <c r="AE51" s="26">
        <v>0</v>
      </c>
      <c r="AF51" s="26">
        <v>0</v>
      </c>
      <c r="AG51" s="26">
        <v>15</v>
      </c>
      <c r="AH51" s="26">
        <v>0</v>
      </c>
      <c r="AI51" s="26">
        <v>0</v>
      </c>
      <c r="AJ51" s="26">
        <v>1</v>
      </c>
      <c r="AK51" s="98">
        <v>0</v>
      </c>
      <c r="AL51" s="16">
        <v>0</v>
      </c>
      <c r="AM51" s="16">
        <v>2</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2</v>
      </c>
      <c r="BG51" s="16">
        <v>1</v>
      </c>
      <c r="BH51" s="16">
        <v>0</v>
      </c>
      <c r="BI51" s="16">
        <v>0</v>
      </c>
      <c r="BJ51" s="16">
        <v>3</v>
      </c>
      <c r="BK51" s="16">
        <v>0</v>
      </c>
      <c r="BL51" s="16">
        <v>0</v>
      </c>
      <c r="BM51" s="16">
        <v>0</v>
      </c>
      <c r="BN51" s="16">
        <v>0</v>
      </c>
      <c r="BO51" s="16">
        <v>0</v>
      </c>
    </row>
    <row r="52" spans="1:191" s="5" customFormat="1" ht="21.9" customHeight="1" x14ac:dyDescent="0.25">
      <c r="A52" s="125" t="s">
        <v>94</v>
      </c>
      <c r="B52" s="4"/>
      <c r="C52" s="47" t="s">
        <v>75</v>
      </c>
      <c r="D52" s="48"/>
      <c r="E52" s="16">
        <f t="shared" si="0"/>
        <v>7932</v>
      </c>
      <c r="F52" s="16">
        <v>9</v>
      </c>
      <c r="G52" s="16">
        <v>5</v>
      </c>
      <c r="H52" s="16">
        <v>9</v>
      </c>
      <c r="I52" s="16">
        <v>2</v>
      </c>
      <c r="J52" s="16">
        <v>27</v>
      </c>
      <c r="K52" s="16">
        <v>27</v>
      </c>
      <c r="L52" s="26">
        <v>276</v>
      </c>
      <c r="M52" s="26">
        <v>197</v>
      </c>
      <c r="N52" s="26">
        <v>38</v>
      </c>
      <c r="O52" s="26">
        <v>184</v>
      </c>
      <c r="P52" s="26">
        <v>42</v>
      </c>
      <c r="Q52" s="26">
        <v>1</v>
      </c>
      <c r="R52" s="26">
        <v>126</v>
      </c>
      <c r="S52" s="26">
        <v>196</v>
      </c>
      <c r="T52" s="26">
        <v>146</v>
      </c>
      <c r="U52" s="26">
        <v>136</v>
      </c>
      <c r="V52" s="26">
        <v>534</v>
      </c>
      <c r="W52" s="26">
        <v>5</v>
      </c>
      <c r="X52" s="26">
        <v>23</v>
      </c>
      <c r="Y52" s="26">
        <v>66</v>
      </c>
      <c r="Z52" s="26">
        <v>427</v>
      </c>
      <c r="AA52" s="26">
        <v>79</v>
      </c>
      <c r="AB52" s="26">
        <v>90</v>
      </c>
      <c r="AC52" s="26">
        <v>158</v>
      </c>
      <c r="AD52" s="26">
        <v>1470</v>
      </c>
      <c r="AE52" s="26">
        <v>315</v>
      </c>
      <c r="AF52" s="26">
        <v>0</v>
      </c>
      <c r="AG52" s="26">
        <v>428</v>
      </c>
      <c r="AH52" s="26">
        <v>105</v>
      </c>
      <c r="AI52" s="26">
        <v>2</v>
      </c>
      <c r="AJ52" s="26">
        <v>341</v>
      </c>
      <c r="AK52" s="98">
        <v>23</v>
      </c>
      <c r="AL52" s="16">
        <v>0</v>
      </c>
      <c r="AM52" s="16">
        <v>151</v>
      </c>
      <c r="AN52" s="16">
        <v>107</v>
      </c>
      <c r="AO52" s="16">
        <v>2</v>
      </c>
      <c r="AP52" s="16">
        <v>0</v>
      </c>
      <c r="AQ52" s="16">
        <v>0</v>
      </c>
      <c r="AR52" s="16">
        <v>19</v>
      </c>
      <c r="AS52" s="16">
        <v>65</v>
      </c>
      <c r="AT52" s="16">
        <v>115</v>
      </c>
      <c r="AU52" s="16">
        <v>597</v>
      </c>
      <c r="AV52" s="16">
        <v>28</v>
      </c>
      <c r="AW52" s="16">
        <v>31</v>
      </c>
      <c r="AX52" s="16">
        <v>114</v>
      </c>
      <c r="AY52" s="16">
        <v>11</v>
      </c>
      <c r="AZ52" s="16">
        <f>1+13+0</f>
        <v>14</v>
      </c>
      <c r="BA52" s="16">
        <v>43</v>
      </c>
      <c r="BB52" s="16">
        <v>14</v>
      </c>
      <c r="BC52" s="16">
        <v>4</v>
      </c>
      <c r="BD52" s="16">
        <v>0</v>
      </c>
      <c r="BE52" s="16">
        <v>189</v>
      </c>
      <c r="BF52" s="16">
        <v>284</v>
      </c>
      <c r="BG52" s="16">
        <v>235</v>
      </c>
      <c r="BH52" s="16">
        <v>19</v>
      </c>
      <c r="BI52" s="16">
        <f>0+2+0</f>
        <v>2</v>
      </c>
      <c r="BJ52" s="16">
        <v>83</v>
      </c>
      <c r="BK52" s="16">
        <v>113</v>
      </c>
      <c r="BL52" s="16">
        <v>80</v>
      </c>
      <c r="BM52" s="16">
        <v>0</v>
      </c>
      <c r="BN52" s="16">
        <v>0</v>
      </c>
      <c r="BO52" s="16">
        <v>125</v>
      </c>
    </row>
    <row r="53" spans="1:191" s="5" customFormat="1" ht="21.9" customHeight="1" x14ac:dyDescent="0.25">
      <c r="A53" s="125"/>
      <c r="B53" s="4"/>
      <c r="C53" s="47" t="s">
        <v>76</v>
      </c>
      <c r="D53" s="48"/>
      <c r="E53" s="16">
        <f t="shared" si="0"/>
        <v>73</v>
      </c>
      <c r="F53" s="26">
        <v>0</v>
      </c>
      <c r="G53" s="26">
        <v>0</v>
      </c>
      <c r="H53" s="26">
        <v>0</v>
      </c>
      <c r="I53" s="26">
        <v>0</v>
      </c>
      <c r="J53" s="26">
        <v>1</v>
      </c>
      <c r="K53" s="26">
        <v>0</v>
      </c>
      <c r="L53" s="26">
        <v>1</v>
      </c>
      <c r="M53" s="26">
        <v>0</v>
      </c>
      <c r="N53" s="26">
        <v>0</v>
      </c>
      <c r="O53" s="26">
        <v>0</v>
      </c>
      <c r="P53" s="26">
        <v>2</v>
      </c>
      <c r="Q53" s="26">
        <v>0</v>
      </c>
      <c r="R53" s="26">
        <v>1</v>
      </c>
      <c r="S53" s="26">
        <v>1</v>
      </c>
      <c r="T53" s="26">
        <v>0</v>
      </c>
      <c r="U53" s="26">
        <v>0</v>
      </c>
      <c r="V53" s="26">
        <v>4</v>
      </c>
      <c r="W53" s="26">
        <v>0</v>
      </c>
      <c r="X53" s="26">
        <v>0</v>
      </c>
      <c r="Y53" s="26">
        <v>1</v>
      </c>
      <c r="Z53" s="26">
        <v>0</v>
      </c>
      <c r="AA53" s="26">
        <v>1</v>
      </c>
      <c r="AB53" s="26">
        <v>2</v>
      </c>
      <c r="AC53" s="26">
        <v>0</v>
      </c>
      <c r="AD53" s="26">
        <v>10</v>
      </c>
      <c r="AE53" s="26">
        <v>3</v>
      </c>
      <c r="AF53" s="26">
        <v>0</v>
      </c>
      <c r="AG53" s="26">
        <v>16</v>
      </c>
      <c r="AH53" s="26">
        <v>0</v>
      </c>
      <c r="AI53" s="26">
        <v>0</v>
      </c>
      <c r="AJ53" s="26">
        <v>2</v>
      </c>
      <c r="AK53" s="98">
        <v>1</v>
      </c>
      <c r="AL53" s="16">
        <v>0</v>
      </c>
      <c r="AM53" s="16">
        <v>5</v>
      </c>
      <c r="AN53" s="16">
        <v>1</v>
      </c>
      <c r="AO53" s="16">
        <v>0</v>
      </c>
      <c r="AP53" s="16">
        <v>0</v>
      </c>
      <c r="AQ53" s="16">
        <v>0</v>
      </c>
      <c r="AR53" s="16">
        <v>0</v>
      </c>
      <c r="AS53" s="16">
        <v>6</v>
      </c>
      <c r="AT53" s="16">
        <v>0</v>
      </c>
      <c r="AU53" s="16">
        <v>6</v>
      </c>
      <c r="AV53" s="16">
        <v>0</v>
      </c>
      <c r="AW53" s="16">
        <v>0</v>
      </c>
      <c r="AX53" s="16">
        <v>0</v>
      </c>
      <c r="AY53" s="16">
        <v>0</v>
      </c>
      <c r="AZ53" s="16">
        <v>0</v>
      </c>
      <c r="BA53" s="16">
        <v>0</v>
      </c>
      <c r="BB53" s="16">
        <v>1</v>
      </c>
      <c r="BC53" s="16">
        <v>0</v>
      </c>
      <c r="BD53" s="16">
        <v>0</v>
      </c>
      <c r="BE53" s="16">
        <v>0</v>
      </c>
      <c r="BF53" s="16">
        <v>1</v>
      </c>
      <c r="BG53" s="16">
        <v>0</v>
      </c>
      <c r="BH53" s="16">
        <v>0</v>
      </c>
      <c r="BI53" s="16">
        <v>0</v>
      </c>
      <c r="BJ53" s="16">
        <v>2</v>
      </c>
      <c r="BK53" s="16">
        <v>3</v>
      </c>
      <c r="BL53" s="16">
        <v>0</v>
      </c>
      <c r="BM53" s="16">
        <v>0</v>
      </c>
      <c r="BN53" s="16">
        <v>0</v>
      </c>
      <c r="BO53" s="16">
        <v>2</v>
      </c>
    </row>
    <row r="54" spans="1:191" s="5" customFormat="1" ht="21.9" customHeight="1" x14ac:dyDescent="0.25">
      <c r="A54" s="125" t="s">
        <v>95</v>
      </c>
      <c r="B54" s="4"/>
      <c r="C54" s="47" t="s">
        <v>75</v>
      </c>
      <c r="D54" s="48"/>
      <c r="E54" s="16">
        <f t="shared" si="0"/>
        <v>2348</v>
      </c>
      <c r="F54" s="16">
        <v>0</v>
      </c>
      <c r="G54" s="16">
        <v>0</v>
      </c>
      <c r="H54" s="16">
        <v>0</v>
      </c>
      <c r="I54" s="16">
        <v>0</v>
      </c>
      <c r="J54" s="16">
        <v>0</v>
      </c>
      <c r="K54" s="16">
        <v>0</v>
      </c>
      <c r="L54" s="26">
        <v>177</v>
      </c>
      <c r="M54" s="26">
        <v>106</v>
      </c>
      <c r="N54" s="26">
        <v>0</v>
      </c>
      <c r="O54" s="26">
        <v>19</v>
      </c>
      <c r="P54" s="26">
        <v>15</v>
      </c>
      <c r="Q54" s="26">
        <v>0</v>
      </c>
      <c r="R54" s="26">
        <v>91</v>
      </c>
      <c r="S54" s="26">
        <v>83</v>
      </c>
      <c r="T54" s="26">
        <v>0</v>
      </c>
      <c r="U54" s="26">
        <v>14</v>
      </c>
      <c r="V54" s="26">
        <v>93</v>
      </c>
      <c r="W54" s="26">
        <v>0</v>
      </c>
      <c r="X54" s="26">
        <v>0</v>
      </c>
      <c r="Y54" s="26">
        <v>39</v>
      </c>
      <c r="Z54" s="26">
        <v>77</v>
      </c>
      <c r="AA54" s="26">
        <v>45</v>
      </c>
      <c r="AB54" s="26">
        <v>221</v>
      </c>
      <c r="AC54" s="26">
        <v>14</v>
      </c>
      <c r="AD54" s="26">
        <v>185</v>
      </c>
      <c r="AE54" s="26">
        <v>10</v>
      </c>
      <c r="AF54" s="26">
        <v>0</v>
      </c>
      <c r="AG54" s="26">
        <v>501</v>
      </c>
      <c r="AH54" s="26">
        <v>0</v>
      </c>
      <c r="AI54" s="26">
        <v>0</v>
      </c>
      <c r="AJ54" s="26">
        <v>11</v>
      </c>
      <c r="AK54" s="98">
        <v>7</v>
      </c>
      <c r="AL54" s="16">
        <v>0</v>
      </c>
      <c r="AM54" s="16">
        <v>71</v>
      </c>
      <c r="AN54" s="16">
        <v>8</v>
      </c>
      <c r="AO54" s="16">
        <v>0</v>
      </c>
      <c r="AP54" s="16">
        <v>0</v>
      </c>
      <c r="AQ54" s="16">
        <v>0</v>
      </c>
      <c r="AR54" s="16">
        <v>1</v>
      </c>
      <c r="AS54" s="16">
        <v>16</v>
      </c>
      <c r="AT54" s="16">
        <v>3</v>
      </c>
      <c r="AU54" s="16">
        <v>105</v>
      </c>
      <c r="AV54" s="16">
        <v>120</v>
      </c>
      <c r="AW54" s="16">
        <v>0</v>
      </c>
      <c r="AX54" s="16">
        <v>30</v>
      </c>
      <c r="AY54" s="16">
        <v>0</v>
      </c>
      <c r="AZ54" s="16">
        <v>0</v>
      </c>
      <c r="BA54" s="16">
        <v>0</v>
      </c>
      <c r="BB54" s="16">
        <v>10</v>
      </c>
      <c r="BC54" s="16">
        <v>4</v>
      </c>
      <c r="BD54" s="16">
        <v>0</v>
      </c>
      <c r="BE54" s="16">
        <v>14</v>
      </c>
      <c r="BF54" s="16">
        <v>21</v>
      </c>
      <c r="BG54" s="16">
        <v>2</v>
      </c>
      <c r="BH54" s="16">
        <v>0</v>
      </c>
      <c r="BI54" s="16">
        <v>0</v>
      </c>
      <c r="BJ54" s="16">
        <v>74</v>
      </c>
      <c r="BK54" s="16">
        <v>135</v>
      </c>
      <c r="BL54" s="16">
        <v>6</v>
      </c>
      <c r="BM54" s="16">
        <v>0</v>
      </c>
      <c r="BN54" s="16">
        <v>0</v>
      </c>
      <c r="BO54" s="16">
        <v>20</v>
      </c>
    </row>
    <row r="55" spans="1:191" s="5" customFormat="1" ht="21.9" customHeight="1" x14ac:dyDescent="0.25">
      <c r="A55" s="125"/>
      <c r="B55" s="4"/>
      <c r="C55" s="47" t="s">
        <v>76</v>
      </c>
      <c r="D55" s="48"/>
      <c r="E55" s="16">
        <f t="shared" si="0"/>
        <v>40</v>
      </c>
      <c r="F55" s="26">
        <v>0</v>
      </c>
      <c r="G55" s="26">
        <v>0</v>
      </c>
      <c r="H55" s="26">
        <v>0</v>
      </c>
      <c r="I55" s="26">
        <v>0</v>
      </c>
      <c r="J55" s="26">
        <v>0</v>
      </c>
      <c r="K55" s="26">
        <v>0</v>
      </c>
      <c r="L55" s="26">
        <v>0</v>
      </c>
      <c r="M55" s="26">
        <v>0</v>
      </c>
      <c r="N55" s="26">
        <v>0</v>
      </c>
      <c r="O55" s="26">
        <v>0</v>
      </c>
      <c r="P55" s="26">
        <v>1</v>
      </c>
      <c r="Q55" s="26">
        <v>0</v>
      </c>
      <c r="R55" s="26">
        <v>0</v>
      </c>
      <c r="S55" s="26">
        <v>0</v>
      </c>
      <c r="T55" s="26">
        <v>0</v>
      </c>
      <c r="U55" s="26">
        <v>1</v>
      </c>
      <c r="V55" s="26">
        <v>3</v>
      </c>
      <c r="W55" s="26">
        <v>0</v>
      </c>
      <c r="X55" s="26">
        <v>0</v>
      </c>
      <c r="Y55" s="26">
        <v>0</v>
      </c>
      <c r="Z55" s="26">
        <v>0</v>
      </c>
      <c r="AA55" s="26">
        <v>0</v>
      </c>
      <c r="AB55" s="26">
        <v>0</v>
      </c>
      <c r="AC55" s="26">
        <v>0</v>
      </c>
      <c r="AD55" s="26">
        <v>0</v>
      </c>
      <c r="AE55" s="26">
        <v>0</v>
      </c>
      <c r="AF55" s="26">
        <v>0</v>
      </c>
      <c r="AG55" s="26">
        <v>27</v>
      </c>
      <c r="AH55" s="26">
        <v>0</v>
      </c>
      <c r="AI55" s="26">
        <v>0</v>
      </c>
      <c r="AJ55" s="26">
        <v>1</v>
      </c>
      <c r="AK55" s="98">
        <v>0</v>
      </c>
      <c r="AL55" s="16">
        <v>0</v>
      </c>
      <c r="AM55" s="16">
        <v>0</v>
      </c>
      <c r="AN55" s="16">
        <v>0</v>
      </c>
      <c r="AO55" s="16">
        <v>0</v>
      </c>
      <c r="AP55" s="16">
        <v>0</v>
      </c>
      <c r="AQ55" s="16">
        <v>0</v>
      </c>
      <c r="AR55" s="16">
        <v>1</v>
      </c>
      <c r="AS55" s="16">
        <v>3</v>
      </c>
      <c r="AT55" s="16">
        <v>0</v>
      </c>
      <c r="AU55" s="16">
        <v>3</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row>
    <row r="56" spans="1:191" s="5" customFormat="1" ht="21.9" customHeight="1" x14ac:dyDescent="0.25">
      <c r="A56" s="125" t="s">
        <v>96</v>
      </c>
      <c r="B56" s="4"/>
      <c r="C56" s="47" t="s">
        <v>75</v>
      </c>
      <c r="D56" s="48"/>
      <c r="E56" s="16">
        <f t="shared" si="0"/>
        <v>1288</v>
      </c>
      <c r="F56" s="16">
        <v>0</v>
      </c>
      <c r="G56" s="16">
        <v>0</v>
      </c>
      <c r="H56" s="16">
        <v>0</v>
      </c>
      <c r="I56" s="16">
        <v>0</v>
      </c>
      <c r="J56" s="16">
        <v>0</v>
      </c>
      <c r="K56" s="16">
        <v>0</v>
      </c>
      <c r="L56" s="26">
        <v>57</v>
      </c>
      <c r="M56" s="26">
        <v>25</v>
      </c>
      <c r="N56" s="26">
        <v>0</v>
      </c>
      <c r="O56" s="26">
        <v>47</v>
      </c>
      <c r="P56" s="26">
        <v>2</v>
      </c>
      <c r="Q56" s="26">
        <v>0</v>
      </c>
      <c r="R56" s="26">
        <v>125</v>
      </c>
      <c r="S56" s="26">
        <v>40</v>
      </c>
      <c r="T56" s="26">
        <v>0</v>
      </c>
      <c r="U56" s="26">
        <v>3</v>
      </c>
      <c r="V56" s="26">
        <v>51</v>
      </c>
      <c r="W56" s="26">
        <v>0</v>
      </c>
      <c r="X56" s="26">
        <v>0</v>
      </c>
      <c r="Y56" s="26">
        <v>23</v>
      </c>
      <c r="Z56" s="26">
        <v>3</v>
      </c>
      <c r="AA56" s="26">
        <v>4</v>
      </c>
      <c r="AB56" s="26">
        <v>55</v>
      </c>
      <c r="AC56" s="26">
        <v>8</v>
      </c>
      <c r="AD56" s="26">
        <v>61</v>
      </c>
      <c r="AE56" s="26">
        <v>28</v>
      </c>
      <c r="AF56" s="26">
        <v>0</v>
      </c>
      <c r="AG56" s="26">
        <v>531</v>
      </c>
      <c r="AH56" s="26">
        <v>0</v>
      </c>
      <c r="AI56" s="26">
        <v>0</v>
      </c>
      <c r="AJ56" s="26">
        <v>60</v>
      </c>
      <c r="AK56" s="98">
        <v>0</v>
      </c>
      <c r="AL56" s="16">
        <v>0</v>
      </c>
      <c r="AM56" s="16">
        <v>56</v>
      </c>
      <c r="AN56" s="16">
        <v>0</v>
      </c>
      <c r="AO56" s="16">
        <v>0</v>
      </c>
      <c r="AP56" s="16">
        <v>0</v>
      </c>
      <c r="AQ56" s="16">
        <v>0</v>
      </c>
      <c r="AR56" s="16">
        <v>0</v>
      </c>
      <c r="AS56" s="16">
        <v>17</v>
      </c>
      <c r="AT56" s="16">
        <v>0</v>
      </c>
      <c r="AU56" s="16">
        <v>18</v>
      </c>
      <c r="AV56" s="16">
        <v>0</v>
      </c>
      <c r="AW56" s="16">
        <v>0</v>
      </c>
      <c r="AX56" s="16">
        <v>2</v>
      </c>
      <c r="AY56" s="16">
        <v>2</v>
      </c>
      <c r="AZ56" s="16">
        <v>0</v>
      </c>
      <c r="BA56" s="16">
        <v>0</v>
      </c>
      <c r="BB56" s="16">
        <v>10</v>
      </c>
      <c r="BC56" s="16">
        <v>0</v>
      </c>
      <c r="BD56" s="16">
        <v>0</v>
      </c>
      <c r="BE56" s="16">
        <v>2</v>
      </c>
      <c r="BF56" s="16">
        <v>3</v>
      </c>
      <c r="BG56" s="16">
        <v>0</v>
      </c>
      <c r="BH56" s="16">
        <v>0</v>
      </c>
      <c r="BI56" s="16">
        <v>0</v>
      </c>
      <c r="BJ56" s="16">
        <v>44</v>
      </c>
      <c r="BK56" s="16">
        <v>11</v>
      </c>
      <c r="BL56" s="16">
        <v>0</v>
      </c>
      <c r="BM56" s="16">
        <v>0</v>
      </c>
      <c r="BN56" s="16">
        <v>0</v>
      </c>
      <c r="BO56" s="16">
        <v>0</v>
      </c>
    </row>
    <row r="57" spans="1:191" s="5" customFormat="1" ht="21.9" customHeight="1" x14ac:dyDescent="0.25">
      <c r="A57" s="134"/>
      <c r="B57" s="6"/>
      <c r="C57" s="49" t="s">
        <v>76</v>
      </c>
      <c r="D57" s="50"/>
      <c r="E57" s="55">
        <f t="shared" si="0"/>
        <v>7</v>
      </c>
      <c r="F57" s="56">
        <v>0</v>
      </c>
      <c r="G57" s="56">
        <v>0</v>
      </c>
      <c r="H57" s="56">
        <v>0</v>
      </c>
      <c r="I57" s="56">
        <v>0</v>
      </c>
      <c r="J57" s="56">
        <v>0</v>
      </c>
      <c r="K57" s="56">
        <v>0</v>
      </c>
      <c r="L57" s="56">
        <v>0</v>
      </c>
      <c r="M57" s="56">
        <v>0</v>
      </c>
      <c r="N57" s="56">
        <v>0</v>
      </c>
      <c r="O57" s="56">
        <v>0</v>
      </c>
      <c r="P57" s="56">
        <v>0</v>
      </c>
      <c r="Q57" s="56">
        <v>0</v>
      </c>
      <c r="R57" s="56">
        <v>1</v>
      </c>
      <c r="S57" s="56">
        <v>0</v>
      </c>
      <c r="T57" s="56">
        <v>0</v>
      </c>
      <c r="U57" s="56">
        <v>0</v>
      </c>
      <c r="V57" s="56">
        <v>0</v>
      </c>
      <c r="W57" s="56">
        <v>0</v>
      </c>
      <c r="X57" s="56">
        <v>0</v>
      </c>
      <c r="Y57" s="56">
        <v>0</v>
      </c>
      <c r="Z57" s="56">
        <v>0</v>
      </c>
      <c r="AA57" s="56">
        <v>0</v>
      </c>
      <c r="AB57" s="56">
        <v>0</v>
      </c>
      <c r="AC57" s="56">
        <v>0</v>
      </c>
      <c r="AD57" s="56">
        <v>0</v>
      </c>
      <c r="AE57" s="56">
        <v>0</v>
      </c>
      <c r="AF57" s="56">
        <v>0</v>
      </c>
      <c r="AG57" s="56">
        <v>5</v>
      </c>
      <c r="AH57" s="56">
        <v>0</v>
      </c>
      <c r="AI57" s="56">
        <v>0</v>
      </c>
      <c r="AJ57" s="56">
        <v>0</v>
      </c>
      <c r="AK57" s="55">
        <v>0</v>
      </c>
      <c r="AL57" s="57">
        <v>0</v>
      </c>
      <c r="AM57" s="57">
        <v>1</v>
      </c>
      <c r="AN57" s="57">
        <v>0</v>
      </c>
      <c r="AO57" s="57">
        <v>0</v>
      </c>
      <c r="AP57" s="57">
        <v>0</v>
      </c>
      <c r="AQ57" s="57">
        <v>0</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row>
    <row r="58" spans="1:191" s="58" customFormat="1" ht="21.9" customHeight="1" x14ac:dyDescent="0.3">
      <c r="AA58" s="59"/>
      <c r="AC58" s="60"/>
      <c r="AG58" s="61"/>
      <c r="AI58" s="62"/>
      <c r="AK58" s="63" t="s">
        <v>191</v>
      </c>
      <c r="AL58" s="63"/>
      <c r="AM58" s="63"/>
      <c r="AN58" s="64"/>
      <c r="AO58" s="64"/>
      <c r="AP58" s="63" t="s">
        <v>178</v>
      </c>
      <c r="AQ58" s="63"/>
      <c r="AR58" s="5"/>
      <c r="AS58" s="63"/>
      <c r="AT58" s="5"/>
      <c r="AV58" s="63"/>
      <c r="AW58" s="5" t="s">
        <v>179</v>
      </c>
      <c r="AX58" s="64"/>
      <c r="AY58" s="64"/>
      <c r="AZ58" s="5"/>
      <c r="BB58" s="63"/>
      <c r="BC58" s="5"/>
      <c r="BD58" s="65"/>
      <c r="BE58" s="64"/>
      <c r="BF58" s="5" t="s">
        <v>180</v>
      </c>
      <c r="BG58" s="5"/>
      <c r="BH58" s="5"/>
      <c r="BI58" s="5"/>
      <c r="BJ58" s="5"/>
      <c r="BL58" s="5"/>
      <c r="BM58" s="5"/>
      <c r="BN58" s="5"/>
      <c r="BO58" s="105"/>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row>
    <row r="59" spans="1:191" s="58" customFormat="1" ht="21.9" customHeight="1" x14ac:dyDescent="0.3">
      <c r="AG59" s="61"/>
      <c r="AI59" s="62"/>
      <c r="AK59" s="63"/>
      <c r="AL59" s="63"/>
      <c r="AM59" s="63"/>
      <c r="AN59" s="64"/>
      <c r="AO59" s="64"/>
      <c r="AP59" s="64"/>
      <c r="AQ59" s="65"/>
      <c r="AR59" s="63"/>
      <c r="AS59" s="63"/>
      <c r="AT59" s="63"/>
      <c r="AV59" s="63"/>
      <c r="AW59" s="65" t="s">
        <v>181</v>
      </c>
      <c r="AX59" s="63"/>
      <c r="AY59" s="63"/>
      <c r="AZ59" s="5"/>
      <c r="BA59" s="63"/>
      <c r="BB59" s="63"/>
      <c r="BC59" s="5"/>
      <c r="BD59" s="65"/>
      <c r="BE59" s="63"/>
      <c r="BF59" s="5"/>
      <c r="BG59" s="65"/>
      <c r="BH59" s="5"/>
      <c r="BI59" s="63"/>
      <c r="BJ59" s="63"/>
      <c r="BK59" s="63"/>
      <c r="BL59" s="5"/>
      <c r="BM59" s="5"/>
      <c r="BN59" s="5"/>
      <c r="BO59" s="5"/>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row>
    <row r="60" spans="1:191" s="58" customFormat="1" ht="21.9" customHeight="1" x14ac:dyDescent="0.3">
      <c r="Z60" s="73"/>
      <c r="AA60" s="74"/>
      <c r="AB60" s="73"/>
      <c r="AC60" s="75"/>
      <c r="AD60" s="75"/>
      <c r="AE60" s="75"/>
      <c r="AF60" s="75"/>
      <c r="AI60" s="62"/>
      <c r="AK60" s="76" t="s">
        <v>192</v>
      </c>
      <c r="AL60" s="5"/>
      <c r="AN60" s="76"/>
      <c r="AO60" s="76"/>
      <c r="AP60" s="77"/>
      <c r="AQ60" s="76"/>
      <c r="AR60" s="104"/>
      <c r="AS60" s="76"/>
      <c r="AT60" s="76"/>
      <c r="AU60" s="76"/>
      <c r="AV60" s="76"/>
      <c r="AW60" s="76"/>
      <c r="AX60" s="77"/>
      <c r="AY60" s="76"/>
      <c r="AZ60" s="76"/>
      <c r="BA60" s="76"/>
      <c r="BB60" s="76"/>
      <c r="BC60" s="59"/>
      <c r="BD60" s="59"/>
      <c r="BE60" s="59"/>
      <c r="BF60" s="75"/>
      <c r="BG60" s="78"/>
      <c r="BH60" s="78"/>
      <c r="BI60" s="5"/>
      <c r="BJ60" s="5"/>
      <c r="BK60" s="5"/>
      <c r="BL60" s="5"/>
      <c r="BM60" s="5"/>
      <c r="BN60" s="5"/>
      <c r="BO60" s="5"/>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row>
    <row r="61" spans="1:191" s="58" customFormat="1" ht="21.9" customHeight="1" x14ac:dyDescent="0.3">
      <c r="Z61" s="73"/>
      <c r="AA61" s="74"/>
      <c r="AB61" s="73"/>
      <c r="AC61" s="75"/>
      <c r="AD61" s="75"/>
      <c r="AE61" s="75"/>
      <c r="AF61" s="75"/>
      <c r="AI61" s="62"/>
      <c r="AK61" s="5" t="s">
        <v>195</v>
      </c>
      <c r="AL61" s="5"/>
      <c r="AN61" s="76"/>
      <c r="AO61" s="76"/>
      <c r="AP61" s="77"/>
      <c r="AQ61" s="76"/>
      <c r="AR61" s="104"/>
      <c r="AS61" s="76"/>
      <c r="AT61" s="76"/>
      <c r="AU61" s="76"/>
      <c r="AV61" s="76"/>
      <c r="AW61" s="76"/>
      <c r="AX61" s="77"/>
      <c r="AY61" s="76"/>
      <c r="AZ61" s="76"/>
      <c r="BA61" s="76"/>
      <c r="BB61" s="76"/>
      <c r="BC61" s="59"/>
      <c r="BD61" s="59"/>
      <c r="BE61" s="59"/>
      <c r="BF61" s="75"/>
      <c r="BG61" s="78"/>
      <c r="BH61" s="78"/>
      <c r="BI61" s="5"/>
      <c r="BJ61" s="5"/>
      <c r="BK61" s="5"/>
      <c r="BL61" s="5"/>
      <c r="BM61" s="5"/>
      <c r="BN61" s="5"/>
      <c r="BO61" s="5"/>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row>
    <row r="62" spans="1:191" s="5" customFormat="1" ht="21.9" customHeight="1" x14ac:dyDescent="0.25">
      <c r="AK62" s="24" t="s">
        <v>383</v>
      </c>
    </row>
    <row r="63" spans="1:191" s="5" customFormat="1" ht="21.9" customHeight="1" x14ac:dyDescent="0.25"/>
    <row r="64" spans="1:191" s="5" customFormat="1" ht="21.9" customHeight="1" x14ac:dyDescent="0.25"/>
    <row r="65" s="5" customFormat="1" ht="21.9" customHeight="1" x14ac:dyDescent="0.25"/>
  </sheetData>
  <mergeCells count="118">
    <mergeCell ref="A3:AJ3"/>
    <mergeCell ref="A4:AJ4"/>
    <mergeCell ref="AK3:BO3"/>
    <mergeCell ref="AK4:BO4"/>
    <mergeCell ref="AK1:AL1"/>
    <mergeCell ref="AK2:AL2"/>
    <mergeCell ref="A2:B2"/>
    <mergeCell ref="AF2:AG2"/>
    <mergeCell ref="AH2:AJ2"/>
    <mergeCell ref="BK2:BL2"/>
    <mergeCell ref="BM2:BO2"/>
    <mergeCell ref="A1:B1"/>
    <mergeCell ref="AF1:AG1"/>
    <mergeCell ref="AH1:AJ1"/>
    <mergeCell ref="BK1:BL1"/>
    <mergeCell ref="BM1:BO1"/>
    <mergeCell ref="A56:A57"/>
    <mergeCell ref="A50:A51"/>
    <mergeCell ref="A52:A53"/>
    <mergeCell ref="A54:A55"/>
    <mergeCell ref="A44:A45"/>
    <mergeCell ref="A46:A47"/>
    <mergeCell ref="A48:A49"/>
    <mergeCell ref="A38:A39"/>
    <mergeCell ref="A40:A41"/>
    <mergeCell ref="A42:A43"/>
    <mergeCell ref="A32:A33"/>
    <mergeCell ref="A34:A35"/>
    <mergeCell ref="A36:A37"/>
    <mergeCell ref="A26:A27"/>
    <mergeCell ref="A28:A29"/>
    <mergeCell ref="A30:A31"/>
    <mergeCell ref="A20:A21"/>
    <mergeCell ref="A22:A23"/>
    <mergeCell ref="A24:A25"/>
    <mergeCell ref="A14:A15"/>
    <mergeCell ref="A16:A17"/>
    <mergeCell ref="A18:A19"/>
    <mergeCell ref="BL7:BL11"/>
    <mergeCell ref="BM7:BM11"/>
    <mergeCell ref="BN7:BN11"/>
    <mergeCell ref="AU7:AU11"/>
    <mergeCell ref="AV7:AV11"/>
    <mergeCell ref="AW7:AW11"/>
    <mergeCell ref="AX7:AX11"/>
    <mergeCell ref="A12:A13"/>
    <mergeCell ref="BC7:BC11"/>
    <mergeCell ref="BE7:BE11"/>
    <mergeCell ref="BF7:BF11"/>
    <mergeCell ref="BG7:BG11"/>
    <mergeCell ref="BJ7:BJ11"/>
    <mergeCell ref="AQ7:AQ11"/>
    <mergeCell ref="AT7:AT11"/>
    <mergeCell ref="AL7:AL11"/>
    <mergeCell ref="AM7:AM11"/>
    <mergeCell ref="AN7:AN11"/>
    <mergeCell ref="AO7:AO11"/>
    <mergeCell ref="AP7:AP11"/>
    <mergeCell ref="O7:O11"/>
    <mergeCell ref="BE6:BG6"/>
    <mergeCell ref="BH6:BH11"/>
    <mergeCell ref="BI6:BI11"/>
    <mergeCell ref="BJ6:BL6"/>
    <mergeCell ref="X7:X11"/>
    <mergeCell ref="Y7:Y11"/>
    <mergeCell ref="BO7:BO11"/>
    <mergeCell ref="BK7:BK11"/>
    <mergeCell ref="AF7:AF11"/>
    <mergeCell ref="AG7:AG11"/>
    <mergeCell ref="AH7:AH11"/>
    <mergeCell ref="AI7:AI11"/>
    <mergeCell ref="AJ7:AJ11"/>
    <mergeCell ref="AK7:AK11"/>
    <mergeCell ref="Z7:Z11"/>
    <mergeCell ref="AA7:AA11"/>
    <mergeCell ref="AB7:AB11"/>
    <mergeCell ref="AC7:AC11"/>
    <mergeCell ref="AD7:AD11"/>
    <mergeCell ref="AE7:AE11"/>
    <mergeCell ref="BM6:BO6"/>
    <mergeCell ref="BB6:BC6"/>
    <mergeCell ref="BD6:BD11"/>
    <mergeCell ref="BB7:BB11"/>
    <mergeCell ref="AS6:AS11"/>
    <mergeCell ref="AT6:AV6"/>
    <mergeCell ref="AW6:AY6"/>
    <mergeCell ref="AZ6:BA6"/>
    <mergeCell ref="AY7:AY11"/>
    <mergeCell ref="AZ7:AZ11"/>
    <mergeCell ref="BA7:BA11"/>
    <mergeCell ref="U6:AF6"/>
    <mergeCell ref="AG6:AJ6"/>
    <mergeCell ref="AK6:AN6"/>
    <mergeCell ref="AO6:AQ6"/>
    <mergeCell ref="AR6:AR11"/>
    <mergeCell ref="U7:U11"/>
    <mergeCell ref="V7:V11"/>
    <mergeCell ref="W7:W11"/>
    <mergeCell ref="A6:D11"/>
    <mergeCell ref="E6:E11"/>
    <mergeCell ref="F6:K6"/>
    <mergeCell ref="L6:N6"/>
    <mergeCell ref="O6:Q6"/>
    <mergeCell ref="R6:T6"/>
    <mergeCell ref="K7:K11"/>
    <mergeCell ref="L7:L11"/>
    <mergeCell ref="M7:M11"/>
    <mergeCell ref="N7:N11"/>
    <mergeCell ref="P7:P11"/>
    <mergeCell ref="Q7:Q11"/>
    <mergeCell ref="R7:R11"/>
    <mergeCell ref="S7:S11"/>
    <mergeCell ref="T7:T11"/>
    <mergeCell ref="F7:F11"/>
    <mergeCell ref="G7:G11"/>
    <mergeCell ref="H7:H11"/>
    <mergeCell ref="I7:I11"/>
    <mergeCell ref="J7:J11"/>
  </mergeCells>
  <phoneticPr fontId="5" type="noConversion"/>
  <printOptions horizontalCentered="1"/>
  <pageMargins left="0.23622047244094491" right="0.23622047244094491" top="0.74803149606299213" bottom="0.55118110236220474" header="0.31496062992125984" footer="0.31496062992125984"/>
  <pageSetup paperSize="8" scale="65" firstPageNumber="41"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J65"/>
  <sheetViews>
    <sheetView zoomScale="80" zoomScaleNormal="80" workbookViewId="0">
      <selection activeCell="A6" sqref="A6:D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8" width="16" style="1" customWidth="1"/>
    <col min="69" max="16384" width="9.6640625" style="1"/>
  </cols>
  <sheetData>
    <row r="1" spans="1:74"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F1" s="70"/>
      <c r="AG1" s="183" t="s">
        <v>45</v>
      </c>
      <c r="AH1" s="171"/>
      <c r="AI1" s="172" t="s">
        <v>46</v>
      </c>
      <c r="AJ1" s="173"/>
      <c r="AK1" s="174"/>
      <c r="AL1" s="161" t="s">
        <v>44</v>
      </c>
      <c r="AM1" s="162"/>
      <c r="AN1" s="35"/>
      <c r="AO1" s="5"/>
      <c r="AP1" s="5"/>
      <c r="AQ1" s="5"/>
      <c r="AR1" s="5"/>
      <c r="AS1" s="5"/>
      <c r="AT1" s="5"/>
      <c r="AU1" s="5"/>
      <c r="AV1" s="5"/>
      <c r="AW1" s="5"/>
      <c r="AX1" s="5"/>
      <c r="AY1" s="5"/>
      <c r="AZ1" s="5"/>
      <c r="BA1" s="5"/>
      <c r="BB1" s="5"/>
      <c r="BC1" s="5"/>
      <c r="BD1" s="5"/>
      <c r="BE1" s="5"/>
      <c r="BF1" s="5"/>
      <c r="BG1" s="5"/>
      <c r="BH1" s="5"/>
      <c r="BI1" s="38"/>
      <c r="BK1" s="69"/>
      <c r="BL1" s="170" t="s">
        <v>45</v>
      </c>
      <c r="BM1" s="171"/>
      <c r="BN1" s="172" t="s">
        <v>46</v>
      </c>
      <c r="BO1" s="173"/>
      <c r="BP1" s="174"/>
      <c r="BQ1" s="38"/>
      <c r="BR1" s="38"/>
    </row>
    <row r="2" spans="1:74" s="37" customFormat="1" ht="21.9" customHeight="1" x14ac:dyDescent="0.3">
      <c r="A2" s="163" t="s">
        <v>279</v>
      </c>
      <c r="B2" s="164"/>
      <c r="C2" s="39" t="s">
        <v>47</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41"/>
      <c r="AF2" s="71"/>
      <c r="AG2" s="184" t="s">
        <v>187</v>
      </c>
      <c r="AH2" s="166"/>
      <c r="AI2" s="167" t="s">
        <v>10</v>
      </c>
      <c r="AJ2" s="168"/>
      <c r="AK2" s="169"/>
      <c r="AL2" s="163" t="s">
        <v>279</v>
      </c>
      <c r="AM2" s="164"/>
      <c r="AN2" s="39" t="s">
        <v>47</v>
      </c>
      <c r="AO2" s="33"/>
      <c r="AP2" s="33"/>
      <c r="AQ2" s="33"/>
      <c r="AR2" s="33"/>
      <c r="AS2" s="33"/>
      <c r="AT2" s="33"/>
      <c r="AU2" s="33"/>
      <c r="AV2" s="33"/>
      <c r="AW2" s="33"/>
      <c r="AX2" s="33"/>
      <c r="AY2" s="33"/>
      <c r="AZ2" s="33"/>
      <c r="BA2" s="33"/>
      <c r="BB2" s="33"/>
      <c r="BC2" s="33"/>
      <c r="BD2" s="33"/>
      <c r="BE2" s="33"/>
      <c r="BF2" s="33"/>
      <c r="BG2" s="33"/>
      <c r="BH2" s="33"/>
      <c r="BI2" s="42"/>
      <c r="BJ2" s="41"/>
      <c r="BK2" s="72"/>
      <c r="BL2" s="165" t="s">
        <v>187</v>
      </c>
      <c r="BM2" s="166"/>
      <c r="BN2" s="167" t="s">
        <v>10</v>
      </c>
      <c r="BO2" s="168"/>
      <c r="BP2" s="169"/>
      <c r="BQ2" s="43"/>
      <c r="BR2" s="43"/>
    </row>
    <row r="3" spans="1:74" s="53" customFormat="1" ht="30" customHeight="1" x14ac:dyDescent="0.25">
      <c r="A3" s="159" t="s">
        <v>384</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t="s">
        <v>387</v>
      </c>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96"/>
      <c r="BR3" s="96"/>
      <c r="BS3" s="96"/>
      <c r="BT3" s="96"/>
      <c r="BU3" s="96"/>
      <c r="BV3" s="96"/>
    </row>
    <row r="4" spans="1:74" s="37" customFormat="1" ht="26.1" customHeight="1" x14ac:dyDescent="0.25">
      <c r="A4" s="160" t="s">
        <v>226</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t="s">
        <v>226</v>
      </c>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row>
    <row r="5" spans="1:74" s="37" customFormat="1" ht="20.100000000000001" customHeight="1" x14ac:dyDescent="0.25">
      <c r="A5" s="40"/>
      <c r="B5" s="41"/>
      <c r="C5" s="41"/>
      <c r="D5" s="67"/>
      <c r="E5" s="67"/>
      <c r="F5" s="67"/>
      <c r="G5" s="67"/>
      <c r="H5" s="67"/>
      <c r="I5" s="67"/>
      <c r="J5" s="67"/>
      <c r="K5" s="67"/>
      <c r="L5" s="67"/>
      <c r="M5" s="67"/>
      <c r="N5" s="67"/>
      <c r="O5" s="41"/>
      <c r="P5" s="67"/>
      <c r="Q5" s="41"/>
      <c r="R5" s="67"/>
      <c r="S5" s="44"/>
      <c r="T5" s="67"/>
      <c r="U5" s="33"/>
      <c r="V5" s="33"/>
      <c r="W5" s="33"/>
      <c r="X5" s="68"/>
      <c r="Y5" s="5"/>
      <c r="Z5" s="33"/>
      <c r="AA5" s="33"/>
      <c r="AB5" s="33"/>
      <c r="AC5" s="33"/>
      <c r="AD5" s="33"/>
      <c r="AE5" s="33"/>
      <c r="AF5" s="33"/>
      <c r="AH5" s="33"/>
      <c r="AI5" s="33"/>
      <c r="AJ5" s="45"/>
      <c r="AK5" s="45" t="s">
        <v>48</v>
      </c>
      <c r="AL5" s="33"/>
      <c r="AM5" s="33"/>
      <c r="AN5" s="33"/>
      <c r="AO5" s="33"/>
      <c r="AP5" s="33"/>
      <c r="AQ5" s="33"/>
      <c r="AR5" s="33"/>
      <c r="AS5" s="33"/>
      <c r="AT5" s="33"/>
      <c r="AU5" s="33"/>
      <c r="AV5" s="33"/>
      <c r="AW5" s="33"/>
      <c r="AX5" s="44"/>
      <c r="AY5" s="45"/>
      <c r="AZ5" s="45"/>
      <c r="BA5" s="45"/>
      <c r="BB5" s="45"/>
      <c r="BC5" s="33"/>
      <c r="BD5" s="33"/>
      <c r="BE5" s="33"/>
      <c r="BF5" s="33"/>
      <c r="BG5" s="33"/>
      <c r="BH5" s="33"/>
      <c r="BI5" s="33"/>
      <c r="BJ5" s="33"/>
      <c r="BK5" s="33"/>
      <c r="BL5" s="33"/>
      <c r="BM5" s="33"/>
      <c r="BN5" s="33"/>
      <c r="BO5" s="41"/>
      <c r="BP5" s="45" t="s">
        <v>48</v>
      </c>
    </row>
    <row r="6" spans="1:74" s="5" customFormat="1" ht="27.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45" t="s">
        <v>55</v>
      </c>
      <c r="V6" s="146"/>
      <c r="W6" s="146"/>
      <c r="X6" s="146"/>
      <c r="Y6" s="146"/>
      <c r="Z6" s="146"/>
      <c r="AA6" s="146"/>
      <c r="AB6" s="146"/>
      <c r="AC6" s="146"/>
      <c r="AD6" s="146"/>
      <c r="AE6" s="146"/>
      <c r="AF6" s="146"/>
      <c r="AG6" s="147"/>
      <c r="AH6" s="131" t="s">
        <v>276</v>
      </c>
      <c r="AI6" s="146"/>
      <c r="AJ6" s="146"/>
      <c r="AK6" s="146"/>
      <c r="AL6" s="131" t="s">
        <v>9</v>
      </c>
      <c r="AM6" s="146"/>
      <c r="AN6" s="146"/>
      <c r="AO6" s="146"/>
      <c r="AP6" s="141" t="s">
        <v>149</v>
      </c>
      <c r="AQ6" s="141"/>
      <c r="AR6" s="141"/>
      <c r="AS6" s="141" t="s">
        <v>277</v>
      </c>
      <c r="AT6" s="141"/>
      <c r="AU6" s="141" t="s">
        <v>58</v>
      </c>
      <c r="AV6" s="141"/>
      <c r="AW6" s="141"/>
      <c r="AX6" s="141" t="s">
        <v>127</v>
      </c>
      <c r="AY6" s="141"/>
      <c r="AZ6" s="141" t="s">
        <v>278</v>
      </c>
      <c r="BA6" s="141"/>
      <c r="BB6" s="141" t="s">
        <v>61</v>
      </c>
      <c r="BC6" s="141"/>
      <c r="BD6" s="176" t="s">
        <v>2</v>
      </c>
      <c r="BE6" s="141" t="s">
        <v>63</v>
      </c>
      <c r="BF6" s="141"/>
      <c r="BG6" s="141"/>
      <c r="BH6" s="176" t="s">
        <v>36</v>
      </c>
      <c r="BI6" s="180" t="s">
        <v>64</v>
      </c>
      <c r="BJ6" s="175" t="s">
        <v>97</v>
      </c>
      <c r="BK6" s="181"/>
      <c r="BL6" s="181"/>
      <c r="BM6" s="182"/>
      <c r="BN6" s="141" t="s">
        <v>65</v>
      </c>
      <c r="BO6" s="141"/>
      <c r="BP6" s="175"/>
    </row>
    <row r="7" spans="1:74" s="5" customFormat="1" ht="30" customHeight="1" x14ac:dyDescent="0.25">
      <c r="A7" s="125"/>
      <c r="B7" s="125"/>
      <c r="C7" s="125"/>
      <c r="D7" s="125"/>
      <c r="E7" s="136"/>
      <c r="F7" s="139" t="s">
        <v>154</v>
      </c>
      <c r="G7" s="139" t="s">
        <v>155</v>
      </c>
      <c r="H7" s="139" t="s">
        <v>230</v>
      </c>
      <c r="I7" s="139" t="s">
        <v>199</v>
      </c>
      <c r="J7" s="139" t="s">
        <v>106</v>
      </c>
      <c r="K7" s="139" t="s">
        <v>200</v>
      </c>
      <c r="L7" s="139" t="s">
        <v>156</v>
      </c>
      <c r="M7" s="130" t="s">
        <v>333</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2" t="s">
        <v>268</v>
      </c>
      <c r="AC7" s="139" t="s">
        <v>99</v>
      </c>
      <c r="AD7" s="139" t="s">
        <v>114</v>
      </c>
      <c r="AE7" s="139" t="s">
        <v>162</v>
      </c>
      <c r="AF7" s="139" t="s">
        <v>137</v>
      </c>
      <c r="AG7" s="139" t="s">
        <v>100</v>
      </c>
      <c r="AH7" s="139" t="s">
        <v>122</v>
      </c>
      <c r="AI7" s="139" t="s">
        <v>101</v>
      </c>
      <c r="AJ7" s="139" t="s">
        <v>222</v>
      </c>
      <c r="AK7" s="139" t="s">
        <v>223</v>
      </c>
      <c r="AL7" s="139" t="s">
        <v>115</v>
      </c>
      <c r="AM7" s="139" t="s">
        <v>102</v>
      </c>
      <c r="AN7" s="139" t="s">
        <v>109</v>
      </c>
      <c r="AO7" s="139" t="s">
        <v>123</v>
      </c>
      <c r="AP7" s="130" t="s">
        <v>274</v>
      </c>
      <c r="AQ7" s="157" t="s">
        <v>233</v>
      </c>
      <c r="AR7" s="139" t="s">
        <v>183</v>
      </c>
      <c r="AS7" s="139" t="s">
        <v>124</v>
      </c>
      <c r="AT7" s="139" t="s">
        <v>269</v>
      </c>
      <c r="AU7" s="139" t="s">
        <v>103</v>
      </c>
      <c r="AV7" s="139" t="s">
        <v>270</v>
      </c>
      <c r="AW7" s="139" t="s">
        <v>104</v>
      </c>
      <c r="AX7" s="139" t="s">
        <v>105</v>
      </c>
      <c r="AY7" s="139" t="s">
        <v>125</v>
      </c>
      <c r="AZ7" s="139" t="s">
        <v>224</v>
      </c>
      <c r="BA7" s="139" t="s">
        <v>225</v>
      </c>
      <c r="BB7" s="139" t="s">
        <v>110</v>
      </c>
      <c r="BC7" s="139" t="s">
        <v>111</v>
      </c>
      <c r="BD7" s="177"/>
      <c r="BE7" s="139" t="s">
        <v>116</v>
      </c>
      <c r="BF7" s="139" t="s">
        <v>73</v>
      </c>
      <c r="BG7" s="130" t="s">
        <v>273</v>
      </c>
      <c r="BH7" s="177"/>
      <c r="BI7" s="177"/>
      <c r="BJ7" s="139" t="s">
        <v>119</v>
      </c>
      <c r="BK7" s="139" t="s">
        <v>74</v>
      </c>
      <c r="BL7" s="132" t="s">
        <v>272</v>
      </c>
      <c r="BM7" s="139" t="s">
        <v>126</v>
      </c>
      <c r="BN7" s="139" t="s">
        <v>271</v>
      </c>
      <c r="BO7" s="139" t="s">
        <v>117</v>
      </c>
      <c r="BP7" s="179" t="s">
        <v>205</v>
      </c>
    </row>
    <row r="8" spans="1:74"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58"/>
      <c r="AR8" s="139"/>
      <c r="AS8" s="139"/>
      <c r="AT8" s="139"/>
      <c r="AU8" s="139"/>
      <c r="AV8" s="139"/>
      <c r="AW8" s="139"/>
      <c r="AX8" s="139"/>
      <c r="AY8" s="139"/>
      <c r="AZ8" s="139"/>
      <c r="BA8" s="139"/>
      <c r="BB8" s="139"/>
      <c r="BC8" s="139"/>
      <c r="BD8" s="177"/>
      <c r="BE8" s="139"/>
      <c r="BF8" s="139"/>
      <c r="BG8" s="139"/>
      <c r="BH8" s="177"/>
      <c r="BI8" s="177"/>
      <c r="BJ8" s="139"/>
      <c r="BK8" s="139"/>
      <c r="BL8" s="139"/>
      <c r="BM8" s="139"/>
      <c r="BN8" s="139"/>
      <c r="BO8" s="139"/>
      <c r="BP8" s="179"/>
    </row>
    <row r="9" spans="1:74"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58"/>
      <c r="AR9" s="139"/>
      <c r="AS9" s="139"/>
      <c r="AT9" s="139"/>
      <c r="AU9" s="139"/>
      <c r="AV9" s="139"/>
      <c r="AW9" s="139"/>
      <c r="AX9" s="139"/>
      <c r="AY9" s="139"/>
      <c r="AZ9" s="139"/>
      <c r="BA9" s="139"/>
      <c r="BB9" s="139"/>
      <c r="BC9" s="139"/>
      <c r="BD9" s="177"/>
      <c r="BE9" s="139"/>
      <c r="BF9" s="139"/>
      <c r="BG9" s="139"/>
      <c r="BH9" s="177"/>
      <c r="BI9" s="177"/>
      <c r="BJ9" s="139"/>
      <c r="BK9" s="139"/>
      <c r="BL9" s="139"/>
      <c r="BM9" s="139"/>
      <c r="BN9" s="139"/>
      <c r="BO9" s="139"/>
      <c r="BP9" s="179"/>
    </row>
    <row r="10" spans="1:74"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39"/>
      <c r="AQ10" s="158"/>
      <c r="AR10" s="139"/>
      <c r="AS10" s="139"/>
      <c r="AT10" s="139"/>
      <c r="AU10" s="139"/>
      <c r="AV10" s="139"/>
      <c r="AW10" s="139"/>
      <c r="AX10" s="139"/>
      <c r="AY10" s="139"/>
      <c r="AZ10" s="139"/>
      <c r="BA10" s="139"/>
      <c r="BB10" s="139"/>
      <c r="BC10" s="139"/>
      <c r="BD10" s="177"/>
      <c r="BE10" s="139"/>
      <c r="BF10" s="139"/>
      <c r="BG10" s="139"/>
      <c r="BH10" s="177"/>
      <c r="BI10" s="177"/>
      <c r="BJ10" s="139"/>
      <c r="BK10" s="139"/>
      <c r="BL10" s="139"/>
      <c r="BM10" s="139"/>
      <c r="BN10" s="139"/>
      <c r="BO10" s="139"/>
      <c r="BP10" s="179"/>
    </row>
    <row r="11" spans="1:74"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c r="AQ11" s="158"/>
      <c r="AR11" s="139"/>
      <c r="AS11" s="139"/>
      <c r="AT11" s="139"/>
      <c r="AU11" s="139"/>
      <c r="AV11" s="139"/>
      <c r="AW11" s="139"/>
      <c r="AX11" s="139"/>
      <c r="AY11" s="139"/>
      <c r="AZ11" s="139"/>
      <c r="BA11" s="139"/>
      <c r="BB11" s="139"/>
      <c r="BC11" s="139"/>
      <c r="BD11" s="178"/>
      <c r="BE11" s="139"/>
      <c r="BF11" s="139"/>
      <c r="BG11" s="139"/>
      <c r="BH11" s="178"/>
      <c r="BI11" s="178"/>
      <c r="BJ11" s="139"/>
      <c r="BK11" s="139"/>
      <c r="BL11" s="139"/>
      <c r="BM11" s="139"/>
      <c r="BN11" s="139"/>
      <c r="BO11" s="139"/>
      <c r="BP11" s="179"/>
    </row>
    <row r="12" spans="1:74" s="3" customFormat="1" ht="21.9" customHeight="1" x14ac:dyDescent="0.25">
      <c r="A12" s="125" t="s">
        <v>343</v>
      </c>
      <c r="B12" s="32"/>
      <c r="C12" s="51" t="s">
        <v>75</v>
      </c>
      <c r="D12" s="52"/>
      <c r="E12" s="16">
        <f t="shared" ref="E12:E57" si="0">SUM(F12:BP12)</f>
        <v>588936</v>
      </c>
      <c r="F12" s="16">
        <f t="shared" ref="F12:AK12" si="1">F14+F16+F18+F20+F22+F24+F26+F28+F30+F32+F34+F36+F38+F40+F42+F44+F46+F48+F50+F52+F54+F56</f>
        <v>5170</v>
      </c>
      <c r="G12" s="16">
        <f t="shared" si="1"/>
        <v>4123</v>
      </c>
      <c r="H12" s="16">
        <f t="shared" si="1"/>
        <v>2807</v>
      </c>
      <c r="I12" s="16">
        <f t="shared" si="1"/>
        <v>287</v>
      </c>
      <c r="J12" s="16">
        <f t="shared" si="1"/>
        <v>1205</v>
      </c>
      <c r="K12" s="16">
        <f t="shared" si="1"/>
        <v>6612</v>
      </c>
      <c r="L12" s="16">
        <f t="shared" si="1"/>
        <v>21236</v>
      </c>
      <c r="M12" s="16">
        <f t="shared" si="1"/>
        <v>9238</v>
      </c>
      <c r="N12" s="16">
        <f t="shared" si="1"/>
        <v>1211</v>
      </c>
      <c r="O12" s="16">
        <f t="shared" si="1"/>
        <v>4936</v>
      </c>
      <c r="P12" s="16">
        <f t="shared" si="1"/>
        <v>1926</v>
      </c>
      <c r="Q12" s="16">
        <f t="shared" si="1"/>
        <v>35</v>
      </c>
      <c r="R12" s="16">
        <f t="shared" si="1"/>
        <v>8138</v>
      </c>
      <c r="S12" s="16">
        <f t="shared" si="1"/>
        <v>7666</v>
      </c>
      <c r="T12" s="16">
        <f t="shared" si="1"/>
        <v>4688</v>
      </c>
      <c r="U12" s="16">
        <f t="shared" si="1"/>
        <v>8745</v>
      </c>
      <c r="V12" s="16">
        <f t="shared" si="1"/>
        <v>22821</v>
      </c>
      <c r="W12" s="16">
        <f t="shared" si="1"/>
        <v>4357</v>
      </c>
      <c r="X12" s="16">
        <f t="shared" si="1"/>
        <v>7100</v>
      </c>
      <c r="Y12" s="16">
        <f t="shared" si="1"/>
        <v>2148</v>
      </c>
      <c r="Z12" s="16">
        <f t="shared" si="1"/>
        <v>20690</v>
      </c>
      <c r="AA12" s="16">
        <f t="shared" si="1"/>
        <v>5181</v>
      </c>
      <c r="AB12" s="16">
        <f t="shared" si="1"/>
        <v>3505</v>
      </c>
      <c r="AC12" s="16">
        <f t="shared" si="1"/>
        <v>2170</v>
      </c>
      <c r="AD12" s="16">
        <f t="shared" si="1"/>
        <v>8652</v>
      </c>
      <c r="AE12" s="16">
        <f t="shared" si="1"/>
        <v>99954</v>
      </c>
      <c r="AF12" s="16">
        <f t="shared" si="1"/>
        <v>38032</v>
      </c>
      <c r="AG12" s="16">
        <f t="shared" si="1"/>
        <v>11147</v>
      </c>
      <c r="AH12" s="16">
        <f t="shared" si="1"/>
        <v>26759</v>
      </c>
      <c r="AI12" s="16">
        <f t="shared" si="1"/>
        <v>3530</v>
      </c>
      <c r="AJ12" s="16">
        <f t="shared" si="1"/>
        <v>7948</v>
      </c>
      <c r="AK12" s="16">
        <f t="shared" si="1"/>
        <v>294</v>
      </c>
      <c r="AL12" s="98">
        <f t="shared" ref="AL12:BP12" si="2">AL14+AL16+AL18+AL20+AL22+AL24+AL26+AL28+AL30+AL32+AL34+AL36+AL38+AL40+AL42+AL44+AL46+AL48+AL50+AL52+AL54+AL56</f>
        <v>3714</v>
      </c>
      <c r="AM12" s="16">
        <f t="shared" si="2"/>
        <v>1042</v>
      </c>
      <c r="AN12" s="16">
        <f t="shared" si="2"/>
        <v>621</v>
      </c>
      <c r="AO12" s="16">
        <f t="shared" si="2"/>
        <v>7115</v>
      </c>
      <c r="AP12" s="16">
        <f t="shared" si="2"/>
        <v>723</v>
      </c>
      <c r="AQ12" s="16">
        <f t="shared" si="2"/>
        <v>241</v>
      </c>
      <c r="AR12" s="16">
        <f t="shared" si="2"/>
        <v>1782</v>
      </c>
      <c r="AS12" s="16">
        <f t="shared" si="2"/>
        <v>2990</v>
      </c>
      <c r="AT12" s="16">
        <f t="shared" si="2"/>
        <v>1332</v>
      </c>
      <c r="AU12" s="16">
        <f t="shared" si="2"/>
        <v>7598</v>
      </c>
      <c r="AV12" s="16">
        <f t="shared" si="2"/>
        <v>52265</v>
      </c>
      <c r="AW12" s="16">
        <f t="shared" si="2"/>
        <v>9645</v>
      </c>
      <c r="AX12" s="16">
        <f t="shared" si="2"/>
        <v>514</v>
      </c>
      <c r="AY12" s="16">
        <f t="shared" si="2"/>
        <v>17970</v>
      </c>
      <c r="AZ12" s="16">
        <f t="shared" si="2"/>
        <v>7237</v>
      </c>
      <c r="BA12" s="16">
        <f t="shared" si="2"/>
        <v>1214</v>
      </c>
      <c r="BB12" s="16">
        <f t="shared" si="2"/>
        <v>2421</v>
      </c>
      <c r="BC12" s="16">
        <f t="shared" si="2"/>
        <v>1133</v>
      </c>
      <c r="BD12" s="16">
        <f t="shared" si="2"/>
        <v>1225</v>
      </c>
      <c r="BE12" s="16">
        <f t="shared" si="2"/>
        <v>11441</v>
      </c>
      <c r="BF12" s="16">
        <f t="shared" si="2"/>
        <v>13108</v>
      </c>
      <c r="BG12" s="16">
        <f t="shared" si="2"/>
        <v>18927</v>
      </c>
      <c r="BH12" s="16">
        <f t="shared" si="2"/>
        <v>6947</v>
      </c>
      <c r="BI12" s="16">
        <f t="shared" si="2"/>
        <v>5931</v>
      </c>
      <c r="BJ12" s="16">
        <f t="shared" si="2"/>
        <v>12362</v>
      </c>
      <c r="BK12" s="16">
        <f t="shared" si="2"/>
        <v>3562</v>
      </c>
      <c r="BL12" s="16">
        <f t="shared" si="2"/>
        <v>7753</v>
      </c>
      <c r="BM12" s="16">
        <f t="shared" si="2"/>
        <v>6213</v>
      </c>
      <c r="BN12" s="16">
        <f t="shared" si="2"/>
        <v>618</v>
      </c>
      <c r="BO12" s="16">
        <f t="shared" si="2"/>
        <v>262</v>
      </c>
      <c r="BP12" s="16">
        <f t="shared" si="2"/>
        <v>28719</v>
      </c>
    </row>
    <row r="13" spans="1:74" s="3" customFormat="1" ht="21.9" customHeight="1" x14ac:dyDescent="0.25">
      <c r="A13" s="125"/>
      <c r="B13" s="5"/>
      <c r="C13" s="47" t="s">
        <v>186</v>
      </c>
      <c r="D13" s="48"/>
      <c r="E13" s="16">
        <f t="shared" si="0"/>
        <v>3649</v>
      </c>
      <c r="F13" s="26">
        <f t="shared" ref="F13:AK13" si="3">F15+F17+F19+F21+F23+F25+F27+F29+F31+F33+F35+F37+F39+F41+F43+F45+F47+F49+F51+F53+F55+F57</f>
        <v>6</v>
      </c>
      <c r="G13" s="26">
        <f t="shared" si="3"/>
        <v>5</v>
      </c>
      <c r="H13" s="26">
        <f t="shared" si="3"/>
        <v>0</v>
      </c>
      <c r="I13" s="26">
        <f t="shared" si="3"/>
        <v>1</v>
      </c>
      <c r="J13" s="26">
        <f t="shared" si="3"/>
        <v>1</v>
      </c>
      <c r="K13" s="26">
        <f t="shared" si="3"/>
        <v>13</v>
      </c>
      <c r="L13" s="26">
        <f t="shared" si="3"/>
        <v>67</v>
      </c>
      <c r="M13" s="26">
        <f t="shared" si="3"/>
        <v>30</v>
      </c>
      <c r="N13" s="26">
        <f t="shared" si="3"/>
        <v>1</v>
      </c>
      <c r="O13" s="26">
        <f t="shared" si="3"/>
        <v>17</v>
      </c>
      <c r="P13" s="26">
        <f t="shared" si="3"/>
        <v>42</v>
      </c>
      <c r="Q13" s="26">
        <f t="shared" si="3"/>
        <v>1</v>
      </c>
      <c r="R13" s="26">
        <f t="shared" si="3"/>
        <v>78</v>
      </c>
      <c r="S13" s="26">
        <f t="shared" si="3"/>
        <v>66</v>
      </c>
      <c r="T13" s="26">
        <f t="shared" si="3"/>
        <v>12</v>
      </c>
      <c r="U13" s="26">
        <f t="shared" si="3"/>
        <v>30</v>
      </c>
      <c r="V13" s="26">
        <f t="shared" si="3"/>
        <v>148</v>
      </c>
      <c r="W13" s="26">
        <f t="shared" si="3"/>
        <v>48</v>
      </c>
      <c r="X13" s="26">
        <f t="shared" si="3"/>
        <v>34</v>
      </c>
      <c r="Y13" s="26">
        <f t="shared" si="3"/>
        <v>38</v>
      </c>
      <c r="Z13" s="26">
        <f t="shared" si="3"/>
        <v>48</v>
      </c>
      <c r="AA13" s="26">
        <f t="shared" si="3"/>
        <v>89</v>
      </c>
      <c r="AB13" s="26">
        <f t="shared" si="3"/>
        <v>7</v>
      </c>
      <c r="AC13" s="26">
        <f t="shared" si="3"/>
        <v>20</v>
      </c>
      <c r="AD13" s="26">
        <f t="shared" si="3"/>
        <v>39</v>
      </c>
      <c r="AE13" s="26">
        <f t="shared" si="3"/>
        <v>251</v>
      </c>
      <c r="AF13" s="26">
        <f t="shared" si="3"/>
        <v>135</v>
      </c>
      <c r="AG13" s="26">
        <f t="shared" si="3"/>
        <v>46</v>
      </c>
      <c r="AH13" s="26">
        <f t="shared" si="3"/>
        <v>574</v>
      </c>
      <c r="AI13" s="26">
        <f t="shared" si="3"/>
        <v>71</v>
      </c>
      <c r="AJ13" s="26">
        <f t="shared" si="3"/>
        <v>68</v>
      </c>
      <c r="AK13" s="26">
        <f t="shared" si="3"/>
        <v>3</v>
      </c>
      <c r="AL13" s="99">
        <f t="shared" ref="AL13:BP13" si="4">AL15+AL17+AL19+AL21+AL23+AL25+AL27+AL29+AL31+AL33+AL35+AL37+AL39+AL41+AL43+AL45+AL47+AL49+AL51+AL53+AL55+AL57</f>
        <v>44</v>
      </c>
      <c r="AM13" s="26">
        <f t="shared" si="4"/>
        <v>11</v>
      </c>
      <c r="AN13" s="26">
        <f t="shared" si="4"/>
        <v>1</v>
      </c>
      <c r="AO13" s="26">
        <f t="shared" si="4"/>
        <v>45</v>
      </c>
      <c r="AP13" s="26">
        <f t="shared" si="4"/>
        <v>0</v>
      </c>
      <c r="AQ13" s="26">
        <f t="shared" si="4"/>
        <v>0</v>
      </c>
      <c r="AR13" s="26">
        <f t="shared" si="4"/>
        <v>2</v>
      </c>
      <c r="AS13" s="26">
        <f t="shared" si="4"/>
        <v>141</v>
      </c>
      <c r="AT13" s="26">
        <f t="shared" si="4"/>
        <v>29</v>
      </c>
      <c r="AU13" s="26">
        <f t="shared" si="4"/>
        <v>11</v>
      </c>
      <c r="AV13" s="26">
        <f t="shared" si="4"/>
        <v>338</v>
      </c>
      <c r="AW13" s="26">
        <f t="shared" si="4"/>
        <v>47</v>
      </c>
      <c r="AX13" s="26">
        <f t="shared" si="4"/>
        <v>3</v>
      </c>
      <c r="AY13" s="26">
        <f t="shared" si="4"/>
        <v>18</v>
      </c>
      <c r="AZ13" s="26">
        <f t="shared" si="4"/>
        <v>52</v>
      </c>
      <c r="BA13" s="26">
        <f t="shared" si="4"/>
        <v>10</v>
      </c>
      <c r="BB13" s="26">
        <f t="shared" si="4"/>
        <v>31</v>
      </c>
      <c r="BC13" s="26">
        <f t="shared" si="4"/>
        <v>4</v>
      </c>
      <c r="BD13" s="26">
        <f t="shared" si="4"/>
        <v>3</v>
      </c>
      <c r="BE13" s="26">
        <f t="shared" si="4"/>
        <v>9</v>
      </c>
      <c r="BF13" s="26">
        <f t="shared" si="4"/>
        <v>61</v>
      </c>
      <c r="BG13" s="26">
        <f t="shared" si="4"/>
        <v>131</v>
      </c>
      <c r="BH13" s="26">
        <f t="shared" si="4"/>
        <v>149</v>
      </c>
      <c r="BI13" s="26">
        <f t="shared" si="4"/>
        <v>49</v>
      </c>
      <c r="BJ13" s="26">
        <f t="shared" si="4"/>
        <v>148</v>
      </c>
      <c r="BK13" s="26">
        <f t="shared" si="4"/>
        <v>85</v>
      </c>
      <c r="BL13" s="26">
        <f t="shared" si="4"/>
        <v>45</v>
      </c>
      <c r="BM13" s="26">
        <f t="shared" si="4"/>
        <v>19</v>
      </c>
      <c r="BN13" s="26">
        <f t="shared" si="4"/>
        <v>0</v>
      </c>
      <c r="BO13" s="26">
        <f t="shared" si="4"/>
        <v>0</v>
      </c>
      <c r="BP13" s="26">
        <f t="shared" si="4"/>
        <v>174</v>
      </c>
    </row>
    <row r="14" spans="1:74" s="5" customFormat="1" ht="21.9" customHeight="1" x14ac:dyDescent="0.25">
      <c r="A14" s="125" t="s">
        <v>344</v>
      </c>
      <c r="B14" s="4"/>
      <c r="C14" s="47" t="s">
        <v>75</v>
      </c>
      <c r="D14" s="48"/>
      <c r="E14" s="16">
        <f t="shared" si="0"/>
        <v>110541</v>
      </c>
      <c r="F14" s="16">
        <v>326</v>
      </c>
      <c r="G14" s="16">
        <v>8</v>
      </c>
      <c r="H14" s="16">
        <v>42</v>
      </c>
      <c r="I14" s="16">
        <v>7</v>
      </c>
      <c r="J14" s="16">
        <v>46</v>
      </c>
      <c r="K14" s="16">
        <v>3580</v>
      </c>
      <c r="L14" s="16">
        <v>773</v>
      </c>
      <c r="M14" s="16">
        <v>375</v>
      </c>
      <c r="N14" s="16">
        <v>62</v>
      </c>
      <c r="O14" s="16">
        <v>252</v>
      </c>
      <c r="P14" s="16">
        <v>207</v>
      </c>
      <c r="Q14" s="16">
        <v>0</v>
      </c>
      <c r="R14" s="16">
        <v>1075</v>
      </c>
      <c r="S14" s="16">
        <v>706</v>
      </c>
      <c r="T14" s="16">
        <v>1225</v>
      </c>
      <c r="U14" s="16">
        <v>2365</v>
      </c>
      <c r="V14" s="16">
        <v>1167</v>
      </c>
      <c r="W14" s="16">
        <v>1802</v>
      </c>
      <c r="X14" s="16">
        <v>844</v>
      </c>
      <c r="Y14" s="16">
        <v>76</v>
      </c>
      <c r="Z14" s="16">
        <v>4103</v>
      </c>
      <c r="AA14" s="16">
        <v>677</v>
      </c>
      <c r="AB14" s="16">
        <v>780</v>
      </c>
      <c r="AC14" s="16">
        <v>207</v>
      </c>
      <c r="AD14" s="16">
        <v>3462</v>
      </c>
      <c r="AE14" s="16">
        <v>22418</v>
      </c>
      <c r="AF14" s="16">
        <v>5948</v>
      </c>
      <c r="AG14" s="16">
        <v>2183</v>
      </c>
      <c r="AH14" s="16">
        <v>1547</v>
      </c>
      <c r="AI14" s="16">
        <v>276</v>
      </c>
      <c r="AJ14" s="16">
        <v>479</v>
      </c>
      <c r="AK14" s="16">
        <v>11</v>
      </c>
      <c r="AL14" s="98">
        <v>158</v>
      </c>
      <c r="AM14" s="16">
        <v>155</v>
      </c>
      <c r="AN14" s="16">
        <v>2</v>
      </c>
      <c r="AO14" s="16">
        <v>360</v>
      </c>
      <c r="AP14" s="16">
        <v>9</v>
      </c>
      <c r="AQ14" s="16">
        <v>10</v>
      </c>
      <c r="AR14" s="16">
        <v>31</v>
      </c>
      <c r="AS14" s="16">
        <v>147</v>
      </c>
      <c r="AT14" s="16">
        <v>130</v>
      </c>
      <c r="AU14" s="16">
        <v>503</v>
      </c>
      <c r="AV14" s="16">
        <v>9016</v>
      </c>
      <c r="AW14" s="16">
        <v>330</v>
      </c>
      <c r="AX14" s="16">
        <v>51</v>
      </c>
      <c r="AY14" s="16">
        <v>5722</v>
      </c>
      <c r="AZ14" s="16">
        <v>894</v>
      </c>
      <c r="BA14" s="16">
        <v>441</v>
      </c>
      <c r="BB14" s="16">
        <v>62</v>
      </c>
      <c r="BC14" s="16">
        <v>66</v>
      </c>
      <c r="BD14" s="16">
        <v>0</v>
      </c>
      <c r="BE14" s="16">
        <v>2248</v>
      </c>
      <c r="BF14" s="16">
        <v>4149</v>
      </c>
      <c r="BG14" s="16">
        <v>5032</v>
      </c>
      <c r="BH14" s="16">
        <v>21</v>
      </c>
      <c r="BI14" s="16">
        <v>978</v>
      </c>
      <c r="BJ14" s="16">
        <v>547</v>
      </c>
      <c r="BK14" s="16">
        <v>201</v>
      </c>
      <c r="BL14" s="16">
        <v>433</v>
      </c>
      <c r="BM14" s="16">
        <v>18</v>
      </c>
      <c r="BN14" s="16">
        <v>0</v>
      </c>
      <c r="BO14" s="16">
        <v>16</v>
      </c>
      <c r="BP14" s="16">
        <v>21782</v>
      </c>
    </row>
    <row r="15" spans="1:74" s="5" customFormat="1" ht="21.9" customHeight="1" x14ac:dyDescent="0.25">
      <c r="A15" s="125"/>
      <c r="B15" s="4"/>
      <c r="C15" s="47" t="s">
        <v>76</v>
      </c>
      <c r="D15" s="48"/>
      <c r="E15" s="16">
        <f t="shared" si="0"/>
        <v>261</v>
      </c>
      <c r="F15" s="26">
        <v>2</v>
      </c>
      <c r="G15" s="26">
        <v>0</v>
      </c>
      <c r="H15" s="26">
        <v>0</v>
      </c>
      <c r="I15" s="26">
        <v>0</v>
      </c>
      <c r="J15" s="26">
        <v>0</v>
      </c>
      <c r="K15" s="26">
        <v>1</v>
      </c>
      <c r="L15" s="26">
        <v>11</v>
      </c>
      <c r="M15" s="26">
        <v>3</v>
      </c>
      <c r="N15" s="26">
        <v>0</v>
      </c>
      <c r="O15" s="26">
        <v>0</v>
      </c>
      <c r="P15" s="26">
        <v>5</v>
      </c>
      <c r="Q15" s="26">
        <v>0</v>
      </c>
      <c r="R15" s="26">
        <v>5</v>
      </c>
      <c r="S15" s="26">
        <v>3</v>
      </c>
      <c r="T15" s="26">
        <v>0</v>
      </c>
      <c r="U15" s="16">
        <v>0</v>
      </c>
      <c r="V15" s="16">
        <v>14</v>
      </c>
      <c r="W15" s="16">
        <v>0</v>
      </c>
      <c r="X15" s="16">
        <v>4</v>
      </c>
      <c r="Y15" s="16">
        <v>3</v>
      </c>
      <c r="Z15" s="16">
        <v>2</v>
      </c>
      <c r="AA15" s="16">
        <v>12</v>
      </c>
      <c r="AB15" s="16">
        <v>0</v>
      </c>
      <c r="AC15" s="16">
        <v>0</v>
      </c>
      <c r="AD15" s="16">
        <v>0</v>
      </c>
      <c r="AE15" s="16">
        <v>12</v>
      </c>
      <c r="AF15" s="16">
        <v>9</v>
      </c>
      <c r="AG15" s="16">
        <v>0</v>
      </c>
      <c r="AH15" s="16">
        <v>20</v>
      </c>
      <c r="AI15" s="16">
        <v>0</v>
      </c>
      <c r="AJ15" s="16">
        <v>8</v>
      </c>
      <c r="AK15" s="16">
        <v>0</v>
      </c>
      <c r="AL15" s="98">
        <v>2</v>
      </c>
      <c r="AM15" s="16">
        <v>0</v>
      </c>
      <c r="AN15" s="16">
        <v>0</v>
      </c>
      <c r="AO15" s="16">
        <v>1</v>
      </c>
      <c r="AP15" s="26">
        <v>0</v>
      </c>
      <c r="AQ15" s="26">
        <v>0</v>
      </c>
      <c r="AR15" s="26">
        <v>0</v>
      </c>
      <c r="AS15" s="26">
        <v>14</v>
      </c>
      <c r="AT15" s="26">
        <v>13</v>
      </c>
      <c r="AU15" s="26">
        <v>0</v>
      </c>
      <c r="AV15" s="26">
        <v>24</v>
      </c>
      <c r="AW15" s="26">
        <v>1</v>
      </c>
      <c r="AX15" s="26">
        <v>0</v>
      </c>
      <c r="AY15" s="26">
        <v>1</v>
      </c>
      <c r="AZ15" s="16">
        <v>0</v>
      </c>
      <c r="BA15" s="16">
        <v>0</v>
      </c>
      <c r="BB15" s="16">
        <v>1</v>
      </c>
      <c r="BC15" s="16">
        <v>0</v>
      </c>
      <c r="BD15" s="16">
        <v>0</v>
      </c>
      <c r="BE15" s="16">
        <v>0</v>
      </c>
      <c r="BF15" s="16">
        <v>2</v>
      </c>
      <c r="BG15" s="16">
        <v>1</v>
      </c>
      <c r="BH15" s="16">
        <v>0</v>
      </c>
      <c r="BI15" s="16">
        <v>3</v>
      </c>
      <c r="BJ15" s="16">
        <v>17</v>
      </c>
      <c r="BK15" s="16">
        <v>14</v>
      </c>
      <c r="BL15" s="16">
        <v>3</v>
      </c>
      <c r="BM15" s="16">
        <v>1</v>
      </c>
      <c r="BN15" s="16">
        <v>0</v>
      </c>
      <c r="BO15" s="16">
        <v>0</v>
      </c>
      <c r="BP15" s="16">
        <v>49</v>
      </c>
    </row>
    <row r="16" spans="1:74" s="5" customFormat="1" ht="21.9" customHeight="1" x14ac:dyDescent="0.25">
      <c r="A16" s="125" t="s">
        <v>283</v>
      </c>
      <c r="B16" s="4"/>
      <c r="C16" s="47" t="s">
        <v>75</v>
      </c>
      <c r="D16" s="48"/>
      <c r="E16" s="16">
        <f t="shared" si="0"/>
        <v>71939</v>
      </c>
      <c r="F16" s="16">
        <v>958</v>
      </c>
      <c r="G16" s="16">
        <v>1501</v>
      </c>
      <c r="H16" s="16">
        <v>1804</v>
      </c>
      <c r="I16" s="16">
        <v>31</v>
      </c>
      <c r="J16" s="16">
        <v>308</v>
      </c>
      <c r="K16" s="16">
        <v>288</v>
      </c>
      <c r="L16" s="16">
        <v>916</v>
      </c>
      <c r="M16" s="16">
        <v>852</v>
      </c>
      <c r="N16" s="16">
        <v>57</v>
      </c>
      <c r="O16" s="16">
        <v>81</v>
      </c>
      <c r="P16" s="16">
        <v>90</v>
      </c>
      <c r="Q16" s="16">
        <v>0</v>
      </c>
      <c r="R16" s="16">
        <v>447</v>
      </c>
      <c r="S16" s="16">
        <v>443</v>
      </c>
      <c r="T16" s="16">
        <v>270</v>
      </c>
      <c r="U16" s="16">
        <v>485</v>
      </c>
      <c r="V16" s="16">
        <v>1972</v>
      </c>
      <c r="W16" s="16">
        <v>588</v>
      </c>
      <c r="X16" s="16">
        <v>1797</v>
      </c>
      <c r="Y16" s="16">
        <v>138</v>
      </c>
      <c r="Z16" s="16">
        <v>4553</v>
      </c>
      <c r="AA16" s="16">
        <v>563</v>
      </c>
      <c r="AB16" s="16">
        <v>112</v>
      </c>
      <c r="AC16" s="16">
        <v>59</v>
      </c>
      <c r="AD16" s="16">
        <v>529</v>
      </c>
      <c r="AE16" s="16">
        <v>18178</v>
      </c>
      <c r="AF16" s="16">
        <v>3495</v>
      </c>
      <c r="AG16" s="16">
        <v>1205</v>
      </c>
      <c r="AH16" s="16">
        <v>1536</v>
      </c>
      <c r="AI16" s="16">
        <v>174</v>
      </c>
      <c r="AJ16" s="16">
        <v>432</v>
      </c>
      <c r="AK16" s="16">
        <v>47</v>
      </c>
      <c r="AL16" s="98">
        <v>306</v>
      </c>
      <c r="AM16" s="16">
        <v>104</v>
      </c>
      <c r="AN16" s="16">
        <v>27</v>
      </c>
      <c r="AO16" s="16">
        <v>262</v>
      </c>
      <c r="AP16" s="16">
        <v>23</v>
      </c>
      <c r="AQ16" s="16">
        <v>20</v>
      </c>
      <c r="AR16" s="16">
        <v>67</v>
      </c>
      <c r="AS16" s="16">
        <v>236</v>
      </c>
      <c r="AT16" s="16">
        <v>326</v>
      </c>
      <c r="AU16" s="16">
        <v>1855</v>
      </c>
      <c r="AV16" s="16">
        <v>10566</v>
      </c>
      <c r="AW16" s="16">
        <v>201</v>
      </c>
      <c r="AX16" s="16">
        <v>59</v>
      </c>
      <c r="AY16" s="16">
        <v>704</v>
      </c>
      <c r="AZ16" s="16">
        <v>72</v>
      </c>
      <c r="BA16" s="16">
        <v>5</v>
      </c>
      <c r="BB16" s="16">
        <v>73</v>
      </c>
      <c r="BC16" s="16">
        <v>121</v>
      </c>
      <c r="BD16" s="16">
        <v>31</v>
      </c>
      <c r="BE16" s="16">
        <v>1016</v>
      </c>
      <c r="BF16" s="16">
        <v>786</v>
      </c>
      <c r="BG16" s="16">
        <v>1637</v>
      </c>
      <c r="BH16" s="16">
        <v>140</v>
      </c>
      <c r="BI16" s="16">
        <v>437</v>
      </c>
      <c r="BJ16" s="16">
        <v>2370</v>
      </c>
      <c r="BK16" s="16">
        <v>334</v>
      </c>
      <c r="BL16" s="16">
        <v>3404</v>
      </c>
      <c r="BM16" s="16">
        <v>1500</v>
      </c>
      <c r="BN16" s="16">
        <v>88</v>
      </c>
      <c r="BO16" s="16">
        <v>5</v>
      </c>
      <c r="BP16" s="16">
        <v>1255</v>
      </c>
    </row>
    <row r="17" spans="1:68" s="5" customFormat="1" ht="21.9" customHeight="1" x14ac:dyDescent="0.25">
      <c r="A17" s="125"/>
      <c r="B17" s="4"/>
      <c r="C17" s="47" t="s">
        <v>76</v>
      </c>
      <c r="D17" s="48"/>
      <c r="E17" s="16">
        <f t="shared" si="0"/>
        <v>471</v>
      </c>
      <c r="F17" s="26">
        <v>1</v>
      </c>
      <c r="G17" s="26">
        <v>0</v>
      </c>
      <c r="H17" s="26">
        <v>0</v>
      </c>
      <c r="I17" s="26">
        <v>1</v>
      </c>
      <c r="J17" s="26">
        <v>0</v>
      </c>
      <c r="K17" s="26">
        <v>3</v>
      </c>
      <c r="L17" s="26">
        <v>8</v>
      </c>
      <c r="M17" s="26">
        <v>2</v>
      </c>
      <c r="N17" s="26">
        <v>0</v>
      </c>
      <c r="O17" s="26">
        <v>1</v>
      </c>
      <c r="P17" s="26">
        <v>7</v>
      </c>
      <c r="Q17" s="26">
        <v>0</v>
      </c>
      <c r="R17" s="26">
        <v>11</v>
      </c>
      <c r="S17" s="26">
        <v>6</v>
      </c>
      <c r="T17" s="26">
        <v>0</v>
      </c>
      <c r="U17" s="16">
        <v>5</v>
      </c>
      <c r="V17" s="16">
        <v>6</v>
      </c>
      <c r="W17" s="16">
        <v>43</v>
      </c>
      <c r="X17" s="16">
        <v>12</v>
      </c>
      <c r="Y17" s="16">
        <v>2</v>
      </c>
      <c r="Z17" s="16">
        <v>2</v>
      </c>
      <c r="AA17" s="16">
        <v>34</v>
      </c>
      <c r="AB17" s="16">
        <v>0</v>
      </c>
      <c r="AC17" s="16">
        <v>0</v>
      </c>
      <c r="AD17" s="16">
        <v>0</v>
      </c>
      <c r="AE17" s="16">
        <v>25</v>
      </c>
      <c r="AF17" s="16">
        <v>11</v>
      </c>
      <c r="AG17" s="16">
        <v>3</v>
      </c>
      <c r="AH17" s="16">
        <v>91</v>
      </c>
      <c r="AI17" s="16">
        <v>6</v>
      </c>
      <c r="AJ17" s="16">
        <v>0</v>
      </c>
      <c r="AK17" s="16">
        <v>0</v>
      </c>
      <c r="AL17" s="98">
        <v>2</v>
      </c>
      <c r="AM17" s="16">
        <v>2</v>
      </c>
      <c r="AN17" s="16">
        <v>0</v>
      </c>
      <c r="AO17" s="16">
        <v>2</v>
      </c>
      <c r="AP17" s="26">
        <v>0</v>
      </c>
      <c r="AQ17" s="26">
        <v>0</v>
      </c>
      <c r="AR17" s="26">
        <v>0</v>
      </c>
      <c r="AS17" s="26">
        <v>18</v>
      </c>
      <c r="AT17" s="26">
        <v>4</v>
      </c>
      <c r="AU17" s="26">
        <v>2</v>
      </c>
      <c r="AV17" s="26">
        <v>47</v>
      </c>
      <c r="AW17" s="26">
        <v>2</v>
      </c>
      <c r="AX17" s="26">
        <v>0</v>
      </c>
      <c r="AY17" s="26">
        <v>1</v>
      </c>
      <c r="AZ17" s="16">
        <v>6</v>
      </c>
      <c r="BA17" s="16">
        <v>4</v>
      </c>
      <c r="BB17" s="16">
        <v>2</v>
      </c>
      <c r="BC17" s="16">
        <v>0</v>
      </c>
      <c r="BD17" s="16">
        <v>0</v>
      </c>
      <c r="BE17" s="16">
        <v>0</v>
      </c>
      <c r="BF17" s="16">
        <v>2</v>
      </c>
      <c r="BG17" s="16">
        <v>10</v>
      </c>
      <c r="BH17" s="16">
        <v>18</v>
      </c>
      <c r="BI17" s="16">
        <v>10</v>
      </c>
      <c r="BJ17" s="16">
        <v>5</v>
      </c>
      <c r="BK17" s="16">
        <v>10</v>
      </c>
      <c r="BL17" s="16">
        <v>7</v>
      </c>
      <c r="BM17" s="16">
        <v>3</v>
      </c>
      <c r="BN17" s="16">
        <v>0</v>
      </c>
      <c r="BO17" s="16">
        <v>0</v>
      </c>
      <c r="BP17" s="16">
        <v>34</v>
      </c>
    </row>
    <row r="18" spans="1:68" s="5" customFormat="1" ht="21.9" customHeight="1" x14ac:dyDescent="0.25">
      <c r="A18" s="125" t="s">
        <v>176</v>
      </c>
      <c r="C18" s="47" t="s">
        <v>75</v>
      </c>
      <c r="D18" s="48"/>
      <c r="E18" s="16">
        <f t="shared" si="0"/>
        <v>19682</v>
      </c>
      <c r="F18" s="16">
        <v>202</v>
      </c>
      <c r="G18" s="16">
        <v>218</v>
      </c>
      <c r="H18" s="16">
        <v>101</v>
      </c>
      <c r="I18" s="16">
        <v>10</v>
      </c>
      <c r="J18" s="16">
        <v>41</v>
      </c>
      <c r="K18" s="16">
        <v>94</v>
      </c>
      <c r="L18" s="16">
        <v>673</v>
      </c>
      <c r="M18" s="16">
        <v>243</v>
      </c>
      <c r="N18" s="16">
        <v>82</v>
      </c>
      <c r="O18" s="16">
        <v>125</v>
      </c>
      <c r="P18" s="16">
        <v>92</v>
      </c>
      <c r="Q18" s="16">
        <v>3</v>
      </c>
      <c r="R18" s="16">
        <v>287</v>
      </c>
      <c r="S18" s="16">
        <v>360</v>
      </c>
      <c r="T18" s="16">
        <v>215</v>
      </c>
      <c r="U18" s="16">
        <v>303</v>
      </c>
      <c r="V18" s="16">
        <v>1111</v>
      </c>
      <c r="W18" s="16">
        <v>112</v>
      </c>
      <c r="X18" s="16">
        <v>131</v>
      </c>
      <c r="Y18" s="16">
        <v>84</v>
      </c>
      <c r="Z18" s="16">
        <v>687</v>
      </c>
      <c r="AA18" s="16">
        <v>151</v>
      </c>
      <c r="AB18" s="16">
        <v>139</v>
      </c>
      <c r="AC18" s="16">
        <v>103</v>
      </c>
      <c r="AD18" s="16">
        <v>150</v>
      </c>
      <c r="AE18" s="16">
        <v>3950</v>
      </c>
      <c r="AF18" s="16">
        <v>1172</v>
      </c>
      <c r="AG18" s="16">
        <v>406</v>
      </c>
      <c r="AH18" s="16">
        <v>764</v>
      </c>
      <c r="AI18" s="16">
        <v>109</v>
      </c>
      <c r="AJ18" s="16">
        <v>511</v>
      </c>
      <c r="AK18" s="16">
        <v>15</v>
      </c>
      <c r="AL18" s="98">
        <v>136</v>
      </c>
      <c r="AM18" s="16">
        <v>34</v>
      </c>
      <c r="AN18" s="16">
        <v>18</v>
      </c>
      <c r="AO18" s="16">
        <v>180</v>
      </c>
      <c r="AP18" s="16">
        <v>1</v>
      </c>
      <c r="AQ18" s="16">
        <v>9</v>
      </c>
      <c r="AR18" s="16">
        <v>69</v>
      </c>
      <c r="AS18" s="16">
        <v>103</v>
      </c>
      <c r="AT18" s="16">
        <v>24</v>
      </c>
      <c r="AU18" s="16">
        <v>236</v>
      </c>
      <c r="AV18" s="16">
        <v>2380</v>
      </c>
      <c r="AW18" s="16">
        <v>368</v>
      </c>
      <c r="AX18" s="16">
        <v>11</v>
      </c>
      <c r="AY18" s="16">
        <v>386</v>
      </c>
      <c r="AZ18" s="16">
        <v>83</v>
      </c>
      <c r="BA18" s="16">
        <v>7</v>
      </c>
      <c r="BB18" s="16">
        <v>14</v>
      </c>
      <c r="BC18" s="16">
        <v>24</v>
      </c>
      <c r="BD18" s="16">
        <v>1</v>
      </c>
      <c r="BE18" s="16">
        <v>210</v>
      </c>
      <c r="BF18" s="16">
        <v>354</v>
      </c>
      <c r="BG18" s="16">
        <v>494</v>
      </c>
      <c r="BH18" s="16">
        <v>343</v>
      </c>
      <c r="BI18" s="16">
        <v>125</v>
      </c>
      <c r="BJ18" s="16">
        <v>336</v>
      </c>
      <c r="BK18" s="16">
        <v>144</v>
      </c>
      <c r="BL18" s="16">
        <v>295</v>
      </c>
      <c r="BM18" s="16">
        <v>405</v>
      </c>
      <c r="BN18" s="16">
        <v>8</v>
      </c>
      <c r="BO18" s="16">
        <v>7</v>
      </c>
      <c r="BP18" s="16">
        <v>233</v>
      </c>
    </row>
    <row r="19" spans="1:68" s="5" customFormat="1" ht="21.9" customHeight="1" x14ac:dyDescent="0.25">
      <c r="A19" s="125"/>
      <c r="C19" s="47" t="s">
        <v>76</v>
      </c>
      <c r="D19" s="48"/>
      <c r="E19" s="16">
        <f t="shared" si="0"/>
        <v>496</v>
      </c>
      <c r="F19" s="26">
        <v>0</v>
      </c>
      <c r="G19" s="26">
        <v>1</v>
      </c>
      <c r="H19" s="26">
        <v>0</v>
      </c>
      <c r="I19" s="26">
        <v>0</v>
      </c>
      <c r="J19" s="26">
        <v>1</v>
      </c>
      <c r="K19" s="26">
        <v>4</v>
      </c>
      <c r="L19" s="26">
        <v>4</v>
      </c>
      <c r="M19" s="26">
        <v>3</v>
      </c>
      <c r="N19" s="26">
        <v>0</v>
      </c>
      <c r="O19" s="26">
        <v>5</v>
      </c>
      <c r="P19" s="26">
        <v>11</v>
      </c>
      <c r="Q19" s="26">
        <v>0</v>
      </c>
      <c r="R19" s="26">
        <v>12</v>
      </c>
      <c r="S19" s="26">
        <v>7</v>
      </c>
      <c r="T19" s="26">
        <v>2</v>
      </c>
      <c r="U19" s="16">
        <v>2</v>
      </c>
      <c r="V19" s="16">
        <v>22</v>
      </c>
      <c r="W19" s="16">
        <v>3</v>
      </c>
      <c r="X19" s="16">
        <v>1</v>
      </c>
      <c r="Y19" s="16">
        <v>20</v>
      </c>
      <c r="Z19" s="16">
        <v>11</v>
      </c>
      <c r="AA19" s="16">
        <v>5</v>
      </c>
      <c r="AB19" s="16">
        <v>1</v>
      </c>
      <c r="AC19" s="16">
        <v>10</v>
      </c>
      <c r="AD19" s="16">
        <v>4</v>
      </c>
      <c r="AE19" s="16">
        <v>58</v>
      </c>
      <c r="AF19" s="16">
        <v>15</v>
      </c>
      <c r="AG19" s="16">
        <v>16</v>
      </c>
      <c r="AH19" s="16">
        <v>31</v>
      </c>
      <c r="AI19" s="16">
        <v>7</v>
      </c>
      <c r="AJ19" s="16">
        <v>9</v>
      </c>
      <c r="AK19" s="16">
        <v>1</v>
      </c>
      <c r="AL19" s="98">
        <v>3</v>
      </c>
      <c r="AM19" s="16">
        <v>4</v>
      </c>
      <c r="AN19" s="16">
        <v>0</v>
      </c>
      <c r="AO19" s="16">
        <v>3</v>
      </c>
      <c r="AP19" s="26">
        <v>0</v>
      </c>
      <c r="AQ19" s="26">
        <v>0</v>
      </c>
      <c r="AR19" s="26">
        <v>0</v>
      </c>
      <c r="AS19" s="26">
        <v>6</v>
      </c>
      <c r="AT19" s="26">
        <v>1</v>
      </c>
      <c r="AU19" s="26">
        <v>0</v>
      </c>
      <c r="AV19" s="26">
        <v>24</v>
      </c>
      <c r="AW19" s="26">
        <v>13</v>
      </c>
      <c r="AX19" s="26">
        <v>0</v>
      </c>
      <c r="AY19" s="26">
        <v>4</v>
      </c>
      <c r="AZ19" s="16">
        <v>23</v>
      </c>
      <c r="BA19" s="16">
        <v>4</v>
      </c>
      <c r="BB19" s="16">
        <v>0</v>
      </c>
      <c r="BC19" s="16">
        <v>0</v>
      </c>
      <c r="BD19" s="16">
        <v>1</v>
      </c>
      <c r="BE19" s="16">
        <v>4</v>
      </c>
      <c r="BF19" s="16">
        <v>29</v>
      </c>
      <c r="BG19" s="16">
        <v>40</v>
      </c>
      <c r="BH19" s="16">
        <v>15</v>
      </c>
      <c r="BI19" s="16">
        <v>13</v>
      </c>
      <c r="BJ19" s="16">
        <v>7</v>
      </c>
      <c r="BK19" s="16">
        <v>4</v>
      </c>
      <c r="BL19" s="16">
        <v>8</v>
      </c>
      <c r="BM19" s="16">
        <v>7</v>
      </c>
      <c r="BN19" s="16">
        <v>0</v>
      </c>
      <c r="BO19" s="16">
        <v>0</v>
      </c>
      <c r="BP19" s="16">
        <v>17</v>
      </c>
    </row>
    <row r="20" spans="1:68" s="5" customFormat="1" ht="21.9" customHeight="1" x14ac:dyDescent="0.25">
      <c r="A20" s="125" t="s">
        <v>77</v>
      </c>
      <c r="B20" s="4"/>
      <c r="C20" s="47" t="s">
        <v>75</v>
      </c>
      <c r="D20" s="48"/>
      <c r="E20" s="16">
        <f t="shared" si="0"/>
        <v>38032</v>
      </c>
      <c r="F20" s="16">
        <v>137</v>
      </c>
      <c r="G20" s="16">
        <v>197</v>
      </c>
      <c r="H20" s="16">
        <v>165</v>
      </c>
      <c r="I20" s="16">
        <v>43</v>
      </c>
      <c r="J20" s="16">
        <v>98</v>
      </c>
      <c r="K20" s="16">
        <v>252</v>
      </c>
      <c r="L20" s="16">
        <v>1079</v>
      </c>
      <c r="M20" s="16">
        <v>787</v>
      </c>
      <c r="N20" s="16">
        <v>53</v>
      </c>
      <c r="O20" s="16">
        <v>515</v>
      </c>
      <c r="P20" s="16">
        <v>119</v>
      </c>
      <c r="Q20" s="16">
        <v>0</v>
      </c>
      <c r="R20" s="16">
        <v>675</v>
      </c>
      <c r="S20" s="16">
        <v>632</v>
      </c>
      <c r="T20" s="16">
        <v>323</v>
      </c>
      <c r="U20" s="16">
        <v>666</v>
      </c>
      <c r="V20" s="16">
        <v>1690</v>
      </c>
      <c r="W20" s="16">
        <v>296</v>
      </c>
      <c r="X20" s="16">
        <v>558</v>
      </c>
      <c r="Y20" s="16">
        <v>377</v>
      </c>
      <c r="Z20" s="16">
        <v>1426</v>
      </c>
      <c r="AA20" s="16">
        <v>599</v>
      </c>
      <c r="AB20" s="16">
        <v>393</v>
      </c>
      <c r="AC20" s="16">
        <v>102</v>
      </c>
      <c r="AD20" s="16">
        <v>424</v>
      </c>
      <c r="AE20" s="16">
        <v>8413</v>
      </c>
      <c r="AF20" s="16">
        <v>2767</v>
      </c>
      <c r="AG20" s="16">
        <v>1070</v>
      </c>
      <c r="AH20" s="16">
        <v>1486</v>
      </c>
      <c r="AI20" s="16">
        <v>355</v>
      </c>
      <c r="AJ20" s="16">
        <v>369</v>
      </c>
      <c r="AK20" s="16">
        <v>7</v>
      </c>
      <c r="AL20" s="98">
        <v>413</v>
      </c>
      <c r="AM20" s="16">
        <v>64</v>
      </c>
      <c r="AN20" s="16">
        <v>287</v>
      </c>
      <c r="AO20" s="16">
        <v>290</v>
      </c>
      <c r="AP20" s="16">
        <v>37</v>
      </c>
      <c r="AQ20" s="16">
        <v>1</v>
      </c>
      <c r="AR20" s="16">
        <v>109</v>
      </c>
      <c r="AS20" s="16">
        <v>196</v>
      </c>
      <c r="AT20" s="16">
        <v>61</v>
      </c>
      <c r="AU20" s="16">
        <v>342</v>
      </c>
      <c r="AV20" s="16">
        <v>2932</v>
      </c>
      <c r="AW20" s="16">
        <v>335</v>
      </c>
      <c r="AX20" s="16">
        <v>20</v>
      </c>
      <c r="AY20" s="16">
        <v>477</v>
      </c>
      <c r="AZ20" s="16">
        <v>107</v>
      </c>
      <c r="BA20" s="16">
        <v>0</v>
      </c>
      <c r="BB20" s="16">
        <v>51</v>
      </c>
      <c r="BC20" s="16">
        <v>13</v>
      </c>
      <c r="BD20" s="16">
        <v>0</v>
      </c>
      <c r="BE20" s="16">
        <v>662</v>
      </c>
      <c r="BF20" s="16">
        <v>551</v>
      </c>
      <c r="BG20" s="16">
        <v>993</v>
      </c>
      <c r="BH20" s="16">
        <v>1225</v>
      </c>
      <c r="BI20" s="16">
        <v>271</v>
      </c>
      <c r="BJ20" s="16">
        <v>639</v>
      </c>
      <c r="BK20" s="16">
        <v>123</v>
      </c>
      <c r="BL20" s="16">
        <v>136</v>
      </c>
      <c r="BM20" s="16">
        <v>706</v>
      </c>
      <c r="BN20" s="16">
        <v>26</v>
      </c>
      <c r="BO20" s="16">
        <v>0</v>
      </c>
      <c r="BP20" s="16">
        <v>892</v>
      </c>
    </row>
    <row r="21" spans="1:68" s="5" customFormat="1" ht="21.9" customHeight="1" x14ac:dyDescent="0.25">
      <c r="A21" s="125"/>
      <c r="B21" s="4"/>
      <c r="C21" s="47" t="s">
        <v>76</v>
      </c>
      <c r="D21" s="48"/>
      <c r="E21" s="16">
        <f t="shared" si="0"/>
        <v>217</v>
      </c>
      <c r="F21" s="16">
        <v>0</v>
      </c>
      <c r="G21" s="16">
        <v>0</v>
      </c>
      <c r="H21" s="16">
        <v>0</v>
      </c>
      <c r="I21" s="16">
        <v>0</v>
      </c>
      <c r="J21" s="16">
        <v>0</v>
      </c>
      <c r="K21" s="16">
        <v>3</v>
      </c>
      <c r="L21" s="16">
        <v>14</v>
      </c>
      <c r="M21" s="16">
        <v>4</v>
      </c>
      <c r="N21" s="16">
        <v>0</v>
      </c>
      <c r="O21" s="16">
        <v>0</v>
      </c>
      <c r="P21" s="16">
        <v>1</v>
      </c>
      <c r="Q21" s="16">
        <v>0</v>
      </c>
      <c r="R21" s="16">
        <v>8</v>
      </c>
      <c r="S21" s="16">
        <v>11</v>
      </c>
      <c r="T21" s="16">
        <v>0</v>
      </c>
      <c r="U21" s="16">
        <v>0</v>
      </c>
      <c r="V21" s="16">
        <v>6</v>
      </c>
      <c r="W21" s="16">
        <v>0</v>
      </c>
      <c r="X21" s="16">
        <v>4</v>
      </c>
      <c r="Y21" s="16">
        <v>0</v>
      </c>
      <c r="Z21" s="16">
        <v>0</v>
      </c>
      <c r="AA21" s="16">
        <v>2</v>
      </c>
      <c r="AB21" s="16">
        <v>0</v>
      </c>
      <c r="AC21" s="16">
        <v>0</v>
      </c>
      <c r="AD21" s="16">
        <v>1</v>
      </c>
      <c r="AE21" s="16">
        <v>0</v>
      </c>
      <c r="AF21" s="16">
        <v>3</v>
      </c>
      <c r="AG21" s="16">
        <v>1</v>
      </c>
      <c r="AH21" s="16">
        <v>45</v>
      </c>
      <c r="AI21" s="16">
        <v>3</v>
      </c>
      <c r="AJ21" s="16">
        <v>4</v>
      </c>
      <c r="AK21" s="16">
        <v>1</v>
      </c>
      <c r="AL21" s="98">
        <v>0</v>
      </c>
      <c r="AM21" s="16">
        <v>0</v>
      </c>
      <c r="AN21" s="16">
        <v>0</v>
      </c>
      <c r="AO21" s="16">
        <v>0</v>
      </c>
      <c r="AP21" s="16">
        <v>0</v>
      </c>
      <c r="AQ21" s="16">
        <v>0</v>
      </c>
      <c r="AR21" s="16">
        <v>0</v>
      </c>
      <c r="AS21" s="16">
        <v>12</v>
      </c>
      <c r="AT21" s="16">
        <v>0</v>
      </c>
      <c r="AU21" s="16">
        <v>1</v>
      </c>
      <c r="AV21" s="16">
        <v>13</v>
      </c>
      <c r="AW21" s="16">
        <v>0</v>
      </c>
      <c r="AX21" s="16">
        <v>0</v>
      </c>
      <c r="AY21" s="16">
        <v>0</v>
      </c>
      <c r="AZ21" s="16">
        <v>2</v>
      </c>
      <c r="BA21" s="16">
        <v>0</v>
      </c>
      <c r="BB21" s="16">
        <v>0</v>
      </c>
      <c r="BC21" s="16">
        <v>0</v>
      </c>
      <c r="BD21" s="16">
        <v>0</v>
      </c>
      <c r="BE21" s="16">
        <v>0</v>
      </c>
      <c r="BF21" s="16">
        <v>2</v>
      </c>
      <c r="BG21" s="16">
        <v>0</v>
      </c>
      <c r="BH21" s="16">
        <v>1</v>
      </c>
      <c r="BI21" s="16">
        <v>0</v>
      </c>
      <c r="BJ21" s="16">
        <v>40</v>
      </c>
      <c r="BK21" s="16">
        <v>13</v>
      </c>
      <c r="BL21" s="16">
        <v>5</v>
      </c>
      <c r="BM21" s="16">
        <v>0</v>
      </c>
      <c r="BN21" s="16">
        <v>0</v>
      </c>
      <c r="BO21" s="16">
        <v>0</v>
      </c>
      <c r="BP21" s="16">
        <v>17</v>
      </c>
    </row>
    <row r="22" spans="1:68" s="5" customFormat="1" ht="21.9" customHeight="1" x14ac:dyDescent="0.25">
      <c r="A22" s="125" t="s">
        <v>79</v>
      </c>
      <c r="B22" s="4"/>
      <c r="C22" s="47" t="s">
        <v>120</v>
      </c>
      <c r="D22" s="48"/>
      <c r="E22" s="16">
        <f t="shared" si="0"/>
        <v>19075</v>
      </c>
      <c r="F22" s="16">
        <v>133</v>
      </c>
      <c r="G22" s="16">
        <v>166</v>
      </c>
      <c r="H22" s="16">
        <v>51</v>
      </c>
      <c r="I22" s="16">
        <v>6</v>
      </c>
      <c r="J22" s="16">
        <v>29</v>
      </c>
      <c r="K22" s="16">
        <v>78</v>
      </c>
      <c r="L22" s="16">
        <v>970</v>
      </c>
      <c r="M22" s="16">
        <v>182</v>
      </c>
      <c r="N22" s="16">
        <v>24</v>
      </c>
      <c r="O22" s="16">
        <v>111</v>
      </c>
      <c r="P22" s="16">
        <v>48</v>
      </c>
      <c r="Q22" s="16">
        <v>0</v>
      </c>
      <c r="R22" s="16">
        <v>370</v>
      </c>
      <c r="S22" s="16">
        <v>184</v>
      </c>
      <c r="T22" s="16">
        <v>113</v>
      </c>
      <c r="U22" s="16">
        <v>262</v>
      </c>
      <c r="V22" s="16">
        <v>754</v>
      </c>
      <c r="W22" s="16">
        <v>6</v>
      </c>
      <c r="X22" s="16">
        <v>298</v>
      </c>
      <c r="Y22" s="16">
        <v>35</v>
      </c>
      <c r="Z22" s="16">
        <v>265</v>
      </c>
      <c r="AA22" s="16">
        <v>152</v>
      </c>
      <c r="AB22" s="16">
        <v>104</v>
      </c>
      <c r="AC22" s="16">
        <v>40</v>
      </c>
      <c r="AD22" s="16">
        <v>237</v>
      </c>
      <c r="AE22" s="16">
        <v>2540</v>
      </c>
      <c r="AF22" s="16">
        <v>849</v>
      </c>
      <c r="AG22" s="16">
        <v>395</v>
      </c>
      <c r="AH22" s="16">
        <v>2002</v>
      </c>
      <c r="AI22" s="16">
        <v>101</v>
      </c>
      <c r="AJ22" s="16">
        <v>225</v>
      </c>
      <c r="AK22" s="16">
        <v>6</v>
      </c>
      <c r="AL22" s="98">
        <v>195</v>
      </c>
      <c r="AM22" s="16">
        <v>39</v>
      </c>
      <c r="AN22" s="16">
        <v>33</v>
      </c>
      <c r="AO22" s="16">
        <v>234</v>
      </c>
      <c r="AP22" s="16">
        <v>44</v>
      </c>
      <c r="AQ22" s="16">
        <v>6</v>
      </c>
      <c r="AR22" s="16">
        <v>100</v>
      </c>
      <c r="AS22" s="16">
        <v>126</v>
      </c>
      <c r="AT22" s="16">
        <v>22</v>
      </c>
      <c r="AU22" s="16">
        <v>108</v>
      </c>
      <c r="AV22" s="16">
        <v>1409</v>
      </c>
      <c r="AW22" s="16">
        <v>1016</v>
      </c>
      <c r="AX22" s="16">
        <v>13</v>
      </c>
      <c r="AY22" s="16">
        <v>883</v>
      </c>
      <c r="AZ22" s="16">
        <v>482</v>
      </c>
      <c r="BA22" s="16">
        <v>17</v>
      </c>
      <c r="BB22" s="16">
        <v>99</v>
      </c>
      <c r="BC22" s="16">
        <v>3</v>
      </c>
      <c r="BD22" s="16">
        <v>30</v>
      </c>
      <c r="BE22" s="16">
        <v>309</v>
      </c>
      <c r="BF22" s="16">
        <v>463</v>
      </c>
      <c r="BG22" s="16">
        <v>804</v>
      </c>
      <c r="BH22" s="16">
        <v>185</v>
      </c>
      <c r="BI22" s="16">
        <v>107</v>
      </c>
      <c r="BJ22" s="16">
        <v>897</v>
      </c>
      <c r="BK22" s="16">
        <v>77</v>
      </c>
      <c r="BL22" s="16">
        <v>160</v>
      </c>
      <c r="BM22" s="16">
        <v>343</v>
      </c>
      <c r="BN22" s="16">
        <v>1</v>
      </c>
      <c r="BO22" s="16">
        <v>2</v>
      </c>
      <c r="BP22" s="16">
        <v>132</v>
      </c>
    </row>
    <row r="23" spans="1:68" s="5" customFormat="1" ht="21.9" customHeight="1" x14ac:dyDescent="0.25">
      <c r="A23" s="125"/>
      <c r="B23" s="4"/>
      <c r="C23" s="47" t="s">
        <v>76</v>
      </c>
      <c r="D23" s="48"/>
      <c r="E23" s="16">
        <f t="shared" si="0"/>
        <v>245</v>
      </c>
      <c r="F23" s="16">
        <v>0</v>
      </c>
      <c r="G23" s="16">
        <v>0</v>
      </c>
      <c r="H23" s="16">
        <v>0</v>
      </c>
      <c r="I23" s="16">
        <v>0</v>
      </c>
      <c r="J23" s="16">
        <v>0</v>
      </c>
      <c r="K23" s="16">
        <v>0</v>
      </c>
      <c r="L23" s="16">
        <v>4</v>
      </c>
      <c r="M23" s="16">
        <v>0</v>
      </c>
      <c r="N23" s="16">
        <v>0</v>
      </c>
      <c r="O23" s="16">
        <v>0</v>
      </c>
      <c r="P23" s="16">
        <v>1</v>
      </c>
      <c r="Q23" s="16">
        <v>0</v>
      </c>
      <c r="R23" s="16">
        <v>4</v>
      </c>
      <c r="S23" s="16">
        <v>0</v>
      </c>
      <c r="T23" s="16">
        <v>0</v>
      </c>
      <c r="U23" s="16">
        <v>4</v>
      </c>
      <c r="V23" s="16">
        <v>6</v>
      </c>
      <c r="W23" s="16">
        <v>0</v>
      </c>
      <c r="X23" s="16">
        <v>3</v>
      </c>
      <c r="Y23" s="16">
        <v>0</v>
      </c>
      <c r="Z23" s="16">
        <v>7</v>
      </c>
      <c r="AA23" s="16">
        <v>6</v>
      </c>
      <c r="AB23" s="16">
        <v>1</v>
      </c>
      <c r="AC23" s="16">
        <v>0</v>
      </c>
      <c r="AD23" s="16">
        <v>6</v>
      </c>
      <c r="AE23" s="16">
        <v>11</v>
      </c>
      <c r="AF23" s="16">
        <v>7</v>
      </c>
      <c r="AG23" s="16">
        <v>3</v>
      </c>
      <c r="AH23" s="16">
        <v>13</v>
      </c>
      <c r="AI23" s="16">
        <v>0</v>
      </c>
      <c r="AJ23" s="16">
        <v>3</v>
      </c>
      <c r="AK23" s="16">
        <v>0</v>
      </c>
      <c r="AL23" s="98">
        <v>5</v>
      </c>
      <c r="AM23" s="16">
        <v>0</v>
      </c>
      <c r="AN23" s="16">
        <v>0</v>
      </c>
      <c r="AO23" s="16">
        <v>2</v>
      </c>
      <c r="AP23" s="16">
        <v>0</v>
      </c>
      <c r="AQ23" s="16">
        <v>0</v>
      </c>
      <c r="AR23" s="16">
        <v>0</v>
      </c>
      <c r="AS23" s="16">
        <v>18</v>
      </c>
      <c r="AT23" s="16">
        <v>1</v>
      </c>
      <c r="AU23" s="16">
        <v>2</v>
      </c>
      <c r="AV23" s="16">
        <v>60</v>
      </c>
      <c r="AW23" s="16">
        <v>0</v>
      </c>
      <c r="AX23" s="16">
        <v>1</v>
      </c>
      <c r="AY23" s="16">
        <v>0</v>
      </c>
      <c r="AZ23" s="16">
        <v>14</v>
      </c>
      <c r="BA23" s="16">
        <v>0</v>
      </c>
      <c r="BB23" s="16">
        <v>0</v>
      </c>
      <c r="BC23" s="16">
        <v>0</v>
      </c>
      <c r="BD23" s="16">
        <v>0</v>
      </c>
      <c r="BE23" s="16">
        <v>0</v>
      </c>
      <c r="BF23" s="16">
        <v>5</v>
      </c>
      <c r="BG23" s="16">
        <v>10</v>
      </c>
      <c r="BH23" s="16">
        <v>0</v>
      </c>
      <c r="BI23" s="16">
        <v>2</v>
      </c>
      <c r="BJ23" s="16">
        <v>12</v>
      </c>
      <c r="BK23" s="16">
        <v>4</v>
      </c>
      <c r="BL23" s="16">
        <v>2</v>
      </c>
      <c r="BM23" s="16">
        <v>0</v>
      </c>
      <c r="BN23" s="16">
        <v>0</v>
      </c>
      <c r="BO23" s="16">
        <v>0</v>
      </c>
      <c r="BP23" s="16">
        <v>28</v>
      </c>
    </row>
    <row r="24" spans="1:68" s="5" customFormat="1" ht="21.9" customHeight="1" x14ac:dyDescent="0.25">
      <c r="A24" s="125" t="s">
        <v>280</v>
      </c>
      <c r="B24" s="4"/>
      <c r="C24" s="47" t="s">
        <v>75</v>
      </c>
      <c r="D24" s="48"/>
      <c r="E24" s="16">
        <f t="shared" si="0"/>
        <v>56530</v>
      </c>
      <c r="F24" s="16">
        <v>1002</v>
      </c>
      <c r="G24" s="16">
        <v>503</v>
      </c>
      <c r="H24" s="16">
        <v>190</v>
      </c>
      <c r="I24" s="16">
        <v>84</v>
      </c>
      <c r="J24" s="16">
        <v>260</v>
      </c>
      <c r="K24" s="16">
        <v>213</v>
      </c>
      <c r="L24" s="16">
        <v>1548</v>
      </c>
      <c r="M24" s="16">
        <v>1066</v>
      </c>
      <c r="N24" s="16">
        <v>268</v>
      </c>
      <c r="O24" s="16">
        <v>763</v>
      </c>
      <c r="P24" s="16">
        <v>225</v>
      </c>
      <c r="Q24" s="16">
        <v>25</v>
      </c>
      <c r="R24" s="16">
        <v>825</v>
      </c>
      <c r="S24" s="16">
        <v>765</v>
      </c>
      <c r="T24" s="16">
        <v>817</v>
      </c>
      <c r="U24" s="16">
        <v>676</v>
      </c>
      <c r="V24" s="16">
        <v>2159</v>
      </c>
      <c r="W24" s="16">
        <v>393</v>
      </c>
      <c r="X24" s="16">
        <v>675</v>
      </c>
      <c r="Y24" s="16">
        <v>189</v>
      </c>
      <c r="Z24" s="16">
        <v>2661</v>
      </c>
      <c r="AA24" s="16">
        <v>533</v>
      </c>
      <c r="AB24" s="16">
        <v>346</v>
      </c>
      <c r="AC24" s="16">
        <v>267</v>
      </c>
      <c r="AD24" s="16">
        <v>699</v>
      </c>
      <c r="AE24" s="16">
        <v>6607</v>
      </c>
      <c r="AF24" s="16">
        <v>3047</v>
      </c>
      <c r="AG24" s="16">
        <v>944</v>
      </c>
      <c r="AH24" s="16">
        <v>2000</v>
      </c>
      <c r="AI24" s="16">
        <v>407</v>
      </c>
      <c r="AJ24" s="16">
        <v>1429</v>
      </c>
      <c r="AK24" s="16">
        <v>35</v>
      </c>
      <c r="AL24" s="98">
        <v>419</v>
      </c>
      <c r="AM24" s="16">
        <v>194</v>
      </c>
      <c r="AN24" s="16">
        <v>28</v>
      </c>
      <c r="AO24" s="16">
        <v>589</v>
      </c>
      <c r="AP24" s="16">
        <v>52</v>
      </c>
      <c r="AQ24" s="16">
        <v>16</v>
      </c>
      <c r="AR24" s="16">
        <v>35</v>
      </c>
      <c r="AS24" s="16">
        <v>565</v>
      </c>
      <c r="AT24" s="16">
        <v>178</v>
      </c>
      <c r="AU24" s="16">
        <v>1628</v>
      </c>
      <c r="AV24" s="16">
        <v>5780</v>
      </c>
      <c r="AW24" s="16">
        <v>2078</v>
      </c>
      <c r="AX24" s="16">
        <v>90</v>
      </c>
      <c r="AY24" s="16">
        <v>1781</v>
      </c>
      <c r="AZ24" s="16">
        <v>461</v>
      </c>
      <c r="BA24" s="16">
        <v>16</v>
      </c>
      <c r="BB24" s="16">
        <v>453</v>
      </c>
      <c r="BC24" s="16">
        <v>88</v>
      </c>
      <c r="BD24" s="16">
        <v>458</v>
      </c>
      <c r="BE24" s="16">
        <v>2080</v>
      </c>
      <c r="BF24" s="16">
        <v>2400</v>
      </c>
      <c r="BG24" s="16">
        <v>1975</v>
      </c>
      <c r="BH24" s="16">
        <v>600</v>
      </c>
      <c r="BI24" s="16">
        <v>164</v>
      </c>
      <c r="BJ24" s="16">
        <v>981</v>
      </c>
      <c r="BK24" s="16">
        <v>529</v>
      </c>
      <c r="BL24" s="16">
        <v>393</v>
      </c>
      <c r="BM24" s="16">
        <v>293</v>
      </c>
      <c r="BN24" s="16">
        <v>107</v>
      </c>
      <c r="BO24" s="16">
        <v>6</v>
      </c>
      <c r="BP24" s="16">
        <v>472</v>
      </c>
    </row>
    <row r="25" spans="1:68" s="5" customFormat="1" ht="21.9" customHeight="1" x14ac:dyDescent="0.25">
      <c r="A25" s="125"/>
      <c r="B25" s="4"/>
      <c r="C25" s="47" t="s">
        <v>76</v>
      </c>
      <c r="D25" s="48"/>
      <c r="E25" s="16">
        <f t="shared" si="0"/>
        <v>372</v>
      </c>
      <c r="F25" s="16">
        <v>1</v>
      </c>
      <c r="G25" s="16">
        <v>0</v>
      </c>
      <c r="H25" s="16">
        <v>0</v>
      </c>
      <c r="I25" s="16">
        <v>0</v>
      </c>
      <c r="J25" s="16">
        <v>0</v>
      </c>
      <c r="K25" s="16">
        <v>0</v>
      </c>
      <c r="L25" s="16">
        <v>8</v>
      </c>
      <c r="M25" s="16">
        <v>5</v>
      </c>
      <c r="N25" s="16">
        <v>0</v>
      </c>
      <c r="O25" s="16">
        <v>5</v>
      </c>
      <c r="P25" s="16">
        <v>1</v>
      </c>
      <c r="Q25" s="16">
        <v>0</v>
      </c>
      <c r="R25" s="16">
        <v>8</v>
      </c>
      <c r="S25" s="16">
        <v>12</v>
      </c>
      <c r="T25" s="16">
        <v>1</v>
      </c>
      <c r="U25" s="16">
        <v>2</v>
      </c>
      <c r="V25" s="16">
        <v>25</v>
      </c>
      <c r="W25" s="16">
        <v>1</v>
      </c>
      <c r="X25" s="16">
        <v>0</v>
      </c>
      <c r="Y25" s="16">
        <v>5</v>
      </c>
      <c r="Z25" s="16">
        <v>5</v>
      </c>
      <c r="AA25" s="16">
        <v>10</v>
      </c>
      <c r="AB25" s="16">
        <v>0</v>
      </c>
      <c r="AC25" s="16">
        <v>3</v>
      </c>
      <c r="AD25" s="16">
        <v>8</v>
      </c>
      <c r="AE25" s="16">
        <v>22</v>
      </c>
      <c r="AF25" s="16">
        <v>18</v>
      </c>
      <c r="AG25" s="16">
        <v>4</v>
      </c>
      <c r="AH25" s="16">
        <v>37</v>
      </c>
      <c r="AI25" s="16">
        <v>17</v>
      </c>
      <c r="AJ25" s="16">
        <v>6</v>
      </c>
      <c r="AK25" s="16">
        <v>1</v>
      </c>
      <c r="AL25" s="98">
        <v>3</v>
      </c>
      <c r="AM25" s="16">
        <v>0</v>
      </c>
      <c r="AN25" s="16">
        <v>0</v>
      </c>
      <c r="AO25" s="16">
        <v>9</v>
      </c>
      <c r="AP25" s="16">
        <v>0</v>
      </c>
      <c r="AQ25" s="16">
        <v>0</v>
      </c>
      <c r="AR25" s="16">
        <v>0</v>
      </c>
      <c r="AS25" s="16">
        <v>13</v>
      </c>
      <c r="AT25" s="16">
        <v>4</v>
      </c>
      <c r="AU25" s="16">
        <v>0</v>
      </c>
      <c r="AV25" s="16">
        <v>38</v>
      </c>
      <c r="AW25" s="16">
        <v>1</v>
      </c>
      <c r="AX25" s="16">
        <v>0</v>
      </c>
      <c r="AY25" s="16">
        <v>5</v>
      </c>
      <c r="AZ25" s="16">
        <v>3</v>
      </c>
      <c r="BA25" s="16">
        <v>0</v>
      </c>
      <c r="BB25" s="16">
        <v>24</v>
      </c>
      <c r="BC25" s="16">
        <v>2</v>
      </c>
      <c r="BD25" s="16">
        <v>0</v>
      </c>
      <c r="BE25" s="16">
        <v>2</v>
      </c>
      <c r="BF25" s="16">
        <v>6</v>
      </c>
      <c r="BG25" s="16">
        <v>12</v>
      </c>
      <c r="BH25" s="16">
        <v>25</v>
      </c>
      <c r="BI25" s="16">
        <v>0</v>
      </c>
      <c r="BJ25" s="16">
        <v>7</v>
      </c>
      <c r="BK25" s="16">
        <v>11</v>
      </c>
      <c r="BL25" s="16">
        <v>2</v>
      </c>
      <c r="BM25" s="16">
        <v>0</v>
      </c>
      <c r="BN25" s="16">
        <v>0</v>
      </c>
      <c r="BO25" s="16">
        <v>0</v>
      </c>
      <c r="BP25" s="16">
        <v>0</v>
      </c>
    </row>
    <row r="26" spans="1:68" s="5" customFormat="1" ht="21.9" customHeight="1" x14ac:dyDescent="0.25">
      <c r="A26" s="125" t="s">
        <v>345</v>
      </c>
      <c r="B26" s="4"/>
      <c r="C26" s="47" t="s">
        <v>75</v>
      </c>
      <c r="D26" s="48"/>
      <c r="E26" s="16">
        <f t="shared" si="0"/>
        <v>15903</v>
      </c>
      <c r="F26" s="16">
        <v>34</v>
      </c>
      <c r="G26" s="16">
        <v>67</v>
      </c>
      <c r="H26" s="16">
        <v>8</v>
      </c>
      <c r="I26" s="16">
        <v>1</v>
      </c>
      <c r="J26" s="16">
        <v>3</v>
      </c>
      <c r="K26" s="16">
        <v>28</v>
      </c>
      <c r="L26" s="16">
        <v>807</v>
      </c>
      <c r="M26" s="16">
        <v>399</v>
      </c>
      <c r="N26" s="16">
        <v>20</v>
      </c>
      <c r="O26" s="16">
        <v>79</v>
      </c>
      <c r="P26" s="16">
        <v>117</v>
      </c>
      <c r="Q26" s="16">
        <v>0</v>
      </c>
      <c r="R26" s="16">
        <v>237</v>
      </c>
      <c r="S26" s="16">
        <v>448</v>
      </c>
      <c r="T26" s="16">
        <v>155</v>
      </c>
      <c r="U26" s="16">
        <v>152</v>
      </c>
      <c r="V26" s="16">
        <v>635</v>
      </c>
      <c r="W26" s="16">
        <v>43</v>
      </c>
      <c r="X26" s="16">
        <v>147</v>
      </c>
      <c r="Y26" s="16">
        <v>59</v>
      </c>
      <c r="Z26" s="16">
        <v>425</v>
      </c>
      <c r="AA26" s="16">
        <v>73</v>
      </c>
      <c r="AB26" s="16">
        <v>44</v>
      </c>
      <c r="AC26" s="16">
        <v>48</v>
      </c>
      <c r="AD26" s="16">
        <v>229</v>
      </c>
      <c r="AE26" s="16">
        <v>2696</v>
      </c>
      <c r="AF26" s="16">
        <v>1101</v>
      </c>
      <c r="AG26" s="16">
        <v>279</v>
      </c>
      <c r="AH26" s="16">
        <v>1177</v>
      </c>
      <c r="AI26" s="16">
        <v>120</v>
      </c>
      <c r="AJ26" s="16">
        <v>186</v>
      </c>
      <c r="AK26" s="16">
        <v>5</v>
      </c>
      <c r="AL26" s="98">
        <v>67</v>
      </c>
      <c r="AM26" s="16">
        <v>43</v>
      </c>
      <c r="AN26" s="16">
        <v>2</v>
      </c>
      <c r="AO26" s="16">
        <v>1288</v>
      </c>
      <c r="AP26" s="16">
        <v>26</v>
      </c>
      <c r="AQ26" s="16">
        <v>3</v>
      </c>
      <c r="AR26" s="16">
        <v>17</v>
      </c>
      <c r="AS26" s="16">
        <v>118</v>
      </c>
      <c r="AT26" s="16">
        <v>20</v>
      </c>
      <c r="AU26" s="16">
        <v>74</v>
      </c>
      <c r="AV26" s="16">
        <v>1221</v>
      </c>
      <c r="AW26" s="16">
        <v>67</v>
      </c>
      <c r="AX26" s="16">
        <v>3</v>
      </c>
      <c r="AY26" s="16">
        <v>144</v>
      </c>
      <c r="AZ26" s="16">
        <v>397</v>
      </c>
      <c r="BA26" s="16">
        <v>0</v>
      </c>
      <c r="BB26" s="16">
        <v>30</v>
      </c>
      <c r="BC26" s="16">
        <v>24</v>
      </c>
      <c r="BD26" s="16">
        <v>54</v>
      </c>
      <c r="BE26" s="16">
        <v>151</v>
      </c>
      <c r="BF26" s="16">
        <v>231</v>
      </c>
      <c r="BG26" s="16">
        <v>348</v>
      </c>
      <c r="BH26" s="16">
        <v>521</v>
      </c>
      <c r="BI26" s="16">
        <v>381</v>
      </c>
      <c r="BJ26" s="16">
        <v>260</v>
      </c>
      <c r="BK26" s="16">
        <v>69</v>
      </c>
      <c r="BL26" s="16">
        <v>128</v>
      </c>
      <c r="BM26" s="16">
        <v>292</v>
      </c>
      <c r="BN26" s="16">
        <v>3</v>
      </c>
      <c r="BO26" s="16">
        <v>0</v>
      </c>
      <c r="BP26" s="16">
        <v>99</v>
      </c>
    </row>
    <row r="27" spans="1:68" s="5" customFormat="1" ht="21.9" customHeight="1" x14ac:dyDescent="0.25">
      <c r="A27" s="125"/>
      <c r="B27" s="4"/>
      <c r="C27" s="47" t="s">
        <v>76</v>
      </c>
      <c r="D27" s="48"/>
      <c r="E27" s="16">
        <f t="shared" si="0"/>
        <v>49</v>
      </c>
      <c r="F27" s="26">
        <v>0</v>
      </c>
      <c r="G27" s="26">
        <v>0</v>
      </c>
      <c r="H27" s="26">
        <v>0</v>
      </c>
      <c r="I27" s="26">
        <v>0</v>
      </c>
      <c r="J27" s="26">
        <v>0</v>
      </c>
      <c r="K27" s="26">
        <v>0</v>
      </c>
      <c r="L27" s="26">
        <v>1</v>
      </c>
      <c r="M27" s="26">
        <v>0</v>
      </c>
      <c r="N27" s="26">
        <v>0</v>
      </c>
      <c r="O27" s="26">
        <v>1</v>
      </c>
      <c r="P27" s="26">
        <v>5</v>
      </c>
      <c r="Q27" s="26">
        <v>0</v>
      </c>
      <c r="R27" s="26">
        <v>2</v>
      </c>
      <c r="S27" s="26">
        <v>0</v>
      </c>
      <c r="T27" s="26">
        <v>0</v>
      </c>
      <c r="U27" s="16">
        <v>0</v>
      </c>
      <c r="V27" s="16">
        <v>1</v>
      </c>
      <c r="W27" s="16">
        <v>0</v>
      </c>
      <c r="X27" s="16">
        <v>1</v>
      </c>
      <c r="Y27" s="16">
        <v>0</v>
      </c>
      <c r="Z27" s="16">
        <v>0</v>
      </c>
      <c r="AA27" s="16">
        <v>1</v>
      </c>
      <c r="AB27" s="16">
        <v>1</v>
      </c>
      <c r="AC27" s="16">
        <v>0</v>
      </c>
      <c r="AD27" s="16">
        <v>0</v>
      </c>
      <c r="AE27" s="16">
        <v>1</v>
      </c>
      <c r="AF27" s="16">
        <v>1</v>
      </c>
      <c r="AG27" s="16">
        <v>0</v>
      </c>
      <c r="AH27" s="16">
        <v>20</v>
      </c>
      <c r="AI27" s="16">
        <v>0</v>
      </c>
      <c r="AJ27" s="16">
        <v>1</v>
      </c>
      <c r="AK27" s="16">
        <v>0</v>
      </c>
      <c r="AL27" s="98">
        <v>0</v>
      </c>
      <c r="AM27" s="16">
        <v>0</v>
      </c>
      <c r="AN27" s="16">
        <v>0</v>
      </c>
      <c r="AO27" s="16">
        <v>2</v>
      </c>
      <c r="AP27" s="26">
        <v>0</v>
      </c>
      <c r="AQ27" s="26">
        <v>0</v>
      </c>
      <c r="AR27" s="26">
        <v>0</v>
      </c>
      <c r="AS27" s="26">
        <v>1</v>
      </c>
      <c r="AT27" s="26">
        <v>0</v>
      </c>
      <c r="AU27" s="26">
        <v>0</v>
      </c>
      <c r="AV27" s="26">
        <v>0</v>
      </c>
      <c r="AW27" s="26">
        <v>0</v>
      </c>
      <c r="AX27" s="26">
        <v>0</v>
      </c>
      <c r="AY27" s="26">
        <v>0</v>
      </c>
      <c r="AZ27" s="16">
        <v>0</v>
      </c>
      <c r="BA27" s="16">
        <v>0</v>
      </c>
      <c r="BB27" s="16">
        <v>0</v>
      </c>
      <c r="BC27" s="16">
        <v>0</v>
      </c>
      <c r="BD27" s="16">
        <v>2</v>
      </c>
      <c r="BE27" s="16">
        <v>0</v>
      </c>
      <c r="BF27" s="16">
        <v>1</v>
      </c>
      <c r="BG27" s="16">
        <v>0</v>
      </c>
      <c r="BH27" s="16">
        <v>3</v>
      </c>
      <c r="BI27" s="16">
        <v>0</v>
      </c>
      <c r="BJ27" s="16">
        <v>4</v>
      </c>
      <c r="BK27" s="16">
        <v>0</v>
      </c>
      <c r="BL27" s="16">
        <v>0</v>
      </c>
      <c r="BM27" s="16">
        <v>0</v>
      </c>
      <c r="BN27" s="16">
        <v>0</v>
      </c>
      <c r="BO27" s="16">
        <v>0</v>
      </c>
      <c r="BP27" s="16">
        <v>0</v>
      </c>
    </row>
    <row r="28" spans="1:68" s="5" customFormat="1" ht="21.9" customHeight="1" x14ac:dyDescent="0.25">
      <c r="A28" s="125" t="s">
        <v>82</v>
      </c>
      <c r="B28" s="4"/>
      <c r="C28" s="47" t="s">
        <v>75</v>
      </c>
      <c r="D28" s="48"/>
      <c r="E28" s="16">
        <f t="shared" si="0"/>
        <v>8395</v>
      </c>
      <c r="F28" s="16">
        <v>41</v>
      </c>
      <c r="G28" s="16">
        <v>20</v>
      </c>
      <c r="H28" s="16">
        <v>24</v>
      </c>
      <c r="I28" s="16">
        <v>1</v>
      </c>
      <c r="J28" s="16">
        <v>9</v>
      </c>
      <c r="K28" s="16">
        <v>29</v>
      </c>
      <c r="L28" s="16">
        <v>330</v>
      </c>
      <c r="M28" s="16">
        <v>79</v>
      </c>
      <c r="N28" s="16">
        <v>3</v>
      </c>
      <c r="O28" s="16">
        <v>23</v>
      </c>
      <c r="P28" s="16">
        <v>36</v>
      </c>
      <c r="Q28" s="16">
        <v>0</v>
      </c>
      <c r="R28" s="16">
        <v>149</v>
      </c>
      <c r="S28" s="16">
        <v>119</v>
      </c>
      <c r="T28" s="16">
        <v>13</v>
      </c>
      <c r="U28" s="16">
        <v>165</v>
      </c>
      <c r="V28" s="16">
        <v>518</v>
      </c>
      <c r="W28" s="16">
        <v>70</v>
      </c>
      <c r="X28" s="16">
        <v>48</v>
      </c>
      <c r="Y28" s="16">
        <v>97</v>
      </c>
      <c r="Z28" s="16">
        <v>71</v>
      </c>
      <c r="AA28" s="16">
        <v>32</v>
      </c>
      <c r="AB28" s="16">
        <v>19</v>
      </c>
      <c r="AC28" s="16">
        <v>24</v>
      </c>
      <c r="AD28" s="16">
        <v>34</v>
      </c>
      <c r="AE28" s="16">
        <v>1100</v>
      </c>
      <c r="AF28" s="16">
        <v>765</v>
      </c>
      <c r="AG28" s="16">
        <v>348</v>
      </c>
      <c r="AH28" s="16">
        <v>746</v>
      </c>
      <c r="AI28" s="16">
        <v>51</v>
      </c>
      <c r="AJ28" s="16">
        <v>96</v>
      </c>
      <c r="AK28" s="16">
        <v>5</v>
      </c>
      <c r="AL28" s="98">
        <v>120</v>
      </c>
      <c r="AM28" s="16">
        <v>59</v>
      </c>
      <c r="AN28" s="16">
        <v>19</v>
      </c>
      <c r="AO28" s="16">
        <v>115</v>
      </c>
      <c r="AP28" s="16">
        <v>3</v>
      </c>
      <c r="AQ28" s="16">
        <v>0</v>
      </c>
      <c r="AR28" s="16">
        <v>15</v>
      </c>
      <c r="AS28" s="16">
        <v>91</v>
      </c>
      <c r="AT28" s="16">
        <v>25</v>
      </c>
      <c r="AU28" s="16">
        <v>21</v>
      </c>
      <c r="AV28" s="16">
        <v>511</v>
      </c>
      <c r="AW28" s="16">
        <v>76</v>
      </c>
      <c r="AX28" s="16">
        <v>7</v>
      </c>
      <c r="AY28" s="16">
        <v>102</v>
      </c>
      <c r="AZ28" s="16">
        <v>30</v>
      </c>
      <c r="BA28" s="16">
        <v>1</v>
      </c>
      <c r="BB28" s="16">
        <v>29</v>
      </c>
      <c r="BC28" s="16">
        <v>6</v>
      </c>
      <c r="BD28" s="16">
        <v>20</v>
      </c>
      <c r="BE28" s="16">
        <v>45</v>
      </c>
      <c r="BF28" s="16">
        <v>124</v>
      </c>
      <c r="BG28" s="16">
        <v>195</v>
      </c>
      <c r="BH28" s="16">
        <v>442</v>
      </c>
      <c r="BI28" s="16">
        <v>22</v>
      </c>
      <c r="BJ28" s="16">
        <v>357</v>
      </c>
      <c r="BK28" s="16">
        <v>625</v>
      </c>
      <c r="BL28" s="16">
        <v>120</v>
      </c>
      <c r="BM28" s="16">
        <v>135</v>
      </c>
      <c r="BN28" s="16">
        <v>0</v>
      </c>
      <c r="BO28" s="16">
        <v>0</v>
      </c>
      <c r="BP28" s="16">
        <v>15</v>
      </c>
    </row>
    <row r="29" spans="1:68" s="5" customFormat="1" ht="21.9" customHeight="1" x14ac:dyDescent="0.25">
      <c r="A29" s="125"/>
      <c r="B29" s="4"/>
      <c r="C29" s="47" t="s">
        <v>76</v>
      </c>
      <c r="D29" s="48"/>
      <c r="E29" s="16">
        <f t="shared" si="0"/>
        <v>44</v>
      </c>
      <c r="F29" s="26">
        <v>0</v>
      </c>
      <c r="G29" s="26">
        <v>0</v>
      </c>
      <c r="H29" s="26">
        <v>0</v>
      </c>
      <c r="I29" s="26">
        <v>0</v>
      </c>
      <c r="J29" s="26">
        <v>0</v>
      </c>
      <c r="K29" s="26">
        <v>0</v>
      </c>
      <c r="L29" s="26">
        <v>0</v>
      </c>
      <c r="M29" s="26">
        <v>0</v>
      </c>
      <c r="N29" s="26">
        <v>0</v>
      </c>
      <c r="O29" s="26">
        <v>0</v>
      </c>
      <c r="P29" s="26">
        <v>1</v>
      </c>
      <c r="Q29" s="26">
        <v>0</v>
      </c>
      <c r="R29" s="26">
        <v>0</v>
      </c>
      <c r="S29" s="26">
        <v>0</v>
      </c>
      <c r="T29" s="26">
        <v>0</v>
      </c>
      <c r="U29" s="16">
        <v>1</v>
      </c>
      <c r="V29" s="16">
        <v>0</v>
      </c>
      <c r="W29" s="16">
        <v>0</v>
      </c>
      <c r="X29" s="16">
        <v>1</v>
      </c>
      <c r="Y29" s="16">
        <v>0</v>
      </c>
      <c r="Z29" s="16">
        <v>0</v>
      </c>
      <c r="AA29" s="16">
        <v>0</v>
      </c>
      <c r="AB29" s="16">
        <v>0</v>
      </c>
      <c r="AC29" s="16">
        <v>0</v>
      </c>
      <c r="AD29" s="16">
        <v>0</v>
      </c>
      <c r="AE29" s="16">
        <v>5</v>
      </c>
      <c r="AF29" s="16">
        <v>0</v>
      </c>
      <c r="AG29" s="16">
        <v>2</v>
      </c>
      <c r="AH29" s="16">
        <v>15</v>
      </c>
      <c r="AI29" s="16">
        <v>0</v>
      </c>
      <c r="AJ29" s="16">
        <v>0</v>
      </c>
      <c r="AK29" s="16">
        <v>0</v>
      </c>
      <c r="AL29" s="98">
        <v>1</v>
      </c>
      <c r="AM29" s="16">
        <v>0</v>
      </c>
      <c r="AN29" s="16">
        <v>0</v>
      </c>
      <c r="AO29" s="16">
        <v>0</v>
      </c>
      <c r="AP29" s="26">
        <v>0</v>
      </c>
      <c r="AQ29" s="26">
        <v>0</v>
      </c>
      <c r="AR29" s="26">
        <v>0</v>
      </c>
      <c r="AS29" s="26">
        <v>5</v>
      </c>
      <c r="AT29" s="26">
        <v>1</v>
      </c>
      <c r="AU29" s="26">
        <v>0</v>
      </c>
      <c r="AV29" s="26">
        <v>3</v>
      </c>
      <c r="AW29" s="26">
        <v>2</v>
      </c>
      <c r="AX29" s="26">
        <v>0</v>
      </c>
      <c r="AY29" s="26">
        <v>0</v>
      </c>
      <c r="AZ29" s="26">
        <v>1</v>
      </c>
      <c r="BA29" s="26">
        <v>0</v>
      </c>
      <c r="BB29" s="26">
        <v>0</v>
      </c>
      <c r="BC29" s="26">
        <v>1</v>
      </c>
      <c r="BD29" s="16">
        <v>0</v>
      </c>
      <c r="BE29" s="16">
        <v>0</v>
      </c>
      <c r="BF29" s="16">
        <v>0</v>
      </c>
      <c r="BG29" s="16">
        <v>0</v>
      </c>
      <c r="BH29" s="16">
        <v>2</v>
      </c>
      <c r="BI29" s="16">
        <v>1</v>
      </c>
      <c r="BJ29" s="16">
        <v>0</v>
      </c>
      <c r="BK29" s="16">
        <v>0</v>
      </c>
      <c r="BL29" s="16">
        <v>1</v>
      </c>
      <c r="BM29" s="16">
        <v>0</v>
      </c>
      <c r="BN29" s="16">
        <v>0</v>
      </c>
      <c r="BO29" s="16">
        <v>0</v>
      </c>
      <c r="BP29" s="16">
        <v>1</v>
      </c>
    </row>
    <row r="30" spans="1:68" s="5" customFormat="1" ht="21.9" customHeight="1" x14ac:dyDescent="0.25">
      <c r="A30" s="125" t="s">
        <v>83</v>
      </c>
      <c r="B30" s="4"/>
      <c r="C30" s="47" t="s">
        <v>75</v>
      </c>
      <c r="D30" s="48"/>
      <c r="E30" s="16">
        <f t="shared" si="0"/>
        <v>11504</v>
      </c>
      <c r="F30" s="16">
        <v>138</v>
      </c>
      <c r="G30" s="16">
        <v>242</v>
      </c>
      <c r="H30" s="16">
        <v>40</v>
      </c>
      <c r="I30" s="16">
        <v>0</v>
      </c>
      <c r="J30" s="16">
        <v>16</v>
      </c>
      <c r="K30" s="16">
        <v>122</v>
      </c>
      <c r="L30" s="16">
        <v>475</v>
      </c>
      <c r="M30" s="16">
        <v>64</v>
      </c>
      <c r="N30" s="16">
        <v>0</v>
      </c>
      <c r="O30" s="16">
        <v>54</v>
      </c>
      <c r="P30" s="16">
        <v>34</v>
      </c>
      <c r="Q30" s="16">
        <v>0</v>
      </c>
      <c r="R30" s="16">
        <v>230</v>
      </c>
      <c r="S30" s="16">
        <v>142</v>
      </c>
      <c r="T30" s="16">
        <v>50</v>
      </c>
      <c r="U30" s="16">
        <v>186</v>
      </c>
      <c r="V30" s="16">
        <v>507</v>
      </c>
      <c r="W30" s="16">
        <v>45</v>
      </c>
      <c r="X30" s="16">
        <v>118</v>
      </c>
      <c r="Y30" s="16">
        <v>192</v>
      </c>
      <c r="Z30" s="16">
        <v>385</v>
      </c>
      <c r="AA30" s="16">
        <v>87</v>
      </c>
      <c r="AB30" s="16">
        <v>11</v>
      </c>
      <c r="AC30" s="16">
        <v>115</v>
      </c>
      <c r="AD30" s="16">
        <v>285</v>
      </c>
      <c r="AE30" s="16">
        <v>2754</v>
      </c>
      <c r="AF30" s="16">
        <v>942</v>
      </c>
      <c r="AG30" s="16">
        <v>257</v>
      </c>
      <c r="AH30" s="16">
        <v>751</v>
      </c>
      <c r="AI30" s="16">
        <v>81</v>
      </c>
      <c r="AJ30" s="16">
        <v>180</v>
      </c>
      <c r="AK30" s="16">
        <v>0</v>
      </c>
      <c r="AL30" s="98">
        <v>84</v>
      </c>
      <c r="AM30" s="16">
        <v>20</v>
      </c>
      <c r="AN30" s="16">
        <v>1</v>
      </c>
      <c r="AO30" s="16">
        <v>153</v>
      </c>
      <c r="AP30" s="16">
        <v>0</v>
      </c>
      <c r="AQ30" s="16">
        <v>12</v>
      </c>
      <c r="AR30" s="16">
        <v>0</v>
      </c>
      <c r="AS30" s="16">
        <v>100</v>
      </c>
      <c r="AT30" s="16">
        <v>57</v>
      </c>
      <c r="AU30" s="16">
        <v>63</v>
      </c>
      <c r="AV30" s="16">
        <v>773</v>
      </c>
      <c r="AW30" s="16">
        <v>35</v>
      </c>
      <c r="AX30" s="16">
        <v>28</v>
      </c>
      <c r="AY30" s="16">
        <v>151</v>
      </c>
      <c r="AZ30" s="16">
        <v>75</v>
      </c>
      <c r="BA30" s="16">
        <v>42</v>
      </c>
      <c r="BB30" s="16">
        <v>14</v>
      </c>
      <c r="BC30" s="16">
        <v>5</v>
      </c>
      <c r="BD30" s="16">
        <v>0</v>
      </c>
      <c r="BE30" s="16">
        <v>186</v>
      </c>
      <c r="BF30" s="16">
        <v>224</v>
      </c>
      <c r="BG30" s="16">
        <v>202</v>
      </c>
      <c r="BH30" s="16">
        <v>6</v>
      </c>
      <c r="BI30" s="16">
        <v>43</v>
      </c>
      <c r="BJ30" s="16">
        <v>379</v>
      </c>
      <c r="BK30" s="16">
        <v>61</v>
      </c>
      <c r="BL30" s="16">
        <v>154</v>
      </c>
      <c r="BM30" s="16">
        <v>11</v>
      </c>
      <c r="BN30" s="16">
        <v>0</v>
      </c>
      <c r="BO30" s="16">
        <v>0</v>
      </c>
      <c r="BP30" s="16">
        <v>122</v>
      </c>
    </row>
    <row r="31" spans="1:68" s="5" customFormat="1" ht="21.9" customHeight="1" x14ac:dyDescent="0.25">
      <c r="A31" s="125"/>
      <c r="B31" s="4"/>
      <c r="C31" s="47" t="s">
        <v>186</v>
      </c>
      <c r="D31" s="48"/>
      <c r="E31" s="16">
        <f t="shared" si="0"/>
        <v>44</v>
      </c>
      <c r="F31" s="26">
        <v>0</v>
      </c>
      <c r="G31" s="26">
        <v>0</v>
      </c>
      <c r="H31" s="26">
        <v>0</v>
      </c>
      <c r="I31" s="26">
        <v>0</v>
      </c>
      <c r="J31" s="26">
        <v>0</v>
      </c>
      <c r="K31" s="26">
        <v>0</v>
      </c>
      <c r="L31" s="26">
        <v>0</v>
      </c>
      <c r="M31" s="26">
        <v>1</v>
      </c>
      <c r="N31" s="26">
        <v>0</v>
      </c>
      <c r="O31" s="26">
        <v>0</v>
      </c>
      <c r="P31" s="26">
        <v>0</v>
      </c>
      <c r="Q31" s="26">
        <v>0</v>
      </c>
      <c r="R31" s="26">
        <v>0</v>
      </c>
      <c r="S31" s="26">
        <v>0</v>
      </c>
      <c r="T31" s="26">
        <v>0</v>
      </c>
      <c r="U31" s="16">
        <v>0</v>
      </c>
      <c r="V31" s="16">
        <v>0</v>
      </c>
      <c r="W31" s="16">
        <v>0</v>
      </c>
      <c r="X31" s="16">
        <v>0</v>
      </c>
      <c r="Y31" s="16">
        <v>1</v>
      </c>
      <c r="Z31" s="16">
        <v>0</v>
      </c>
      <c r="AA31" s="16">
        <v>1</v>
      </c>
      <c r="AB31" s="16">
        <v>0</v>
      </c>
      <c r="AC31" s="16">
        <v>1</v>
      </c>
      <c r="AD31" s="16">
        <v>0</v>
      </c>
      <c r="AE31" s="16">
        <v>5</v>
      </c>
      <c r="AF31" s="16">
        <v>3</v>
      </c>
      <c r="AG31" s="16">
        <v>0</v>
      </c>
      <c r="AH31" s="16">
        <v>25</v>
      </c>
      <c r="AI31" s="16">
        <v>0</v>
      </c>
      <c r="AJ31" s="16">
        <v>0</v>
      </c>
      <c r="AK31" s="16">
        <v>0</v>
      </c>
      <c r="AL31" s="98">
        <v>1</v>
      </c>
      <c r="AM31" s="16">
        <v>0</v>
      </c>
      <c r="AN31" s="16">
        <v>0</v>
      </c>
      <c r="AO31" s="16">
        <v>0</v>
      </c>
      <c r="AP31" s="26">
        <v>0</v>
      </c>
      <c r="AQ31" s="26">
        <v>0</v>
      </c>
      <c r="AR31" s="26">
        <v>0</v>
      </c>
      <c r="AS31" s="26">
        <v>0</v>
      </c>
      <c r="AT31" s="26">
        <v>0</v>
      </c>
      <c r="AU31" s="26">
        <v>0</v>
      </c>
      <c r="AV31" s="26">
        <v>1</v>
      </c>
      <c r="AW31" s="26">
        <v>0</v>
      </c>
      <c r="AX31" s="26">
        <v>0</v>
      </c>
      <c r="AY31" s="26">
        <v>0</v>
      </c>
      <c r="AZ31" s="16">
        <v>0</v>
      </c>
      <c r="BA31" s="16">
        <v>0</v>
      </c>
      <c r="BB31" s="16">
        <v>0</v>
      </c>
      <c r="BC31" s="16">
        <v>0</v>
      </c>
      <c r="BD31" s="16">
        <v>0</v>
      </c>
      <c r="BE31" s="16">
        <v>0</v>
      </c>
      <c r="BF31" s="16">
        <v>0</v>
      </c>
      <c r="BG31" s="16">
        <v>1</v>
      </c>
      <c r="BH31" s="16">
        <v>0</v>
      </c>
      <c r="BI31" s="16">
        <v>0</v>
      </c>
      <c r="BJ31" s="16">
        <v>2</v>
      </c>
      <c r="BK31" s="16">
        <v>0</v>
      </c>
      <c r="BL31" s="16">
        <v>1</v>
      </c>
      <c r="BM31" s="16">
        <v>1</v>
      </c>
      <c r="BN31" s="16">
        <v>0</v>
      </c>
      <c r="BO31" s="16">
        <v>0</v>
      </c>
      <c r="BP31" s="16">
        <v>0</v>
      </c>
    </row>
    <row r="32" spans="1:68" s="5" customFormat="1" ht="21.9" customHeight="1" x14ac:dyDescent="0.25">
      <c r="A32" s="125" t="s">
        <v>84</v>
      </c>
      <c r="B32" s="4"/>
      <c r="C32" s="47" t="s">
        <v>75</v>
      </c>
      <c r="D32" s="48"/>
      <c r="E32" s="16">
        <f t="shared" si="0"/>
        <v>41406</v>
      </c>
      <c r="F32" s="16">
        <v>218</v>
      </c>
      <c r="G32" s="16">
        <v>107</v>
      </c>
      <c r="H32" s="16">
        <v>4</v>
      </c>
      <c r="I32" s="16">
        <v>4</v>
      </c>
      <c r="J32" s="16">
        <v>44</v>
      </c>
      <c r="K32" s="16">
        <v>798</v>
      </c>
      <c r="L32" s="16">
        <v>3318</v>
      </c>
      <c r="M32" s="16">
        <v>1069</v>
      </c>
      <c r="N32" s="16">
        <v>14</v>
      </c>
      <c r="O32" s="16">
        <v>737</v>
      </c>
      <c r="P32" s="16">
        <v>319</v>
      </c>
      <c r="Q32" s="16">
        <v>0</v>
      </c>
      <c r="R32" s="16">
        <v>940</v>
      </c>
      <c r="S32" s="16">
        <v>587</v>
      </c>
      <c r="T32" s="16">
        <v>143</v>
      </c>
      <c r="U32" s="16">
        <v>861</v>
      </c>
      <c r="V32" s="16">
        <v>2812</v>
      </c>
      <c r="W32" s="16">
        <v>305</v>
      </c>
      <c r="X32" s="16">
        <v>452</v>
      </c>
      <c r="Y32" s="16">
        <v>339</v>
      </c>
      <c r="Z32" s="16">
        <v>788</v>
      </c>
      <c r="AA32" s="16">
        <v>273</v>
      </c>
      <c r="AB32" s="16">
        <v>385</v>
      </c>
      <c r="AC32" s="16">
        <v>107</v>
      </c>
      <c r="AD32" s="16">
        <v>896</v>
      </c>
      <c r="AE32" s="16">
        <v>1419</v>
      </c>
      <c r="AF32" s="16">
        <v>1636</v>
      </c>
      <c r="AG32" s="16">
        <v>379</v>
      </c>
      <c r="AH32" s="16">
        <v>2418</v>
      </c>
      <c r="AI32" s="16">
        <v>345</v>
      </c>
      <c r="AJ32" s="16">
        <v>243</v>
      </c>
      <c r="AK32" s="16">
        <v>27</v>
      </c>
      <c r="AL32" s="98">
        <v>176</v>
      </c>
      <c r="AM32" s="16">
        <v>15</v>
      </c>
      <c r="AN32" s="16">
        <v>34</v>
      </c>
      <c r="AO32" s="16">
        <v>530</v>
      </c>
      <c r="AP32" s="16">
        <v>289</v>
      </c>
      <c r="AQ32" s="16">
        <v>57</v>
      </c>
      <c r="AR32" s="16">
        <v>328</v>
      </c>
      <c r="AS32" s="16">
        <v>356</v>
      </c>
      <c r="AT32" s="16">
        <v>146</v>
      </c>
      <c r="AU32" s="16">
        <v>63</v>
      </c>
      <c r="AV32" s="16">
        <v>2968</v>
      </c>
      <c r="AW32" s="16">
        <v>609</v>
      </c>
      <c r="AX32" s="16">
        <v>104</v>
      </c>
      <c r="AY32" s="16">
        <v>2264</v>
      </c>
      <c r="AZ32" s="16">
        <v>2106</v>
      </c>
      <c r="BA32" s="16">
        <v>638</v>
      </c>
      <c r="BB32" s="16">
        <v>379</v>
      </c>
      <c r="BC32" s="16">
        <v>382</v>
      </c>
      <c r="BD32" s="16">
        <v>312</v>
      </c>
      <c r="BE32" s="16">
        <v>607</v>
      </c>
      <c r="BF32" s="16">
        <v>555</v>
      </c>
      <c r="BG32" s="16">
        <v>1776</v>
      </c>
      <c r="BH32" s="16">
        <v>1086</v>
      </c>
      <c r="BI32" s="16">
        <v>740</v>
      </c>
      <c r="BJ32" s="16">
        <v>1797</v>
      </c>
      <c r="BK32" s="16">
        <v>91</v>
      </c>
      <c r="BL32" s="16">
        <v>498</v>
      </c>
      <c r="BM32" s="16">
        <v>180</v>
      </c>
      <c r="BN32" s="16">
        <v>4</v>
      </c>
      <c r="BO32" s="16">
        <v>34</v>
      </c>
      <c r="BP32" s="16">
        <v>295</v>
      </c>
    </row>
    <row r="33" spans="1:68" s="5" customFormat="1" ht="21.9" customHeight="1" x14ac:dyDescent="0.25">
      <c r="A33" s="125"/>
      <c r="B33" s="4"/>
      <c r="C33" s="47" t="s">
        <v>186</v>
      </c>
      <c r="D33" s="48"/>
      <c r="E33" s="16">
        <f t="shared" si="0"/>
        <v>167</v>
      </c>
      <c r="F33" s="26">
        <v>0</v>
      </c>
      <c r="G33" s="26">
        <v>1</v>
      </c>
      <c r="H33" s="26">
        <v>0</v>
      </c>
      <c r="I33" s="26">
        <v>0</v>
      </c>
      <c r="J33" s="26">
        <v>0</v>
      </c>
      <c r="K33" s="26">
        <v>0</v>
      </c>
      <c r="L33" s="26">
        <v>0</v>
      </c>
      <c r="M33" s="26">
        <v>1</v>
      </c>
      <c r="N33" s="26">
        <v>0</v>
      </c>
      <c r="O33" s="26">
        <v>0</v>
      </c>
      <c r="P33" s="26">
        <v>1</v>
      </c>
      <c r="Q33" s="26">
        <v>0</v>
      </c>
      <c r="R33" s="26">
        <v>4</v>
      </c>
      <c r="S33" s="26">
        <v>0</v>
      </c>
      <c r="T33" s="26">
        <v>0</v>
      </c>
      <c r="U33" s="16">
        <v>2</v>
      </c>
      <c r="V33" s="16">
        <v>11</v>
      </c>
      <c r="W33" s="16">
        <v>0</v>
      </c>
      <c r="X33" s="16">
        <v>1</v>
      </c>
      <c r="Y33" s="16">
        <v>0</v>
      </c>
      <c r="Z33" s="16">
        <v>0</v>
      </c>
      <c r="AA33" s="16">
        <v>1</v>
      </c>
      <c r="AB33" s="16">
        <v>0</v>
      </c>
      <c r="AC33" s="16">
        <v>0</v>
      </c>
      <c r="AD33" s="16">
        <v>0</v>
      </c>
      <c r="AE33" s="16">
        <v>14</v>
      </c>
      <c r="AF33" s="16">
        <v>9</v>
      </c>
      <c r="AG33" s="16">
        <v>2</v>
      </c>
      <c r="AH33" s="16">
        <v>38</v>
      </c>
      <c r="AI33" s="16">
        <v>3</v>
      </c>
      <c r="AJ33" s="16">
        <v>2</v>
      </c>
      <c r="AK33" s="16">
        <v>0</v>
      </c>
      <c r="AL33" s="98">
        <v>1</v>
      </c>
      <c r="AM33" s="16">
        <v>0</v>
      </c>
      <c r="AN33" s="16">
        <v>0</v>
      </c>
      <c r="AO33" s="16">
        <v>7</v>
      </c>
      <c r="AP33" s="26">
        <v>0</v>
      </c>
      <c r="AQ33" s="26">
        <v>0</v>
      </c>
      <c r="AR33" s="26">
        <v>1</v>
      </c>
      <c r="AS33" s="26">
        <v>3</v>
      </c>
      <c r="AT33" s="26">
        <v>0</v>
      </c>
      <c r="AU33" s="26">
        <v>1</v>
      </c>
      <c r="AV33" s="26">
        <v>17</v>
      </c>
      <c r="AW33" s="26">
        <v>11</v>
      </c>
      <c r="AX33" s="26">
        <v>0</v>
      </c>
      <c r="AY33" s="26">
        <v>0</v>
      </c>
      <c r="AZ33" s="16">
        <v>1</v>
      </c>
      <c r="BA33" s="16">
        <v>0</v>
      </c>
      <c r="BB33" s="16">
        <v>0</v>
      </c>
      <c r="BC33" s="16">
        <v>0</v>
      </c>
      <c r="BD33" s="16">
        <v>0</v>
      </c>
      <c r="BE33" s="16">
        <v>1</v>
      </c>
      <c r="BF33" s="16">
        <v>1</v>
      </c>
      <c r="BG33" s="16">
        <v>4</v>
      </c>
      <c r="BH33" s="16">
        <v>9</v>
      </c>
      <c r="BI33" s="16">
        <v>0</v>
      </c>
      <c r="BJ33" s="16">
        <v>6</v>
      </c>
      <c r="BK33" s="16">
        <v>6</v>
      </c>
      <c r="BL33" s="16">
        <v>3</v>
      </c>
      <c r="BM33" s="16">
        <v>1</v>
      </c>
      <c r="BN33" s="16">
        <v>0</v>
      </c>
      <c r="BO33" s="16">
        <v>0</v>
      </c>
      <c r="BP33" s="16">
        <v>4</v>
      </c>
    </row>
    <row r="34" spans="1:68" s="5" customFormat="1" ht="21.9" customHeight="1" x14ac:dyDescent="0.25">
      <c r="A34" s="125" t="s">
        <v>85</v>
      </c>
      <c r="C34" s="47" t="s">
        <v>75</v>
      </c>
      <c r="D34" s="48"/>
      <c r="E34" s="16">
        <f t="shared" si="0"/>
        <v>14741</v>
      </c>
      <c r="F34" s="16">
        <v>42</v>
      </c>
      <c r="G34" s="16">
        <v>65</v>
      </c>
      <c r="H34" s="16">
        <v>19</v>
      </c>
      <c r="I34" s="16">
        <v>2</v>
      </c>
      <c r="J34" s="16">
        <v>8</v>
      </c>
      <c r="K34" s="16">
        <v>34</v>
      </c>
      <c r="L34" s="16">
        <v>420</v>
      </c>
      <c r="M34" s="16">
        <v>260</v>
      </c>
      <c r="N34" s="16">
        <v>4</v>
      </c>
      <c r="O34" s="16">
        <v>62</v>
      </c>
      <c r="P34" s="16">
        <v>34</v>
      </c>
      <c r="Q34" s="16">
        <v>0</v>
      </c>
      <c r="R34" s="16">
        <v>146</v>
      </c>
      <c r="S34" s="16">
        <v>173</v>
      </c>
      <c r="T34" s="16">
        <v>24</v>
      </c>
      <c r="U34" s="16">
        <v>134</v>
      </c>
      <c r="V34" s="16">
        <v>694</v>
      </c>
      <c r="W34" s="16">
        <v>30</v>
      </c>
      <c r="X34" s="16">
        <v>122</v>
      </c>
      <c r="Y34" s="16">
        <v>74</v>
      </c>
      <c r="Z34" s="16">
        <v>435</v>
      </c>
      <c r="AA34" s="16">
        <v>203</v>
      </c>
      <c r="AB34" s="16">
        <v>171</v>
      </c>
      <c r="AC34" s="16">
        <v>34</v>
      </c>
      <c r="AD34" s="16">
        <v>174</v>
      </c>
      <c r="AE34" s="16">
        <v>2483</v>
      </c>
      <c r="AF34" s="16">
        <v>1015</v>
      </c>
      <c r="AG34" s="16">
        <v>348</v>
      </c>
      <c r="AH34" s="16">
        <v>964</v>
      </c>
      <c r="AI34" s="16">
        <v>131</v>
      </c>
      <c r="AJ34" s="16">
        <v>377</v>
      </c>
      <c r="AK34" s="16">
        <v>54</v>
      </c>
      <c r="AL34" s="98">
        <v>277</v>
      </c>
      <c r="AM34" s="16">
        <v>25</v>
      </c>
      <c r="AN34" s="16">
        <v>15</v>
      </c>
      <c r="AO34" s="16">
        <v>1051</v>
      </c>
      <c r="AP34" s="16">
        <v>1</v>
      </c>
      <c r="AQ34" s="16">
        <v>0</v>
      </c>
      <c r="AR34" s="16">
        <v>21</v>
      </c>
      <c r="AS34" s="16">
        <v>53</v>
      </c>
      <c r="AT34" s="16">
        <v>51</v>
      </c>
      <c r="AU34" s="16">
        <v>37</v>
      </c>
      <c r="AV34" s="16">
        <v>678</v>
      </c>
      <c r="AW34" s="16">
        <v>228</v>
      </c>
      <c r="AX34" s="16">
        <v>13</v>
      </c>
      <c r="AY34" s="16">
        <v>477</v>
      </c>
      <c r="AZ34" s="16">
        <v>64</v>
      </c>
      <c r="BA34" s="16">
        <v>4</v>
      </c>
      <c r="BB34" s="16">
        <v>19</v>
      </c>
      <c r="BC34" s="16">
        <v>7</v>
      </c>
      <c r="BD34" s="16">
        <v>6</v>
      </c>
      <c r="BE34" s="16">
        <v>430</v>
      </c>
      <c r="BF34" s="16">
        <v>380</v>
      </c>
      <c r="BG34" s="16">
        <v>821</v>
      </c>
      <c r="BH34" s="16">
        <v>440</v>
      </c>
      <c r="BI34" s="16">
        <v>17</v>
      </c>
      <c r="BJ34" s="16">
        <v>455</v>
      </c>
      <c r="BK34" s="16">
        <v>63</v>
      </c>
      <c r="BL34" s="16">
        <v>128</v>
      </c>
      <c r="BM34" s="16">
        <v>71</v>
      </c>
      <c r="BN34" s="16">
        <v>0</v>
      </c>
      <c r="BO34" s="16">
        <v>0</v>
      </c>
      <c r="BP34" s="16">
        <v>173</v>
      </c>
    </row>
    <row r="35" spans="1:68" s="5" customFormat="1" ht="21.9" customHeight="1" x14ac:dyDescent="0.25">
      <c r="A35" s="125"/>
      <c r="C35" s="47" t="s">
        <v>186</v>
      </c>
      <c r="D35" s="48"/>
      <c r="E35" s="16">
        <f t="shared" si="0"/>
        <v>206</v>
      </c>
      <c r="F35" s="26">
        <v>0</v>
      </c>
      <c r="G35" s="26">
        <v>0</v>
      </c>
      <c r="H35" s="26">
        <v>0</v>
      </c>
      <c r="I35" s="26">
        <v>0</v>
      </c>
      <c r="J35" s="26">
        <v>0</v>
      </c>
      <c r="K35" s="26">
        <v>0</v>
      </c>
      <c r="L35" s="26">
        <v>0</v>
      </c>
      <c r="M35" s="26">
        <v>1</v>
      </c>
      <c r="N35" s="26">
        <v>0</v>
      </c>
      <c r="O35" s="26">
        <v>0</v>
      </c>
      <c r="P35" s="26">
        <v>0</v>
      </c>
      <c r="Q35" s="26">
        <v>0</v>
      </c>
      <c r="R35" s="26">
        <v>1</v>
      </c>
      <c r="S35" s="26">
        <v>4</v>
      </c>
      <c r="T35" s="26">
        <v>1</v>
      </c>
      <c r="U35" s="16">
        <v>3</v>
      </c>
      <c r="V35" s="16">
        <v>6</v>
      </c>
      <c r="W35" s="16">
        <v>0</v>
      </c>
      <c r="X35" s="16">
        <v>0</v>
      </c>
      <c r="Y35" s="16">
        <v>1</v>
      </c>
      <c r="Z35" s="16">
        <v>6</v>
      </c>
      <c r="AA35" s="16">
        <v>0</v>
      </c>
      <c r="AB35" s="16">
        <v>2</v>
      </c>
      <c r="AC35" s="16">
        <v>0</v>
      </c>
      <c r="AD35" s="16">
        <v>4</v>
      </c>
      <c r="AE35" s="16">
        <v>20</v>
      </c>
      <c r="AF35" s="16">
        <v>9</v>
      </c>
      <c r="AG35" s="16">
        <v>5</v>
      </c>
      <c r="AH35" s="16">
        <v>38</v>
      </c>
      <c r="AI35" s="16">
        <v>2</v>
      </c>
      <c r="AJ35" s="16">
        <v>11</v>
      </c>
      <c r="AK35" s="16">
        <v>0</v>
      </c>
      <c r="AL35" s="98">
        <v>4</v>
      </c>
      <c r="AM35" s="16">
        <v>1</v>
      </c>
      <c r="AN35" s="16">
        <v>0</v>
      </c>
      <c r="AO35" s="16">
        <v>9</v>
      </c>
      <c r="AP35" s="26">
        <v>0</v>
      </c>
      <c r="AQ35" s="26">
        <v>0</v>
      </c>
      <c r="AR35" s="26">
        <v>0</v>
      </c>
      <c r="AS35" s="26">
        <v>2</v>
      </c>
      <c r="AT35" s="26">
        <v>0</v>
      </c>
      <c r="AU35" s="26">
        <v>0</v>
      </c>
      <c r="AV35" s="26">
        <v>12</v>
      </c>
      <c r="AW35" s="26">
        <v>13</v>
      </c>
      <c r="AX35" s="26">
        <v>0</v>
      </c>
      <c r="AY35" s="26">
        <v>3</v>
      </c>
      <c r="AZ35" s="16">
        <v>0</v>
      </c>
      <c r="BA35" s="16">
        <v>0</v>
      </c>
      <c r="BB35" s="16">
        <v>0</v>
      </c>
      <c r="BC35" s="16">
        <v>0</v>
      </c>
      <c r="BD35" s="16">
        <v>0</v>
      </c>
      <c r="BE35" s="16">
        <v>0</v>
      </c>
      <c r="BF35" s="16">
        <v>0</v>
      </c>
      <c r="BG35" s="16">
        <v>9</v>
      </c>
      <c r="BH35" s="16">
        <v>23</v>
      </c>
      <c r="BI35" s="16">
        <v>0</v>
      </c>
      <c r="BJ35" s="16">
        <v>8</v>
      </c>
      <c r="BK35" s="16">
        <v>0</v>
      </c>
      <c r="BL35" s="16">
        <v>0</v>
      </c>
      <c r="BM35" s="16">
        <v>1</v>
      </c>
      <c r="BN35" s="16">
        <v>0</v>
      </c>
      <c r="BO35" s="16">
        <v>0</v>
      </c>
      <c r="BP35" s="16">
        <v>7</v>
      </c>
    </row>
    <row r="36" spans="1:68" s="5" customFormat="1" ht="21.9" customHeight="1" x14ac:dyDescent="0.25">
      <c r="A36" s="125" t="s">
        <v>86</v>
      </c>
      <c r="B36" s="4"/>
      <c r="C36" s="47" t="s">
        <v>75</v>
      </c>
      <c r="D36" s="48"/>
      <c r="E36" s="16">
        <f t="shared" si="0"/>
        <v>13980</v>
      </c>
      <c r="F36" s="16">
        <v>192</v>
      </c>
      <c r="G36" s="16">
        <v>94</v>
      </c>
      <c r="H36" s="16">
        <v>13</v>
      </c>
      <c r="I36" s="16">
        <v>14</v>
      </c>
      <c r="J36" s="16">
        <v>40</v>
      </c>
      <c r="K36" s="16">
        <v>262</v>
      </c>
      <c r="L36" s="16">
        <v>648</v>
      </c>
      <c r="M36" s="16">
        <v>444</v>
      </c>
      <c r="N36" s="16">
        <v>23</v>
      </c>
      <c r="O36" s="16">
        <v>47</v>
      </c>
      <c r="P36" s="16">
        <v>41</v>
      </c>
      <c r="Q36" s="16">
        <v>0</v>
      </c>
      <c r="R36" s="16">
        <v>176</v>
      </c>
      <c r="S36" s="16">
        <v>139</v>
      </c>
      <c r="T36" s="16">
        <v>36</v>
      </c>
      <c r="U36" s="16">
        <v>307</v>
      </c>
      <c r="V36" s="16">
        <v>735</v>
      </c>
      <c r="W36" s="16">
        <v>146</v>
      </c>
      <c r="X36" s="16">
        <v>107</v>
      </c>
      <c r="Y36" s="16">
        <v>22</v>
      </c>
      <c r="Z36" s="16">
        <v>331</v>
      </c>
      <c r="AA36" s="16">
        <v>85</v>
      </c>
      <c r="AB36" s="16">
        <v>61</v>
      </c>
      <c r="AC36" s="16">
        <v>51</v>
      </c>
      <c r="AD36" s="16">
        <v>72</v>
      </c>
      <c r="AE36" s="16">
        <v>1796</v>
      </c>
      <c r="AF36" s="16">
        <v>672</v>
      </c>
      <c r="AG36" s="16">
        <v>287</v>
      </c>
      <c r="AH36" s="16">
        <v>1151</v>
      </c>
      <c r="AI36" s="16">
        <v>71</v>
      </c>
      <c r="AJ36" s="16">
        <v>213</v>
      </c>
      <c r="AK36" s="16">
        <v>6</v>
      </c>
      <c r="AL36" s="98">
        <v>153</v>
      </c>
      <c r="AM36" s="16">
        <v>3</v>
      </c>
      <c r="AN36" s="16">
        <v>1</v>
      </c>
      <c r="AO36" s="16">
        <v>68</v>
      </c>
      <c r="AP36" s="16">
        <v>43</v>
      </c>
      <c r="AQ36" s="16">
        <v>14</v>
      </c>
      <c r="AR36" s="16">
        <v>309</v>
      </c>
      <c r="AS36" s="16">
        <v>57</v>
      </c>
      <c r="AT36" s="16">
        <v>9</v>
      </c>
      <c r="AU36" s="16">
        <v>79</v>
      </c>
      <c r="AV36" s="16">
        <v>1031</v>
      </c>
      <c r="AW36" s="16">
        <v>375</v>
      </c>
      <c r="AX36" s="16">
        <v>9</v>
      </c>
      <c r="AY36" s="16">
        <v>357</v>
      </c>
      <c r="AZ36" s="16">
        <v>377</v>
      </c>
      <c r="BA36" s="16">
        <v>6</v>
      </c>
      <c r="BB36" s="16">
        <v>130</v>
      </c>
      <c r="BC36" s="16">
        <v>15</v>
      </c>
      <c r="BD36" s="16">
        <v>108</v>
      </c>
      <c r="BE36" s="16">
        <v>165</v>
      </c>
      <c r="BF36" s="16">
        <v>92</v>
      </c>
      <c r="BG36" s="16">
        <v>204</v>
      </c>
      <c r="BH36" s="16">
        <v>153</v>
      </c>
      <c r="BI36" s="16">
        <v>588</v>
      </c>
      <c r="BJ36" s="16">
        <v>305</v>
      </c>
      <c r="BK36" s="16">
        <v>76</v>
      </c>
      <c r="BL36" s="16">
        <v>288</v>
      </c>
      <c r="BM36" s="16">
        <v>346</v>
      </c>
      <c r="BN36" s="16">
        <v>0</v>
      </c>
      <c r="BO36" s="16">
        <v>18</v>
      </c>
      <c r="BP36" s="16">
        <v>319</v>
      </c>
    </row>
    <row r="37" spans="1:68" s="5" customFormat="1" ht="21.9" customHeight="1" x14ac:dyDescent="0.25">
      <c r="A37" s="125"/>
      <c r="B37" s="4"/>
      <c r="C37" s="47" t="s">
        <v>76</v>
      </c>
      <c r="D37" s="48"/>
      <c r="E37" s="16">
        <f t="shared" si="0"/>
        <v>108</v>
      </c>
      <c r="F37" s="26">
        <v>0</v>
      </c>
      <c r="G37" s="26">
        <v>0</v>
      </c>
      <c r="H37" s="26">
        <v>0</v>
      </c>
      <c r="I37" s="26">
        <v>0</v>
      </c>
      <c r="J37" s="26">
        <v>0</v>
      </c>
      <c r="K37" s="26">
        <v>0</v>
      </c>
      <c r="L37" s="26">
        <v>1</v>
      </c>
      <c r="M37" s="26">
        <v>0</v>
      </c>
      <c r="N37" s="26">
        <v>0</v>
      </c>
      <c r="O37" s="26">
        <v>0</v>
      </c>
      <c r="P37" s="26">
        <v>4</v>
      </c>
      <c r="Q37" s="26">
        <v>0</v>
      </c>
      <c r="R37" s="26">
        <v>3</v>
      </c>
      <c r="S37" s="26">
        <v>0</v>
      </c>
      <c r="T37" s="26">
        <v>0</v>
      </c>
      <c r="U37" s="16">
        <v>1</v>
      </c>
      <c r="V37" s="16">
        <v>7</v>
      </c>
      <c r="W37" s="16">
        <v>0</v>
      </c>
      <c r="X37" s="16">
        <v>0</v>
      </c>
      <c r="Y37" s="16">
        <v>0</v>
      </c>
      <c r="Z37" s="16">
        <v>4</v>
      </c>
      <c r="AA37" s="16">
        <v>1</v>
      </c>
      <c r="AB37" s="16">
        <v>1</v>
      </c>
      <c r="AC37" s="16">
        <v>1</v>
      </c>
      <c r="AD37" s="16">
        <v>0</v>
      </c>
      <c r="AE37" s="16">
        <v>11</v>
      </c>
      <c r="AF37" s="16">
        <v>7</v>
      </c>
      <c r="AG37" s="16">
        <v>2</v>
      </c>
      <c r="AH37" s="16">
        <v>12</v>
      </c>
      <c r="AI37" s="16">
        <v>4</v>
      </c>
      <c r="AJ37" s="16">
        <v>2</v>
      </c>
      <c r="AK37" s="16">
        <v>0</v>
      </c>
      <c r="AL37" s="98">
        <v>5</v>
      </c>
      <c r="AM37" s="16">
        <v>0</v>
      </c>
      <c r="AN37" s="16">
        <v>0</v>
      </c>
      <c r="AO37" s="16">
        <v>2</v>
      </c>
      <c r="AP37" s="16">
        <v>0</v>
      </c>
      <c r="AQ37" s="16">
        <v>0</v>
      </c>
      <c r="AR37" s="16">
        <v>0</v>
      </c>
      <c r="AS37" s="16">
        <v>4</v>
      </c>
      <c r="AT37" s="16">
        <v>1</v>
      </c>
      <c r="AU37" s="16">
        <v>0</v>
      </c>
      <c r="AV37" s="16">
        <v>9</v>
      </c>
      <c r="AW37" s="16">
        <v>0</v>
      </c>
      <c r="AX37" s="16">
        <v>0</v>
      </c>
      <c r="AY37" s="16">
        <v>0</v>
      </c>
      <c r="AZ37" s="16">
        <v>0</v>
      </c>
      <c r="BA37" s="16">
        <v>0</v>
      </c>
      <c r="BB37" s="16">
        <v>0</v>
      </c>
      <c r="BC37" s="16">
        <v>0</v>
      </c>
      <c r="BD37" s="16">
        <v>0</v>
      </c>
      <c r="BE37" s="16">
        <v>0</v>
      </c>
      <c r="BF37" s="16">
        <v>3</v>
      </c>
      <c r="BG37" s="16">
        <v>5</v>
      </c>
      <c r="BH37" s="16">
        <v>5</v>
      </c>
      <c r="BI37" s="16">
        <v>0</v>
      </c>
      <c r="BJ37" s="16">
        <v>9</v>
      </c>
      <c r="BK37" s="16">
        <v>0</v>
      </c>
      <c r="BL37" s="16">
        <v>0</v>
      </c>
      <c r="BM37" s="16">
        <v>0</v>
      </c>
      <c r="BN37" s="16">
        <v>0</v>
      </c>
      <c r="BO37" s="16">
        <v>0</v>
      </c>
      <c r="BP37" s="16">
        <v>4</v>
      </c>
    </row>
    <row r="38" spans="1:68" s="5" customFormat="1" ht="21.9" customHeight="1" x14ac:dyDescent="0.25">
      <c r="A38" s="125" t="s">
        <v>265</v>
      </c>
      <c r="B38" s="4"/>
      <c r="C38" s="47" t="s">
        <v>75</v>
      </c>
      <c r="D38" s="48"/>
      <c r="E38" s="16">
        <f t="shared" si="0"/>
        <v>20857</v>
      </c>
      <c r="F38" s="16">
        <v>99</v>
      </c>
      <c r="G38" s="16">
        <v>117</v>
      </c>
      <c r="H38" s="16">
        <v>54</v>
      </c>
      <c r="I38" s="16">
        <v>32</v>
      </c>
      <c r="J38" s="16">
        <v>17</v>
      </c>
      <c r="K38" s="16">
        <v>203</v>
      </c>
      <c r="L38" s="16">
        <v>1439</v>
      </c>
      <c r="M38" s="16">
        <v>620</v>
      </c>
      <c r="N38" s="16">
        <v>27</v>
      </c>
      <c r="O38" s="16">
        <v>658</v>
      </c>
      <c r="P38" s="16">
        <v>140</v>
      </c>
      <c r="Q38" s="16">
        <v>0</v>
      </c>
      <c r="R38" s="16">
        <v>155</v>
      </c>
      <c r="S38" s="16">
        <v>388</v>
      </c>
      <c r="T38" s="16">
        <v>94</v>
      </c>
      <c r="U38" s="16">
        <v>146</v>
      </c>
      <c r="V38" s="16">
        <v>1099</v>
      </c>
      <c r="W38" s="16">
        <v>30</v>
      </c>
      <c r="X38" s="16">
        <v>248</v>
      </c>
      <c r="Y38" s="16">
        <v>38</v>
      </c>
      <c r="Z38" s="16">
        <v>230</v>
      </c>
      <c r="AA38" s="16">
        <v>400</v>
      </c>
      <c r="AB38" s="16">
        <v>47</v>
      </c>
      <c r="AC38" s="16">
        <v>72</v>
      </c>
      <c r="AD38" s="16">
        <v>245</v>
      </c>
      <c r="AE38" s="16">
        <v>2545</v>
      </c>
      <c r="AF38" s="16">
        <v>1407</v>
      </c>
      <c r="AG38" s="16">
        <v>169</v>
      </c>
      <c r="AH38" s="16">
        <v>1699</v>
      </c>
      <c r="AI38" s="16">
        <v>324</v>
      </c>
      <c r="AJ38" s="16">
        <v>268</v>
      </c>
      <c r="AK38" s="16">
        <v>9</v>
      </c>
      <c r="AL38" s="98">
        <v>68</v>
      </c>
      <c r="AM38" s="16">
        <v>7</v>
      </c>
      <c r="AN38" s="16">
        <v>5</v>
      </c>
      <c r="AO38" s="16">
        <v>213</v>
      </c>
      <c r="AP38" s="16">
        <v>54</v>
      </c>
      <c r="AQ38" s="16">
        <v>18</v>
      </c>
      <c r="AR38" s="16">
        <v>147</v>
      </c>
      <c r="AS38" s="16">
        <v>187</v>
      </c>
      <c r="AT38" s="16">
        <v>33</v>
      </c>
      <c r="AU38" s="16">
        <v>87</v>
      </c>
      <c r="AV38" s="16">
        <v>1770</v>
      </c>
      <c r="AW38" s="16">
        <v>1263</v>
      </c>
      <c r="AX38" s="16">
        <v>6</v>
      </c>
      <c r="AY38" s="16">
        <v>450</v>
      </c>
      <c r="AZ38" s="16">
        <v>329</v>
      </c>
      <c r="BA38" s="16">
        <v>13</v>
      </c>
      <c r="BB38" s="16">
        <v>67</v>
      </c>
      <c r="BC38" s="16">
        <v>41</v>
      </c>
      <c r="BD38" s="16">
        <v>2</v>
      </c>
      <c r="BE38" s="16">
        <v>195</v>
      </c>
      <c r="BF38" s="16">
        <v>112</v>
      </c>
      <c r="BG38" s="16">
        <v>165</v>
      </c>
      <c r="BH38" s="16">
        <v>178</v>
      </c>
      <c r="BI38" s="16">
        <v>391</v>
      </c>
      <c r="BJ38" s="16">
        <v>789</v>
      </c>
      <c r="BK38" s="16">
        <v>163</v>
      </c>
      <c r="BL38" s="16">
        <v>377</v>
      </c>
      <c r="BM38" s="16">
        <v>333</v>
      </c>
      <c r="BN38" s="16">
        <v>4</v>
      </c>
      <c r="BO38" s="16">
        <v>0</v>
      </c>
      <c r="BP38" s="16">
        <v>371</v>
      </c>
    </row>
    <row r="39" spans="1:68" s="5" customFormat="1" ht="21.9" customHeight="1" x14ac:dyDescent="0.25">
      <c r="A39" s="125"/>
      <c r="B39" s="4"/>
      <c r="C39" s="47" t="s">
        <v>76</v>
      </c>
      <c r="D39" s="48"/>
      <c r="E39" s="16">
        <f t="shared" si="0"/>
        <v>129</v>
      </c>
      <c r="F39" s="26">
        <v>0</v>
      </c>
      <c r="G39" s="26">
        <v>0</v>
      </c>
      <c r="H39" s="26">
        <v>0</v>
      </c>
      <c r="I39" s="26">
        <v>0</v>
      </c>
      <c r="J39" s="26">
        <v>0</v>
      </c>
      <c r="K39" s="26">
        <v>1</v>
      </c>
      <c r="L39" s="26">
        <v>0</v>
      </c>
      <c r="M39" s="26">
        <v>0</v>
      </c>
      <c r="N39" s="26">
        <v>1</v>
      </c>
      <c r="O39" s="26">
        <v>0</v>
      </c>
      <c r="P39" s="26">
        <v>2</v>
      </c>
      <c r="Q39" s="26">
        <v>0</v>
      </c>
      <c r="R39" s="26">
        <v>2</v>
      </c>
      <c r="S39" s="26">
        <v>0</v>
      </c>
      <c r="T39" s="26">
        <v>1</v>
      </c>
      <c r="U39" s="16">
        <v>0</v>
      </c>
      <c r="V39" s="16">
        <v>3</v>
      </c>
      <c r="W39" s="16">
        <v>1</v>
      </c>
      <c r="X39" s="16">
        <v>0</v>
      </c>
      <c r="Y39" s="16">
        <v>1</v>
      </c>
      <c r="Z39" s="16">
        <v>1</v>
      </c>
      <c r="AA39" s="16">
        <v>1</v>
      </c>
      <c r="AB39" s="16">
        <v>1</v>
      </c>
      <c r="AC39" s="16">
        <v>0</v>
      </c>
      <c r="AD39" s="16">
        <v>3</v>
      </c>
      <c r="AE39" s="16">
        <v>13</v>
      </c>
      <c r="AF39" s="16">
        <v>9</v>
      </c>
      <c r="AG39" s="16">
        <v>2</v>
      </c>
      <c r="AH39" s="16">
        <v>9</v>
      </c>
      <c r="AI39" s="16">
        <v>10</v>
      </c>
      <c r="AJ39" s="16">
        <v>3</v>
      </c>
      <c r="AK39" s="16">
        <v>0</v>
      </c>
      <c r="AL39" s="98">
        <v>0</v>
      </c>
      <c r="AM39" s="16">
        <v>1</v>
      </c>
      <c r="AN39" s="16">
        <v>1</v>
      </c>
      <c r="AO39" s="16">
        <v>2</v>
      </c>
      <c r="AP39" s="16">
        <v>0</v>
      </c>
      <c r="AQ39" s="16">
        <v>0</v>
      </c>
      <c r="AR39" s="16">
        <v>1</v>
      </c>
      <c r="AS39" s="16">
        <v>7</v>
      </c>
      <c r="AT39" s="16">
        <v>0</v>
      </c>
      <c r="AU39" s="16">
        <v>0</v>
      </c>
      <c r="AV39" s="16">
        <v>14</v>
      </c>
      <c r="AW39" s="16">
        <v>1</v>
      </c>
      <c r="AX39" s="16">
        <v>0</v>
      </c>
      <c r="AY39" s="16">
        <v>0</v>
      </c>
      <c r="AZ39" s="16">
        <v>0</v>
      </c>
      <c r="BA39" s="16">
        <v>0</v>
      </c>
      <c r="BB39" s="16">
        <v>3</v>
      </c>
      <c r="BC39" s="16">
        <v>0</v>
      </c>
      <c r="BD39" s="16">
        <v>0</v>
      </c>
      <c r="BE39" s="16">
        <v>0</v>
      </c>
      <c r="BF39" s="16">
        <v>1</v>
      </c>
      <c r="BG39" s="16">
        <v>5</v>
      </c>
      <c r="BH39" s="16">
        <v>8</v>
      </c>
      <c r="BI39" s="16">
        <v>0</v>
      </c>
      <c r="BJ39" s="16">
        <v>8</v>
      </c>
      <c r="BK39" s="16">
        <v>9</v>
      </c>
      <c r="BL39" s="16">
        <v>1</v>
      </c>
      <c r="BM39" s="16">
        <v>0</v>
      </c>
      <c r="BN39" s="16">
        <v>0</v>
      </c>
      <c r="BO39" s="16">
        <v>0</v>
      </c>
      <c r="BP39" s="16">
        <v>3</v>
      </c>
    </row>
    <row r="40" spans="1:68" s="5" customFormat="1" ht="21.9" customHeight="1" x14ac:dyDescent="0.25">
      <c r="A40" s="125" t="s">
        <v>88</v>
      </c>
      <c r="C40" s="47" t="s">
        <v>75</v>
      </c>
      <c r="D40" s="48"/>
      <c r="E40" s="16">
        <f t="shared" si="0"/>
        <v>29095</v>
      </c>
      <c r="F40" s="16">
        <v>610</v>
      </c>
      <c r="G40" s="16">
        <v>302</v>
      </c>
      <c r="H40" s="16">
        <v>144</v>
      </c>
      <c r="I40" s="16">
        <v>20</v>
      </c>
      <c r="J40" s="16">
        <v>74</v>
      </c>
      <c r="K40" s="16">
        <v>127</v>
      </c>
      <c r="L40" s="16">
        <v>1447</v>
      </c>
      <c r="M40" s="16">
        <v>871</v>
      </c>
      <c r="N40" s="16">
        <v>53</v>
      </c>
      <c r="O40" s="16">
        <v>567</v>
      </c>
      <c r="P40" s="16">
        <v>130</v>
      </c>
      <c r="Q40" s="16">
        <v>0</v>
      </c>
      <c r="R40" s="16">
        <v>345</v>
      </c>
      <c r="S40" s="16">
        <v>343</v>
      </c>
      <c r="T40" s="16">
        <v>141</v>
      </c>
      <c r="U40" s="16">
        <v>340</v>
      </c>
      <c r="V40" s="16">
        <v>1212</v>
      </c>
      <c r="W40" s="16">
        <v>57</v>
      </c>
      <c r="X40" s="16">
        <v>254</v>
      </c>
      <c r="Y40" s="16">
        <v>85</v>
      </c>
      <c r="Z40" s="16">
        <v>770</v>
      </c>
      <c r="AA40" s="16">
        <v>249</v>
      </c>
      <c r="AB40" s="16">
        <v>152</v>
      </c>
      <c r="AC40" s="16">
        <v>99</v>
      </c>
      <c r="AD40" s="16">
        <v>119</v>
      </c>
      <c r="AE40" s="16">
        <v>2860</v>
      </c>
      <c r="AF40" s="16">
        <v>1112</v>
      </c>
      <c r="AG40" s="16">
        <v>536</v>
      </c>
      <c r="AH40" s="16">
        <v>1235</v>
      </c>
      <c r="AI40" s="16">
        <v>106</v>
      </c>
      <c r="AJ40" s="16">
        <v>592</v>
      </c>
      <c r="AK40" s="16">
        <v>17</v>
      </c>
      <c r="AL40" s="98">
        <v>194</v>
      </c>
      <c r="AM40" s="16">
        <v>91</v>
      </c>
      <c r="AN40" s="16">
        <v>35</v>
      </c>
      <c r="AO40" s="16">
        <v>240</v>
      </c>
      <c r="AP40" s="16">
        <v>15</v>
      </c>
      <c r="AQ40" s="16">
        <v>9</v>
      </c>
      <c r="AR40" s="16">
        <v>206</v>
      </c>
      <c r="AS40" s="16">
        <v>336</v>
      </c>
      <c r="AT40" s="16">
        <v>71</v>
      </c>
      <c r="AU40" s="16">
        <v>577</v>
      </c>
      <c r="AV40" s="16">
        <v>3691</v>
      </c>
      <c r="AW40" s="16">
        <v>367</v>
      </c>
      <c r="AX40" s="16">
        <v>57</v>
      </c>
      <c r="AY40" s="16">
        <v>1652</v>
      </c>
      <c r="AZ40" s="16">
        <v>249</v>
      </c>
      <c r="BA40" s="16">
        <v>6</v>
      </c>
      <c r="BB40" s="16">
        <v>100</v>
      </c>
      <c r="BC40" s="16">
        <v>53</v>
      </c>
      <c r="BD40" s="16">
        <v>57</v>
      </c>
      <c r="BE40" s="16">
        <v>1705</v>
      </c>
      <c r="BF40" s="16">
        <v>1075</v>
      </c>
      <c r="BG40" s="16">
        <v>1159</v>
      </c>
      <c r="BH40" s="16">
        <v>167</v>
      </c>
      <c r="BI40" s="16">
        <v>495</v>
      </c>
      <c r="BJ40" s="16">
        <v>335</v>
      </c>
      <c r="BK40" s="16">
        <v>303</v>
      </c>
      <c r="BL40" s="16">
        <v>175</v>
      </c>
      <c r="BM40" s="16">
        <v>34</v>
      </c>
      <c r="BN40" s="16">
        <v>244</v>
      </c>
      <c r="BO40" s="16">
        <v>5</v>
      </c>
      <c r="BP40" s="16">
        <v>423</v>
      </c>
    </row>
    <row r="41" spans="1:68" s="5" customFormat="1" ht="21.9" customHeight="1" x14ac:dyDescent="0.25">
      <c r="A41" s="125"/>
      <c r="C41" s="47" t="s">
        <v>76</v>
      </c>
      <c r="D41" s="48"/>
      <c r="E41" s="16">
        <f t="shared" si="0"/>
        <v>98</v>
      </c>
      <c r="F41" s="26">
        <v>0</v>
      </c>
      <c r="G41" s="26">
        <v>0</v>
      </c>
      <c r="H41" s="26">
        <v>0</v>
      </c>
      <c r="I41" s="26">
        <v>0</v>
      </c>
      <c r="J41" s="26">
        <v>0</v>
      </c>
      <c r="K41" s="26">
        <v>0</v>
      </c>
      <c r="L41" s="26">
        <v>2</v>
      </c>
      <c r="M41" s="26">
        <v>1</v>
      </c>
      <c r="N41" s="26">
        <v>0</v>
      </c>
      <c r="O41" s="26">
        <v>0</v>
      </c>
      <c r="P41" s="26">
        <v>0</v>
      </c>
      <c r="Q41" s="26">
        <v>0</v>
      </c>
      <c r="R41" s="26">
        <v>3</v>
      </c>
      <c r="S41" s="26">
        <v>2</v>
      </c>
      <c r="T41" s="26">
        <v>1</v>
      </c>
      <c r="U41" s="16">
        <v>3</v>
      </c>
      <c r="V41" s="16">
        <v>5</v>
      </c>
      <c r="W41" s="16">
        <v>0</v>
      </c>
      <c r="X41" s="16">
        <v>0</v>
      </c>
      <c r="Y41" s="16">
        <v>2</v>
      </c>
      <c r="Z41" s="16">
        <v>0</v>
      </c>
      <c r="AA41" s="16">
        <v>2</v>
      </c>
      <c r="AB41" s="16">
        <v>0</v>
      </c>
      <c r="AC41" s="16">
        <v>0</v>
      </c>
      <c r="AD41" s="16">
        <v>0</v>
      </c>
      <c r="AE41" s="16">
        <v>5</v>
      </c>
      <c r="AF41" s="16">
        <v>1</v>
      </c>
      <c r="AG41" s="16">
        <v>1</v>
      </c>
      <c r="AH41" s="16">
        <v>24</v>
      </c>
      <c r="AI41" s="16">
        <v>2</v>
      </c>
      <c r="AJ41" s="16">
        <v>4</v>
      </c>
      <c r="AK41" s="16">
        <v>0</v>
      </c>
      <c r="AL41" s="98">
        <v>0</v>
      </c>
      <c r="AM41" s="16">
        <v>3</v>
      </c>
      <c r="AN41" s="16">
        <v>0</v>
      </c>
      <c r="AO41" s="16">
        <v>0</v>
      </c>
      <c r="AP41" s="16">
        <v>0</v>
      </c>
      <c r="AQ41" s="16">
        <v>0</v>
      </c>
      <c r="AR41" s="16">
        <v>0</v>
      </c>
      <c r="AS41" s="16">
        <v>10</v>
      </c>
      <c r="AT41" s="16">
        <v>0</v>
      </c>
      <c r="AU41" s="16">
        <v>0</v>
      </c>
      <c r="AV41" s="16">
        <v>8</v>
      </c>
      <c r="AW41" s="16">
        <v>0</v>
      </c>
      <c r="AX41" s="16">
        <v>0</v>
      </c>
      <c r="AY41" s="16">
        <v>1</v>
      </c>
      <c r="AZ41" s="16">
        <v>0</v>
      </c>
      <c r="BA41" s="16">
        <v>1</v>
      </c>
      <c r="BB41" s="16">
        <v>1</v>
      </c>
      <c r="BC41" s="16">
        <v>0</v>
      </c>
      <c r="BD41" s="16">
        <v>0</v>
      </c>
      <c r="BE41" s="16">
        <v>0</v>
      </c>
      <c r="BF41" s="16">
        <v>0</v>
      </c>
      <c r="BG41" s="16">
        <v>3</v>
      </c>
      <c r="BH41" s="16">
        <v>0</v>
      </c>
      <c r="BI41" s="16">
        <v>0</v>
      </c>
      <c r="BJ41" s="16">
        <v>4</v>
      </c>
      <c r="BK41" s="16">
        <v>4</v>
      </c>
      <c r="BL41" s="16">
        <v>3</v>
      </c>
      <c r="BM41" s="16">
        <v>1</v>
      </c>
      <c r="BN41" s="16">
        <v>0</v>
      </c>
      <c r="BO41" s="16">
        <v>0</v>
      </c>
      <c r="BP41" s="16">
        <v>1</v>
      </c>
    </row>
    <row r="42" spans="1:68" s="5" customFormat="1" ht="21.9" customHeight="1" x14ac:dyDescent="0.25">
      <c r="A42" s="125" t="s">
        <v>89</v>
      </c>
      <c r="B42" s="4"/>
      <c r="C42" s="47" t="s">
        <v>75</v>
      </c>
      <c r="D42" s="48"/>
      <c r="E42" s="16">
        <f t="shared" si="0"/>
        <v>12948</v>
      </c>
      <c r="F42" s="16">
        <v>26</v>
      </c>
      <c r="G42" s="16">
        <v>16</v>
      </c>
      <c r="H42" s="16">
        <v>14</v>
      </c>
      <c r="I42" s="16">
        <v>4</v>
      </c>
      <c r="J42" s="16">
        <v>5</v>
      </c>
      <c r="K42" s="16">
        <v>40</v>
      </c>
      <c r="L42" s="16">
        <v>1593</v>
      </c>
      <c r="M42" s="16">
        <v>262</v>
      </c>
      <c r="N42" s="16">
        <v>30</v>
      </c>
      <c r="O42" s="16">
        <v>34</v>
      </c>
      <c r="P42" s="16">
        <v>26</v>
      </c>
      <c r="Q42" s="16">
        <v>0</v>
      </c>
      <c r="R42" s="16">
        <v>306</v>
      </c>
      <c r="S42" s="16">
        <v>179</v>
      </c>
      <c r="T42" s="16">
        <v>73</v>
      </c>
      <c r="U42" s="16">
        <v>465</v>
      </c>
      <c r="V42" s="16">
        <v>1325</v>
      </c>
      <c r="W42" s="16">
        <v>35</v>
      </c>
      <c r="X42" s="16">
        <v>105</v>
      </c>
      <c r="Y42" s="16">
        <v>46</v>
      </c>
      <c r="Z42" s="16">
        <v>395</v>
      </c>
      <c r="AA42" s="16">
        <v>117</v>
      </c>
      <c r="AB42" s="16">
        <v>67</v>
      </c>
      <c r="AC42" s="16">
        <v>42</v>
      </c>
      <c r="AD42" s="16">
        <v>103</v>
      </c>
      <c r="AE42" s="16">
        <v>1128</v>
      </c>
      <c r="AF42" s="16">
        <v>841</v>
      </c>
      <c r="AG42" s="16">
        <v>395</v>
      </c>
      <c r="AH42" s="16">
        <v>675</v>
      </c>
      <c r="AI42" s="16">
        <v>55</v>
      </c>
      <c r="AJ42" s="16">
        <v>233</v>
      </c>
      <c r="AK42" s="16">
        <v>3</v>
      </c>
      <c r="AL42" s="98">
        <v>133</v>
      </c>
      <c r="AM42" s="16">
        <v>7</v>
      </c>
      <c r="AN42" s="16">
        <v>8</v>
      </c>
      <c r="AO42" s="16">
        <v>110</v>
      </c>
      <c r="AP42" s="16">
        <v>6</v>
      </c>
      <c r="AQ42" s="16">
        <v>0</v>
      </c>
      <c r="AR42" s="16">
        <v>7</v>
      </c>
      <c r="AS42" s="16">
        <v>49</v>
      </c>
      <c r="AT42" s="16">
        <v>27</v>
      </c>
      <c r="AU42" s="16">
        <v>93</v>
      </c>
      <c r="AV42" s="16">
        <v>622</v>
      </c>
      <c r="AW42" s="16">
        <v>35</v>
      </c>
      <c r="AX42" s="16">
        <v>5</v>
      </c>
      <c r="AY42" s="16">
        <v>279</v>
      </c>
      <c r="AZ42" s="16">
        <v>16</v>
      </c>
      <c r="BA42" s="16">
        <v>0</v>
      </c>
      <c r="BB42" s="16">
        <v>173</v>
      </c>
      <c r="BC42" s="16">
        <v>47</v>
      </c>
      <c r="BD42" s="16">
        <v>0</v>
      </c>
      <c r="BE42" s="16">
        <v>276</v>
      </c>
      <c r="BF42" s="16">
        <v>145</v>
      </c>
      <c r="BG42" s="16">
        <v>296</v>
      </c>
      <c r="BH42" s="16">
        <v>47</v>
      </c>
      <c r="BI42" s="16">
        <v>17</v>
      </c>
      <c r="BJ42" s="16">
        <v>112</v>
      </c>
      <c r="BK42" s="16">
        <v>37</v>
      </c>
      <c r="BL42" s="16">
        <v>42</v>
      </c>
      <c r="BM42" s="16">
        <v>91</v>
      </c>
      <c r="BN42" s="16">
        <v>4</v>
      </c>
      <c r="BO42" s="16">
        <v>146</v>
      </c>
      <c r="BP42" s="16">
        <v>1480</v>
      </c>
    </row>
    <row r="43" spans="1:68" s="5" customFormat="1" ht="21.9" customHeight="1" x14ac:dyDescent="0.25">
      <c r="A43" s="125"/>
      <c r="B43" s="4"/>
      <c r="C43" s="47" t="s">
        <v>76</v>
      </c>
      <c r="D43" s="48"/>
      <c r="E43" s="16">
        <f t="shared" si="0"/>
        <v>98</v>
      </c>
      <c r="F43" s="26">
        <v>0</v>
      </c>
      <c r="G43" s="26">
        <v>0</v>
      </c>
      <c r="H43" s="26">
        <v>0</v>
      </c>
      <c r="I43" s="26">
        <v>0</v>
      </c>
      <c r="J43" s="26">
        <v>0</v>
      </c>
      <c r="K43" s="26">
        <v>0</v>
      </c>
      <c r="L43" s="26">
        <v>4</v>
      </c>
      <c r="M43" s="26">
        <v>3</v>
      </c>
      <c r="N43" s="26">
        <v>0</v>
      </c>
      <c r="O43" s="26">
        <v>1</v>
      </c>
      <c r="P43" s="26">
        <v>0</v>
      </c>
      <c r="Q43" s="26">
        <v>0</v>
      </c>
      <c r="R43" s="26">
        <v>2</v>
      </c>
      <c r="S43" s="26">
        <v>2</v>
      </c>
      <c r="T43" s="26">
        <v>0</v>
      </c>
      <c r="U43" s="16">
        <v>1</v>
      </c>
      <c r="V43" s="16">
        <v>10</v>
      </c>
      <c r="W43" s="16">
        <v>0</v>
      </c>
      <c r="X43" s="16">
        <v>0</v>
      </c>
      <c r="Y43" s="16">
        <v>0</v>
      </c>
      <c r="Z43" s="16">
        <v>0</v>
      </c>
      <c r="AA43" s="16">
        <v>3</v>
      </c>
      <c r="AB43" s="16">
        <v>0</v>
      </c>
      <c r="AC43" s="16">
        <v>0</v>
      </c>
      <c r="AD43" s="16">
        <v>5</v>
      </c>
      <c r="AE43" s="16">
        <v>7</v>
      </c>
      <c r="AF43" s="16">
        <v>0</v>
      </c>
      <c r="AG43" s="16">
        <v>0</v>
      </c>
      <c r="AH43" s="16">
        <v>23</v>
      </c>
      <c r="AI43" s="16">
        <v>4</v>
      </c>
      <c r="AJ43" s="16">
        <v>2</v>
      </c>
      <c r="AK43" s="16">
        <v>0</v>
      </c>
      <c r="AL43" s="98">
        <v>6</v>
      </c>
      <c r="AM43" s="16">
        <v>0</v>
      </c>
      <c r="AN43" s="16">
        <v>0</v>
      </c>
      <c r="AO43" s="16">
        <v>1</v>
      </c>
      <c r="AP43" s="16">
        <v>0</v>
      </c>
      <c r="AQ43" s="16">
        <v>0</v>
      </c>
      <c r="AR43" s="16">
        <v>0</v>
      </c>
      <c r="AS43" s="16">
        <v>2</v>
      </c>
      <c r="AT43" s="16">
        <v>1</v>
      </c>
      <c r="AU43" s="16">
        <v>0</v>
      </c>
      <c r="AV43" s="16">
        <v>8</v>
      </c>
      <c r="AW43" s="16">
        <v>0</v>
      </c>
      <c r="AX43" s="16">
        <v>2</v>
      </c>
      <c r="AY43" s="16">
        <v>0</v>
      </c>
      <c r="AZ43" s="16">
        <v>0</v>
      </c>
      <c r="BA43" s="16">
        <v>0</v>
      </c>
      <c r="BB43" s="16">
        <v>0</v>
      </c>
      <c r="BC43" s="16">
        <v>0</v>
      </c>
      <c r="BD43" s="16">
        <v>0</v>
      </c>
      <c r="BE43" s="16">
        <v>0</v>
      </c>
      <c r="BF43" s="16">
        <v>0</v>
      </c>
      <c r="BG43" s="16">
        <v>2</v>
      </c>
      <c r="BH43" s="16">
        <v>0</v>
      </c>
      <c r="BI43" s="16">
        <v>0</v>
      </c>
      <c r="BJ43" s="16">
        <v>0</v>
      </c>
      <c r="BK43" s="16">
        <v>2</v>
      </c>
      <c r="BL43" s="16">
        <v>1</v>
      </c>
      <c r="BM43" s="16">
        <v>0</v>
      </c>
      <c r="BN43" s="16">
        <v>0</v>
      </c>
      <c r="BO43" s="16">
        <v>0</v>
      </c>
      <c r="BP43" s="16">
        <v>6</v>
      </c>
    </row>
    <row r="44" spans="1:68" s="5" customFormat="1" ht="21.9" customHeight="1" x14ac:dyDescent="0.25">
      <c r="A44" s="125" t="s">
        <v>266</v>
      </c>
      <c r="B44" s="4"/>
      <c r="C44" s="47" t="s">
        <v>75</v>
      </c>
      <c r="D44" s="48"/>
      <c r="E44" s="16">
        <f t="shared" si="0"/>
        <v>25098</v>
      </c>
      <c r="F44" s="16">
        <v>73</v>
      </c>
      <c r="G44" s="16">
        <v>91</v>
      </c>
      <c r="H44" s="16">
        <v>5</v>
      </c>
      <c r="I44" s="16">
        <v>7</v>
      </c>
      <c r="J44" s="16">
        <v>7</v>
      </c>
      <c r="K44" s="16">
        <v>154</v>
      </c>
      <c r="L44" s="16">
        <v>1525</v>
      </c>
      <c r="M44" s="16">
        <v>329</v>
      </c>
      <c r="N44" s="16">
        <v>114</v>
      </c>
      <c r="O44" s="16">
        <v>41</v>
      </c>
      <c r="P44" s="16">
        <v>14</v>
      </c>
      <c r="Q44" s="16">
        <v>0</v>
      </c>
      <c r="R44" s="16">
        <v>142</v>
      </c>
      <c r="S44" s="16">
        <v>290</v>
      </c>
      <c r="T44" s="16">
        <v>150</v>
      </c>
      <c r="U44" s="16">
        <v>236</v>
      </c>
      <c r="V44" s="16">
        <v>1074</v>
      </c>
      <c r="W44" s="16">
        <v>83</v>
      </c>
      <c r="X44" s="16">
        <v>278</v>
      </c>
      <c r="Y44" s="16">
        <v>78</v>
      </c>
      <c r="Z44" s="16">
        <v>719</v>
      </c>
      <c r="AA44" s="16">
        <v>204</v>
      </c>
      <c r="AB44" s="16">
        <v>218</v>
      </c>
      <c r="AC44" s="16">
        <v>95</v>
      </c>
      <c r="AD44" s="16">
        <v>97</v>
      </c>
      <c r="AE44" s="16">
        <v>7693</v>
      </c>
      <c r="AF44" s="16">
        <v>4886</v>
      </c>
      <c r="AG44" s="16">
        <v>473</v>
      </c>
      <c r="AH44" s="16">
        <v>455</v>
      </c>
      <c r="AI44" s="16">
        <v>108</v>
      </c>
      <c r="AJ44" s="16">
        <v>220</v>
      </c>
      <c r="AK44" s="16">
        <v>1</v>
      </c>
      <c r="AL44" s="98">
        <v>133</v>
      </c>
      <c r="AM44" s="16">
        <v>19</v>
      </c>
      <c r="AN44" s="16">
        <v>1</v>
      </c>
      <c r="AO44" s="16">
        <v>325</v>
      </c>
      <c r="AP44" s="16">
        <v>3</v>
      </c>
      <c r="AQ44" s="16">
        <v>0</v>
      </c>
      <c r="AR44" s="16">
        <v>20</v>
      </c>
      <c r="AS44" s="16">
        <v>48</v>
      </c>
      <c r="AT44" s="16">
        <v>50</v>
      </c>
      <c r="AU44" s="16">
        <v>50</v>
      </c>
      <c r="AV44" s="16">
        <v>1729</v>
      </c>
      <c r="AW44" s="16">
        <v>356</v>
      </c>
      <c r="AX44" s="16">
        <v>0</v>
      </c>
      <c r="AY44" s="16">
        <v>272</v>
      </c>
      <c r="AZ44" s="16">
        <v>52</v>
      </c>
      <c r="BA44" s="16">
        <v>0</v>
      </c>
      <c r="BB44" s="16">
        <v>26</v>
      </c>
      <c r="BC44" s="16">
        <v>2</v>
      </c>
      <c r="BD44" s="16">
        <v>0</v>
      </c>
      <c r="BE44" s="16">
        <v>234</v>
      </c>
      <c r="BF44" s="16">
        <v>198</v>
      </c>
      <c r="BG44" s="16">
        <v>710</v>
      </c>
      <c r="BH44" s="16">
        <v>94</v>
      </c>
      <c r="BI44" s="16">
        <v>100</v>
      </c>
      <c r="BJ44" s="16">
        <v>89</v>
      </c>
      <c r="BK44" s="16">
        <v>17</v>
      </c>
      <c r="BL44" s="16">
        <v>47</v>
      </c>
      <c r="BM44" s="16">
        <v>571</v>
      </c>
      <c r="BN44" s="16">
        <v>0</v>
      </c>
      <c r="BO44" s="16">
        <v>23</v>
      </c>
      <c r="BP44" s="16">
        <v>69</v>
      </c>
    </row>
    <row r="45" spans="1:68" s="5" customFormat="1" ht="21.9" customHeight="1" x14ac:dyDescent="0.25">
      <c r="A45" s="125"/>
      <c r="B45" s="4"/>
      <c r="C45" s="47" t="s">
        <v>76</v>
      </c>
      <c r="D45" s="48"/>
      <c r="E45" s="16">
        <f t="shared" si="0"/>
        <v>85</v>
      </c>
      <c r="F45" s="26">
        <v>0</v>
      </c>
      <c r="G45" s="26">
        <v>0</v>
      </c>
      <c r="H45" s="26">
        <v>0</v>
      </c>
      <c r="I45" s="26">
        <v>0</v>
      </c>
      <c r="J45" s="26">
        <v>0</v>
      </c>
      <c r="K45" s="26">
        <v>0</v>
      </c>
      <c r="L45" s="26">
        <v>1</v>
      </c>
      <c r="M45" s="26">
        <v>1</v>
      </c>
      <c r="N45" s="26">
        <v>0</v>
      </c>
      <c r="O45" s="26">
        <v>1</v>
      </c>
      <c r="P45" s="26">
        <v>1</v>
      </c>
      <c r="Q45" s="26">
        <v>0</v>
      </c>
      <c r="R45" s="26">
        <v>0</v>
      </c>
      <c r="S45" s="26">
        <v>4</v>
      </c>
      <c r="T45" s="26">
        <v>0</v>
      </c>
      <c r="U45" s="16">
        <v>1</v>
      </c>
      <c r="V45" s="16">
        <v>5</v>
      </c>
      <c r="W45" s="16">
        <v>0</v>
      </c>
      <c r="X45" s="16">
        <v>1</v>
      </c>
      <c r="Y45" s="16">
        <v>0</v>
      </c>
      <c r="Z45" s="16">
        <v>0</v>
      </c>
      <c r="AA45" s="16">
        <v>2</v>
      </c>
      <c r="AB45" s="16">
        <v>0</v>
      </c>
      <c r="AC45" s="16">
        <v>0</v>
      </c>
      <c r="AD45" s="16">
        <v>0</v>
      </c>
      <c r="AE45" s="16">
        <v>4</v>
      </c>
      <c r="AF45" s="16">
        <v>0</v>
      </c>
      <c r="AG45" s="16">
        <v>0</v>
      </c>
      <c r="AH45" s="16">
        <v>20</v>
      </c>
      <c r="AI45" s="16">
        <v>6</v>
      </c>
      <c r="AJ45" s="16">
        <v>1</v>
      </c>
      <c r="AK45" s="16">
        <v>0</v>
      </c>
      <c r="AL45" s="98">
        <v>2</v>
      </c>
      <c r="AM45" s="16">
        <v>0</v>
      </c>
      <c r="AN45" s="16">
        <v>0</v>
      </c>
      <c r="AO45" s="16">
        <v>0</v>
      </c>
      <c r="AP45" s="16">
        <v>0</v>
      </c>
      <c r="AQ45" s="16">
        <v>0</v>
      </c>
      <c r="AR45" s="16">
        <v>0</v>
      </c>
      <c r="AS45" s="16">
        <v>3</v>
      </c>
      <c r="AT45" s="16">
        <v>0</v>
      </c>
      <c r="AU45" s="16">
        <v>3</v>
      </c>
      <c r="AV45" s="16">
        <v>16</v>
      </c>
      <c r="AW45" s="16">
        <v>3</v>
      </c>
      <c r="AX45" s="16">
        <v>0</v>
      </c>
      <c r="AY45" s="16">
        <v>0</v>
      </c>
      <c r="AZ45" s="16">
        <v>0</v>
      </c>
      <c r="BA45" s="16">
        <v>0</v>
      </c>
      <c r="BB45" s="16">
        <v>0</v>
      </c>
      <c r="BC45" s="16">
        <v>0</v>
      </c>
      <c r="BD45" s="16">
        <v>0</v>
      </c>
      <c r="BE45" s="16">
        <v>0</v>
      </c>
      <c r="BF45" s="16">
        <v>4</v>
      </c>
      <c r="BG45" s="16">
        <v>0</v>
      </c>
      <c r="BH45" s="16">
        <v>0</v>
      </c>
      <c r="BI45" s="16">
        <v>2</v>
      </c>
      <c r="BJ45" s="16">
        <v>2</v>
      </c>
      <c r="BK45" s="16">
        <v>0</v>
      </c>
      <c r="BL45" s="16">
        <v>2</v>
      </c>
      <c r="BM45" s="16">
        <v>0</v>
      </c>
      <c r="BN45" s="16">
        <v>0</v>
      </c>
      <c r="BO45" s="16">
        <v>0</v>
      </c>
      <c r="BP45" s="16">
        <v>0</v>
      </c>
    </row>
    <row r="46" spans="1:68" s="5" customFormat="1" ht="21.9" customHeight="1" x14ac:dyDescent="0.25">
      <c r="A46" s="125" t="s">
        <v>91</v>
      </c>
      <c r="B46" s="4"/>
      <c r="C46" s="47" t="s">
        <v>75</v>
      </c>
      <c r="D46" s="48"/>
      <c r="E46" s="16">
        <f t="shared" si="0"/>
        <v>17566</v>
      </c>
      <c r="F46" s="16">
        <v>287</v>
      </c>
      <c r="G46" s="16">
        <v>270</v>
      </c>
      <c r="H46" s="16">
        <v>0</v>
      </c>
      <c r="I46" s="16">
        <v>0</v>
      </c>
      <c r="J46" s="16">
        <v>58</v>
      </c>
      <c r="K46" s="16">
        <v>1</v>
      </c>
      <c r="L46" s="16">
        <v>301</v>
      </c>
      <c r="M46" s="16">
        <v>76</v>
      </c>
      <c r="N46" s="16">
        <v>296</v>
      </c>
      <c r="O46" s="16">
        <v>209</v>
      </c>
      <c r="P46" s="16">
        <v>4</v>
      </c>
      <c r="Q46" s="16">
        <v>2</v>
      </c>
      <c r="R46" s="16">
        <v>99</v>
      </c>
      <c r="S46" s="16">
        <v>110</v>
      </c>
      <c r="T46" s="16">
        <v>557</v>
      </c>
      <c r="U46" s="16">
        <v>67</v>
      </c>
      <c r="V46" s="16">
        <v>216</v>
      </c>
      <c r="W46" s="16">
        <v>213</v>
      </c>
      <c r="X46" s="16">
        <v>196</v>
      </c>
      <c r="Y46" s="16">
        <v>65</v>
      </c>
      <c r="Z46" s="16">
        <v>1318</v>
      </c>
      <c r="AA46" s="16">
        <v>274</v>
      </c>
      <c r="AB46" s="16">
        <v>199</v>
      </c>
      <c r="AC46" s="16">
        <v>35</v>
      </c>
      <c r="AD46" s="16">
        <v>9</v>
      </c>
      <c r="AE46" s="16">
        <v>2626</v>
      </c>
      <c r="AF46" s="16">
        <v>798</v>
      </c>
      <c r="AG46" s="16">
        <v>176</v>
      </c>
      <c r="AH46" s="16">
        <v>270</v>
      </c>
      <c r="AI46" s="16">
        <v>33</v>
      </c>
      <c r="AJ46" s="16">
        <v>597</v>
      </c>
      <c r="AK46" s="16">
        <v>26</v>
      </c>
      <c r="AL46" s="98">
        <v>39</v>
      </c>
      <c r="AM46" s="16">
        <v>51</v>
      </c>
      <c r="AN46" s="16">
        <v>2</v>
      </c>
      <c r="AO46" s="16">
        <v>327</v>
      </c>
      <c r="AP46" s="16">
        <v>5</v>
      </c>
      <c r="AQ46" s="16">
        <v>10</v>
      </c>
      <c r="AR46" s="16">
        <v>0</v>
      </c>
      <c r="AS46" s="16">
        <v>54</v>
      </c>
      <c r="AT46" s="16">
        <v>73</v>
      </c>
      <c r="AU46" s="16">
        <v>1475</v>
      </c>
      <c r="AV46" s="16">
        <v>2497</v>
      </c>
      <c r="AW46" s="16">
        <v>825</v>
      </c>
      <c r="AX46" s="16">
        <v>20</v>
      </c>
      <c r="AY46" s="16">
        <v>669</v>
      </c>
      <c r="AZ46" s="16">
        <v>65</v>
      </c>
      <c r="BA46" s="16">
        <v>0</v>
      </c>
      <c r="BB46" s="16">
        <v>7</v>
      </c>
      <c r="BC46" s="16">
        <v>5</v>
      </c>
      <c r="BD46" s="16">
        <v>37</v>
      </c>
      <c r="BE46" s="16">
        <v>349</v>
      </c>
      <c r="BF46" s="16">
        <v>575</v>
      </c>
      <c r="BG46" s="16">
        <v>44</v>
      </c>
      <c r="BH46" s="16">
        <v>0</v>
      </c>
      <c r="BI46" s="16">
        <v>95</v>
      </c>
      <c r="BJ46" s="16">
        <v>387</v>
      </c>
      <c r="BK46" s="16">
        <v>335</v>
      </c>
      <c r="BL46" s="16">
        <v>81</v>
      </c>
      <c r="BM46" s="16">
        <v>41</v>
      </c>
      <c r="BN46" s="16">
        <v>98</v>
      </c>
      <c r="BO46" s="16">
        <v>0</v>
      </c>
      <c r="BP46" s="16">
        <v>12</v>
      </c>
    </row>
    <row r="47" spans="1:68" s="5" customFormat="1" ht="21.9" customHeight="1" x14ac:dyDescent="0.25">
      <c r="A47" s="125"/>
      <c r="B47" s="4"/>
      <c r="C47" s="47" t="s">
        <v>76</v>
      </c>
      <c r="D47" s="48"/>
      <c r="E47" s="16">
        <f t="shared" si="0"/>
        <v>77</v>
      </c>
      <c r="F47" s="26">
        <v>2</v>
      </c>
      <c r="G47" s="26">
        <v>2</v>
      </c>
      <c r="H47" s="26">
        <v>0</v>
      </c>
      <c r="I47" s="26">
        <v>0</v>
      </c>
      <c r="J47" s="26">
        <v>0</v>
      </c>
      <c r="K47" s="26">
        <v>0</v>
      </c>
      <c r="L47" s="26">
        <v>0</v>
      </c>
      <c r="M47" s="26">
        <v>0</v>
      </c>
      <c r="N47" s="26">
        <v>0</v>
      </c>
      <c r="O47" s="26">
        <v>0</v>
      </c>
      <c r="P47" s="26">
        <v>0</v>
      </c>
      <c r="Q47" s="26">
        <v>0</v>
      </c>
      <c r="R47" s="26">
        <v>0</v>
      </c>
      <c r="S47" s="26">
        <v>4</v>
      </c>
      <c r="T47" s="26">
        <v>5</v>
      </c>
      <c r="U47" s="16">
        <v>0</v>
      </c>
      <c r="V47" s="16">
        <v>2</v>
      </c>
      <c r="W47" s="16">
        <v>0</v>
      </c>
      <c r="X47" s="16">
        <v>0</v>
      </c>
      <c r="Y47" s="16">
        <v>0</v>
      </c>
      <c r="Z47" s="16">
        <v>2</v>
      </c>
      <c r="AA47" s="16">
        <v>0</v>
      </c>
      <c r="AB47" s="16">
        <v>0</v>
      </c>
      <c r="AC47" s="16">
        <v>1</v>
      </c>
      <c r="AD47" s="16">
        <v>0</v>
      </c>
      <c r="AE47" s="16">
        <v>2</v>
      </c>
      <c r="AF47" s="16">
        <v>1</v>
      </c>
      <c r="AG47" s="16">
        <v>1</v>
      </c>
      <c r="AH47" s="16">
        <v>30</v>
      </c>
      <c r="AI47" s="16">
        <v>0</v>
      </c>
      <c r="AJ47" s="16">
        <v>1</v>
      </c>
      <c r="AK47" s="16">
        <v>0</v>
      </c>
      <c r="AL47" s="98">
        <v>2</v>
      </c>
      <c r="AM47" s="16">
        <v>0</v>
      </c>
      <c r="AN47" s="16">
        <v>0</v>
      </c>
      <c r="AO47" s="16">
        <v>0</v>
      </c>
      <c r="AP47" s="16">
        <v>0</v>
      </c>
      <c r="AQ47" s="16">
        <v>0</v>
      </c>
      <c r="AR47" s="16">
        <v>0</v>
      </c>
      <c r="AS47" s="16">
        <v>1</v>
      </c>
      <c r="AT47" s="16">
        <v>1</v>
      </c>
      <c r="AU47" s="16">
        <v>0</v>
      </c>
      <c r="AV47" s="16">
        <v>9</v>
      </c>
      <c r="AW47" s="16">
        <v>0</v>
      </c>
      <c r="AX47" s="16">
        <v>0</v>
      </c>
      <c r="AY47" s="16">
        <v>0</v>
      </c>
      <c r="AZ47" s="16">
        <v>0</v>
      </c>
      <c r="BA47" s="16">
        <v>0</v>
      </c>
      <c r="BB47" s="16">
        <v>0</v>
      </c>
      <c r="BC47" s="16">
        <v>0</v>
      </c>
      <c r="BD47" s="16">
        <v>0</v>
      </c>
      <c r="BE47" s="16">
        <v>0</v>
      </c>
      <c r="BF47" s="16">
        <v>0</v>
      </c>
      <c r="BG47" s="16">
        <v>1</v>
      </c>
      <c r="BH47" s="16">
        <v>0</v>
      </c>
      <c r="BI47" s="16">
        <v>5</v>
      </c>
      <c r="BJ47" s="16">
        <v>3</v>
      </c>
      <c r="BK47" s="16">
        <v>0</v>
      </c>
      <c r="BL47" s="16">
        <v>0</v>
      </c>
      <c r="BM47" s="16">
        <v>0</v>
      </c>
      <c r="BN47" s="16">
        <v>0</v>
      </c>
      <c r="BO47" s="16">
        <v>0</v>
      </c>
      <c r="BP47" s="16">
        <v>2</v>
      </c>
    </row>
    <row r="48" spans="1:68" s="5" customFormat="1" ht="21.9" customHeight="1" x14ac:dyDescent="0.25">
      <c r="A48" s="125" t="s">
        <v>92</v>
      </c>
      <c r="B48" s="4"/>
      <c r="C48" s="47" t="s">
        <v>75</v>
      </c>
      <c r="D48" s="48"/>
      <c r="E48" s="16">
        <f t="shared" si="0"/>
        <v>9151</v>
      </c>
      <c r="F48" s="16">
        <v>33</v>
      </c>
      <c r="G48" s="16">
        <v>35</v>
      </c>
      <c r="H48" s="16">
        <v>10</v>
      </c>
      <c r="I48" s="16">
        <v>0</v>
      </c>
      <c r="J48" s="16">
        <v>67</v>
      </c>
      <c r="K48" s="16">
        <v>3</v>
      </c>
      <c r="L48" s="16">
        <v>623</v>
      </c>
      <c r="M48" s="16">
        <v>246</v>
      </c>
      <c r="N48" s="16">
        <v>15</v>
      </c>
      <c r="O48" s="16">
        <v>26</v>
      </c>
      <c r="P48" s="16">
        <v>31</v>
      </c>
      <c r="Q48" s="16">
        <v>1</v>
      </c>
      <c r="R48" s="16">
        <v>108</v>
      </c>
      <c r="S48" s="16">
        <v>197</v>
      </c>
      <c r="T48" s="16">
        <v>34</v>
      </c>
      <c r="U48" s="16">
        <v>103</v>
      </c>
      <c r="V48" s="16">
        <v>453</v>
      </c>
      <c r="W48" s="16">
        <v>6</v>
      </c>
      <c r="X48" s="16">
        <v>192</v>
      </c>
      <c r="Y48" s="16">
        <v>22</v>
      </c>
      <c r="Z48" s="16">
        <v>154</v>
      </c>
      <c r="AA48" s="16">
        <v>115</v>
      </c>
      <c r="AB48" s="16">
        <v>10</v>
      </c>
      <c r="AC48" s="16">
        <v>36</v>
      </c>
      <c r="AD48" s="16">
        <v>51</v>
      </c>
      <c r="AE48" s="16">
        <v>1780</v>
      </c>
      <c r="AF48" s="16">
        <v>699</v>
      </c>
      <c r="AG48" s="16">
        <v>207</v>
      </c>
      <c r="AH48" s="16">
        <v>425</v>
      </c>
      <c r="AI48" s="16">
        <v>52</v>
      </c>
      <c r="AJ48" s="16">
        <v>135</v>
      </c>
      <c r="AK48" s="16">
        <v>2</v>
      </c>
      <c r="AL48" s="98">
        <v>62</v>
      </c>
      <c r="AM48" s="16">
        <v>4</v>
      </c>
      <c r="AN48" s="16">
        <v>2</v>
      </c>
      <c r="AO48" s="16">
        <v>131</v>
      </c>
      <c r="AP48" s="16">
        <v>11</v>
      </c>
      <c r="AQ48" s="16">
        <v>23</v>
      </c>
      <c r="AR48" s="16">
        <v>111</v>
      </c>
      <c r="AS48" s="16">
        <v>18</v>
      </c>
      <c r="AT48" s="16">
        <v>0</v>
      </c>
      <c r="AU48" s="16">
        <v>26</v>
      </c>
      <c r="AV48" s="16">
        <v>434</v>
      </c>
      <c r="AW48" s="16">
        <v>24</v>
      </c>
      <c r="AX48" s="16">
        <v>9</v>
      </c>
      <c r="AY48" s="16">
        <v>179</v>
      </c>
      <c r="AZ48" s="16">
        <v>46</v>
      </c>
      <c r="BA48" s="16">
        <v>1</v>
      </c>
      <c r="BB48" s="16">
        <v>28</v>
      </c>
      <c r="BC48" s="16">
        <v>13</v>
      </c>
      <c r="BD48" s="16">
        <v>0</v>
      </c>
      <c r="BE48" s="16">
        <v>34</v>
      </c>
      <c r="BF48" s="16">
        <v>41</v>
      </c>
      <c r="BG48" s="16">
        <v>103</v>
      </c>
      <c r="BH48" s="16">
        <v>407</v>
      </c>
      <c r="BI48" s="16">
        <v>145</v>
      </c>
      <c r="BJ48" s="16">
        <v>522</v>
      </c>
      <c r="BK48" s="16">
        <v>268</v>
      </c>
      <c r="BL48" s="16">
        <v>463</v>
      </c>
      <c r="BM48" s="16">
        <v>165</v>
      </c>
      <c r="BN48" s="16">
        <v>6</v>
      </c>
      <c r="BO48" s="16">
        <v>0</v>
      </c>
      <c r="BP48" s="16">
        <v>4</v>
      </c>
    </row>
    <row r="49" spans="1:192" s="5" customFormat="1" ht="21.9" customHeight="1" x14ac:dyDescent="0.25">
      <c r="A49" s="125"/>
      <c r="B49" s="4"/>
      <c r="C49" s="47" t="s">
        <v>76</v>
      </c>
      <c r="D49" s="48"/>
      <c r="E49" s="16">
        <f t="shared" si="0"/>
        <v>241</v>
      </c>
      <c r="F49" s="26">
        <v>0</v>
      </c>
      <c r="G49" s="26">
        <v>1</v>
      </c>
      <c r="H49" s="26">
        <v>0</v>
      </c>
      <c r="I49" s="26">
        <v>0</v>
      </c>
      <c r="J49" s="26">
        <v>0</v>
      </c>
      <c r="K49" s="26">
        <v>0</v>
      </c>
      <c r="L49" s="26">
        <v>6</v>
      </c>
      <c r="M49" s="26">
        <v>4</v>
      </c>
      <c r="N49" s="26">
        <v>0</v>
      </c>
      <c r="O49" s="26">
        <v>1</v>
      </c>
      <c r="P49" s="26">
        <v>1</v>
      </c>
      <c r="Q49" s="26">
        <v>1</v>
      </c>
      <c r="R49" s="26">
        <v>10</v>
      </c>
      <c r="S49" s="26">
        <v>10</v>
      </c>
      <c r="T49" s="26">
        <v>1</v>
      </c>
      <c r="U49" s="16">
        <v>4</v>
      </c>
      <c r="V49" s="16">
        <v>8</v>
      </c>
      <c r="W49" s="16">
        <v>0</v>
      </c>
      <c r="X49" s="16">
        <v>1</v>
      </c>
      <c r="Y49" s="16">
        <v>2</v>
      </c>
      <c r="Z49" s="16">
        <v>4</v>
      </c>
      <c r="AA49" s="16">
        <v>2</v>
      </c>
      <c r="AB49" s="16">
        <v>0</v>
      </c>
      <c r="AC49" s="16">
        <v>1</v>
      </c>
      <c r="AD49" s="16">
        <v>4</v>
      </c>
      <c r="AE49" s="16">
        <v>17</v>
      </c>
      <c r="AF49" s="16">
        <v>23</v>
      </c>
      <c r="AG49" s="16">
        <v>1</v>
      </c>
      <c r="AH49" s="16">
        <v>31</v>
      </c>
      <c r="AI49" s="16">
        <v>3</v>
      </c>
      <c r="AJ49" s="16">
        <v>5</v>
      </c>
      <c r="AK49" s="16">
        <v>0</v>
      </c>
      <c r="AL49" s="98">
        <v>6</v>
      </c>
      <c r="AM49" s="16">
        <v>0</v>
      </c>
      <c r="AN49" s="16">
        <v>0</v>
      </c>
      <c r="AO49" s="16">
        <v>3</v>
      </c>
      <c r="AP49" s="16">
        <v>0</v>
      </c>
      <c r="AQ49" s="16">
        <v>0</v>
      </c>
      <c r="AR49" s="16">
        <v>0</v>
      </c>
      <c r="AS49" s="16">
        <v>6</v>
      </c>
      <c r="AT49" s="16">
        <v>0</v>
      </c>
      <c r="AU49" s="16">
        <v>1</v>
      </c>
      <c r="AV49" s="16">
        <v>19</v>
      </c>
      <c r="AW49" s="16">
        <v>0</v>
      </c>
      <c r="AX49" s="16">
        <v>0</v>
      </c>
      <c r="AY49" s="16">
        <v>2</v>
      </c>
      <c r="AZ49" s="16">
        <v>0</v>
      </c>
      <c r="BA49" s="16">
        <v>0</v>
      </c>
      <c r="BB49" s="16">
        <v>0</v>
      </c>
      <c r="BC49" s="16">
        <v>1</v>
      </c>
      <c r="BD49" s="16">
        <v>0</v>
      </c>
      <c r="BE49" s="16">
        <v>1</v>
      </c>
      <c r="BF49" s="16">
        <v>2</v>
      </c>
      <c r="BG49" s="16">
        <v>8</v>
      </c>
      <c r="BH49" s="16">
        <v>21</v>
      </c>
      <c r="BI49" s="16">
        <v>13</v>
      </c>
      <c r="BJ49" s="16">
        <v>9</v>
      </c>
      <c r="BK49" s="16">
        <v>4</v>
      </c>
      <c r="BL49" s="16">
        <v>0</v>
      </c>
      <c r="BM49" s="16">
        <v>4</v>
      </c>
      <c r="BN49" s="16">
        <v>0</v>
      </c>
      <c r="BO49" s="16">
        <v>0</v>
      </c>
      <c r="BP49" s="16">
        <v>0</v>
      </c>
    </row>
    <row r="50" spans="1:192" s="5" customFormat="1" ht="21.9" customHeight="1" x14ac:dyDescent="0.25">
      <c r="A50" s="125" t="s">
        <v>93</v>
      </c>
      <c r="C50" s="47" t="s">
        <v>75</v>
      </c>
      <c r="D50" s="48"/>
      <c r="E50" s="16">
        <f t="shared" si="0"/>
        <v>28224</v>
      </c>
      <c r="F50" s="16">
        <v>502</v>
      </c>
      <c r="G50" s="16">
        <v>35</v>
      </c>
      <c r="H50" s="16">
        <v>12</v>
      </c>
      <c r="I50" s="16">
        <v>0</v>
      </c>
      <c r="J50" s="16">
        <v>32</v>
      </c>
      <c r="K50" s="16">
        <v>169</v>
      </c>
      <c r="L50" s="16">
        <v>1309</v>
      </c>
      <c r="M50" s="16">
        <v>399</v>
      </c>
      <c r="N50" s="16">
        <v>0</v>
      </c>
      <c r="O50" s="16">
        <v>392</v>
      </c>
      <c r="P50" s="16">
        <v>154</v>
      </c>
      <c r="Q50" s="16">
        <v>0</v>
      </c>
      <c r="R50" s="16">
        <v>351</v>
      </c>
      <c r="S50" s="16">
        <v>589</v>
      </c>
      <c r="T50" s="16">
        <v>20</v>
      </c>
      <c r="U50" s="16">
        <v>469</v>
      </c>
      <c r="V50" s="16">
        <v>1748</v>
      </c>
      <c r="W50" s="16">
        <v>31</v>
      </c>
      <c r="X50" s="16">
        <v>303</v>
      </c>
      <c r="Y50" s="16">
        <v>56</v>
      </c>
      <c r="Z50" s="16">
        <v>325</v>
      </c>
      <c r="AA50" s="16">
        <v>176</v>
      </c>
      <c r="AB50" s="16">
        <v>56</v>
      </c>
      <c r="AC50" s="16">
        <v>277</v>
      </c>
      <c r="AD50" s="16">
        <v>420</v>
      </c>
      <c r="AE50" s="16">
        <v>3087</v>
      </c>
      <c r="AF50" s="16">
        <v>3496</v>
      </c>
      <c r="AG50" s="16">
        <v>170</v>
      </c>
      <c r="AH50" s="16">
        <v>3975</v>
      </c>
      <c r="AI50" s="16">
        <v>346</v>
      </c>
      <c r="AJ50" s="16">
        <v>768</v>
      </c>
      <c r="AK50" s="16">
        <v>10</v>
      </c>
      <c r="AL50" s="98">
        <v>271</v>
      </c>
      <c r="AM50" s="16">
        <v>50</v>
      </c>
      <c r="AN50" s="16">
        <v>42</v>
      </c>
      <c r="AO50" s="16">
        <v>439</v>
      </c>
      <c r="AP50" s="16">
        <v>72</v>
      </c>
      <c r="AQ50" s="16">
        <v>33</v>
      </c>
      <c r="AR50" s="16">
        <v>169</v>
      </c>
      <c r="AS50" s="16">
        <v>17</v>
      </c>
      <c r="AT50" s="16">
        <v>7</v>
      </c>
      <c r="AU50" s="16">
        <v>75</v>
      </c>
      <c r="AV50" s="16">
        <v>690</v>
      </c>
      <c r="AW50" s="16">
        <v>773</v>
      </c>
      <c r="AX50" s="16">
        <v>0</v>
      </c>
      <c r="AY50" s="16">
        <v>799</v>
      </c>
      <c r="AZ50" s="16">
        <v>1231</v>
      </c>
      <c r="BA50" s="16">
        <v>0</v>
      </c>
      <c r="BB50" s="16">
        <v>27</v>
      </c>
      <c r="BC50" s="16">
        <v>2</v>
      </c>
      <c r="BD50" s="16">
        <v>98</v>
      </c>
      <c r="BE50" s="16">
        <v>252</v>
      </c>
      <c r="BF50" s="16">
        <v>107</v>
      </c>
      <c r="BG50" s="16">
        <v>1224</v>
      </c>
      <c r="BH50" s="16">
        <v>274</v>
      </c>
      <c r="BI50" s="16">
        <v>774</v>
      </c>
      <c r="BJ50" s="16">
        <v>372</v>
      </c>
      <c r="BK50" s="16">
        <v>8</v>
      </c>
      <c r="BL50" s="16">
        <v>216</v>
      </c>
      <c r="BM50" s="16">
        <v>234</v>
      </c>
      <c r="BN50" s="16">
        <v>0</v>
      </c>
      <c r="BO50" s="16">
        <v>0</v>
      </c>
      <c r="BP50" s="16">
        <v>291</v>
      </c>
    </row>
    <row r="51" spans="1:192" s="5" customFormat="1" ht="21.9" customHeight="1" x14ac:dyDescent="0.25">
      <c r="A51" s="125"/>
      <c r="C51" s="47" t="s">
        <v>76</v>
      </c>
      <c r="D51" s="48"/>
      <c r="E51" s="16">
        <f t="shared" si="0"/>
        <v>43</v>
      </c>
      <c r="F51" s="26">
        <v>0</v>
      </c>
      <c r="G51" s="26">
        <v>0</v>
      </c>
      <c r="H51" s="26">
        <v>0</v>
      </c>
      <c r="I51" s="26">
        <v>0</v>
      </c>
      <c r="J51" s="26">
        <v>0</v>
      </c>
      <c r="K51" s="26">
        <v>0</v>
      </c>
      <c r="L51" s="26">
        <v>0</v>
      </c>
      <c r="M51" s="26">
        <v>0</v>
      </c>
      <c r="N51" s="26">
        <v>0</v>
      </c>
      <c r="O51" s="26">
        <v>1</v>
      </c>
      <c r="P51" s="26">
        <v>0</v>
      </c>
      <c r="Q51" s="26">
        <v>0</v>
      </c>
      <c r="R51" s="26">
        <v>1</v>
      </c>
      <c r="S51" s="26">
        <v>1</v>
      </c>
      <c r="T51" s="26">
        <v>0</v>
      </c>
      <c r="U51" s="16">
        <v>1</v>
      </c>
      <c r="V51" s="16">
        <v>0</v>
      </c>
      <c r="W51" s="16">
        <v>0</v>
      </c>
      <c r="X51" s="16">
        <v>2</v>
      </c>
      <c r="Y51" s="16">
        <v>1</v>
      </c>
      <c r="Z51" s="16">
        <v>1</v>
      </c>
      <c r="AA51" s="16">
        <v>0</v>
      </c>
      <c r="AB51" s="16">
        <v>0</v>
      </c>
      <c r="AC51" s="16">
        <v>2</v>
      </c>
      <c r="AD51" s="16">
        <v>0</v>
      </c>
      <c r="AE51" s="16">
        <v>7</v>
      </c>
      <c r="AF51" s="16">
        <v>0</v>
      </c>
      <c r="AG51" s="16">
        <v>0</v>
      </c>
      <c r="AH51" s="16">
        <v>10</v>
      </c>
      <c r="AI51" s="16">
        <v>3</v>
      </c>
      <c r="AJ51" s="16">
        <v>1</v>
      </c>
      <c r="AK51" s="16">
        <v>0</v>
      </c>
      <c r="AL51" s="98">
        <v>1</v>
      </c>
      <c r="AM51" s="16">
        <v>0</v>
      </c>
      <c r="AN51" s="16">
        <v>0</v>
      </c>
      <c r="AO51" s="16">
        <v>2</v>
      </c>
      <c r="AP51" s="16">
        <v>0</v>
      </c>
      <c r="AQ51" s="16">
        <v>0</v>
      </c>
      <c r="AR51" s="16">
        <v>0</v>
      </c>
      <c r="AS51" s="16">
        <v>2</v>
      </c>
      <c r="AT51" s="16">
        <v>0</v>
      </c>
      <c r="AU51" s="16">
        <v>0</v>
      </c>
      <c r="AV51" s="16">
        <v>1</v>
      </c>
      <c r="AW51" s="16">
        <v>0</v>
      </c>
      <c r="AX51" s="16">
        <v>0</v>
      </c>
      <c r="AY51" s="16">
        <v>0</v>
      </c>
      <c r="AZ51" s="16">
        <v>0</v>
      </c>
      <c r="BA51" s="16">
        <v>0</v>
      </c>
      <c r="BB51" s="16">
        <v>0</v>
      </c>
      <c r="BC51" s="16">
        <v>0</v>
      </c>
      <c r="BD51" s="16">
        <v>0</v>
      </c>
      <c r="BE51" s="16">
        <v>0</v>
      </c>
      <c r="BF51" s="16">
        <v>0</v>
      </c>
      <c r="BG51" s="16">
        <v>0</v>
      </c>
      <c r="BH51" s="16">
        <v>1</v>
      </c>
      <c r="BI51" s="16">
        <v>0</v>
      </c>
      <c r="BJ51" s="16">
        <v>2</v>
      </c>
      <c r="BK51" s="16">
        <v>0</v>
      </c>
      <c r="BL51" s="16">
        <v>3</v>
      </c>
      <c r="BM51" s="16">
        <v>0</v>
      </c>
      <c r="BN51" s="16">
        <v>0</v>
      </c>
      <c r="BO51" s="16">
        <v>0</v>
      </c>
      <c r="BP51" s="16">
        <v>0</v>
      </c>
    </row>
    <row r="52" spans="1:192" s="5" customFormat="1" ht="21.9" customHeight="1" x14ac:dyDescent="0.25">
      <c r="A52" s="125" t="s">
        <v>94</v>
      </c>
      <c r="B52" s="4"/>
      <c r="C52" s="47" t="s">
        <v>75</v>
      </c>
      <c r="D52" s="48"/>
      <c r="E52" s="16">
        <f t="shared" si="0"/>
        <v>20028</v>
      </c>
      <c r="F52" s="16">
        <v>103</v>
      </c>
      <c r="G52" s="16">
        <v>69</v>
      </c>
      <c r="H52" s="16">
        <v>107</v>
      </c>
      <c r="I52" s="16">
        <v>21</v>
      </c>
      <c r="J52" s="16">
        <v>37</v>
      </c>
      <c r="K52" s="16">
        <v>137</v>
      </c>
      <c r="L52" s="16">
        <v>744</v>
      </c>
      <c r="M52" s="16">
        <v>518</v>
      </c>
      <c r="N52" s="16">
        <v>63</v>
      </c>
      <c r="O52" s="16">
        <v>64</v>
      </c>
      <c r="P52" s="16">
        <v>52</v>
      </c>
      <c r="Q52" s="16">
        <v>4</v>
      </c>
      <c r="R52" s="16">
        <v>880</v>
      </c>
      <c r="S52" s="16">
        <v>719</v>
      </c>
      <c r="T52" s="16">
        <v>228</v>
      </c>
      <c r="U52" s="16">
        <v>260</v>
      </c>
      <c r="V52" s="16">
        <v>639</v>
      </c>
      <c r="W52" s="16">
        <v>54</v>
      </c>
      <c r="X52" s="16">
        <v>135</v>
      </c>
      <c r="Y52" s="16">
        <v>71</v>
      </c>
      <c r="Z52" s="16">
        <v>515</v>
      </c>
      <c r="AA52" s="16">
        <v>154</v>
      </c>
      <c r="AB52" s="16">
        <v>190</v>
      </c>
      <c r="AC52" s="16">
        <v>113</v>
      </c>
      <c r="AD52" s="16">
        <v>406</v>
      </c>
      <c r="AE52" s="16">
        <v>3689</v>
      </c>
      <c r="AF52" s="16">
        <v>1252</v>
      </c>
      <c r="AG52" s="16">
        <v>843</v>
      </c>
      <c r="AH52" s="16">
        <v>654</v>
      </c>
      <c r="AI52" s="16">
        <v>115</v>
      </c>
      <c r="AJ52" s="16">
        <v>352</v>
      </c>
      <c r="AK52" s="16">
        <v>6</v>
      </c>
      <c r="AL52" s="98">
        <v>270</v>
      </c>
      <c r="AM52" s="16">
        <v>58</v>
      </c>
      <c r="AN52" s="16">
        <v>53</v>
      </c>
      <c r="AO52" s="16">
        <v>200</v>
      </c>
      <c r="AP52" s="16">
        <v>23</v>
      </c>
      <c r="AQ52" s="16">
        <v>0</v>
      </c>
      <c r="AR52" s="16">
        <v>21</v>
      </c>
      <c r="AS52" s="16">
        <v>86</v>
      </c>
      <c r="AT52" s="16">
        <v>18</v>
      </c>
      <c r="AU52" s="16">
        <v>206</v>
      </c>
      <c r="AV52" s="16">
        <v>1376</v>
      </c>
      <c r="AW52" s="16">
        <v>154</v>
      </c>
      <c r="AX52" s="16">
        <v>9</v>
      </c>
      <c r="AY52" s="16">
        <v>183</v>
      </c>
      <c r="AZ52" s="16">
        <v>101</v>
      </c>
      <c r="BA52" s="16">
        <v>17</v>
      </c>
      <c r="BB52" s="16">
        <v>630</v>
      </c>
      <c r="BC52" s="16">
        <v>215</v>
      </c>
      <c r="BD52" s="16">
        <v>11</v>
      </c>
      <c r="BE52" s="16">
        <v>258</v>
      </c>
      <c r="BF52" s="16">
        <v>467</v>
      </c>
      <c r="BG52" s="16">
        <v>728</v>
      </c>
      <c r="BH52" s="16">
        <v>618</v>
      </c>
      <c r="BI52" s="16">
        <v>41</v>
      </c>
      <c r="BJ52" s="16">
        <v>191</v>
      </c>
      <c r="BK52" s="16">
        <v>32</v>
      </c>
      <c r="BL52" s="16">
        <v>182</v>
      </c>
      <c r="BM52" s="16">
        <v>444</v>
      </c>
      <c r="BN52" s="16">
        <v>24</v>
      </c>
      <c r="BO52" s="16">
        <v>0</v>
      </c>
      <c r="BP52" s="16">
        <v>218</v>
      </c>
    </row>
    <row r="53" spans="1:192" s="5" customFormat="1" ht="21.9" customHeight="1" x14ac:dyDescent="0.25">
      <c r="A53" s="125"/>
      <c r="B53" s="4"/>
      <c r="C53" s="47" t="s">
        <v>76</v>
      </c>
      <c r="D53" s="48"/>
      <c r="E53" s="16">
        <f t="shared" si="0"/>
        <v>157</v>
      </c>
      <c r="F53" s="26">
        <v>0</v>
      </c>
      <c r="G53" s="26">
        <v>0</v>
      </c>
      <c r="H53" s="26">
        <v>0</v>
      </c>
      <c r="I53" s="26">
        <v>0</v>
      </c>
      <c r="J53" s="26">
        <v>0</v>
      </c>
      <c r="K53" s="26">
        <v>1</v>
      </c>
      <c r="L53" s="26">
        <v>3</v>
      </c>
      <c r="M53" s="26">
        <v>1</v>
      </c>
      <c r="N53" s="26">
        <v>0</v>
      </c>
      <c r="O53" s="26">
        <v>1</v>
      </c>
      <c r="P53" s="26">
        <v>1</v>
      </c>
      <c r="Q53" s="26">
        <v>0</v>
      </c>
      <c r="R53" s="26">
        <v>0</v>
      </c>
      <c r="S53" s="26">
        <v>0</v>
      </c>
      <c r="T53" s="26">
        <v>0</v>
      </c>
      <c r="U53" s="16">
        <v>0</v>
      </c>
      <c r="V53" s="16">
        <v>10</v>
      </c>
      <c r="W53" s="16">
        <v>0</v>
      </c>
      <c r="X53" s="16">
        <v>0</v>
      </c>
      <c r="Y53" s="16">
        <v>0</v>
      </c>
      <c r="Z53" s="16">
        <v>3</v>
      </c>
      <c r="AA53" s="16">
        <v>6</v>
      </c>
      <c r="AB53" s="16">
        <v>0</v>
      </c>
      <c r="AC53" s="16">
        <v>0</v>
      </c>
      <c r="AD53" s="16">
        <v>4</v>
      </c>
      <c r="AE53" s="16">
        <v>12</v>
      </c>
      <c r="AF53" s="16">
        <v>9</v>
      </c>
      <c r="AG53" s="16">
        <v>3</v>
      </c>
      <c r="AH53" s="16">
        <v>18</v>
      </c>
      <c r="AI53" s="16">
        <v>1</v>
      </c>
      <c r="AJ53" s="16">
        <v>5</v>
      </c>
      <c r="AK53" s="16">
        <v>0</v>
      </c>
      <c r="AL53" s="98">
        <v>0</v>
      </c>
      <c r="AM53" s="16">
        <v>0</v>
      </c>
      <c r="AN53" s="16">
        <v>0</v>
      </c>
      <c r="AO53" s="16">
        <v>0</v>
      </c>
      <c r="AP53" s="16">
        <v>0</v>
      </c>
      <c r="AQ53" s="16">
        <v>0</v>
      </c>
      <c r="AR53" s="16">
        <v>0</v>
      </c>
      <c r="AS53" s="16">
        <v>13</v>
      </c>
      <c r="AT53" s="16">
        <v>2</v>
      </c>
      <c r="AU53" s="16">
        <v>1</v>
      </c>
      <c r="AV53" s="16">
        <v>7</v>
      </c>
      <c r="AW53" s="16">
        <v>0</v>
      </c>
      <c r="AX53" s="16">
        <v>0</v>
      </c>
      <c r="AY53" s="16">
        <v>1</v>
      </c>
      <c r="AZ53" s="16">
        <v>2</v>
      </c>
      <c r="BA53" s="16">
        <v>1</v>
      </c>
      <c r="BB53" s="16">
        <v>0</v>
      </c>
      <c r="BC53" s="16">
        <v>0</v>
      </c>
      <c r="BD53" s="16">
        <v>0</v>
      </c>
      <c r="BE53" s="16">
        <v>1</v>
      </c>
      <c r="BF53" s="16">
        <v>3</v>
      </c>
      <c r="BG53" s="16">
        <v>20</v>
      </c>
      <c r="BH53" s="16">
        <v>18</v>
      </c>
      <c r="BI53" s="16">
        <v>0</v>
      </c>
      <c r="BJ53" s="16">
        <v>2</v>
      </c>
      <c r="BK53" s="16">
        <v>4</v>
      </c>
      <c r="BL53" s="16">
        <v>3</v>
      </c>
      <c r="BM53" s="16">
        <v>0</v>
      </c>
      <c r="BN53" s="16">
        <v>0</v>
      </c>
      <c r="BO53" s="16">
        <v>0</v>
      </c>
      <c r="BP53" s="16">
        <v>1</v>
      </c>
    </row>
    <row r="54" spans="1:192" s="5" customFormat="1" ht="21.9" customHeight="1" x14ac:dyDescent="0.25">
      <c r="A54" s="125" t="s">
        <v>95</v>
      </c>
      <c r="B54" s="4"/>
      <c r="C54" s="47" t="s">
        <v>75</v>
      </c>
      <c r="D54" s="48"/>
      <c r="E54" s="16">
        <f t="shared" si="0"/>
        <v>2512</v>
      </c>
      <c r="F54" s="16">
        <v>14</v>
      </c>
      <c r="G54" s="16">
        <v>0</v>
      </c>
      <c r="H54" s="16">
        <v>0</v>
      </c>
      <c r="I54" s="16">
        <v>0</v>
      </c>
      <c r="J54" s="16">
        <v>0</v>
      </c>
      <c r="K54" s="16">
        <v>0</v>
      </c>
      <c r="L54" s="16">
        <v>86</v>
      </c>
      <c r="M54" s="16">
        <v>62</v>
      </c>
      <c r="N54" s="16">
        <v>3</v>
      </c>
      <c r="O54" s="16">
        <v>36</v>
      </c>
      <c r="P54" s="16">
        <v>13</v>
      </c>
      <c r="Q54" s="16">
        <v>0</v>
      </c>
      <c r="R54" s="16">
        <v>81</v>
      </c>
      <c r="S54" s="16">
        <v>47</v>
      </c>
      <c r="T54" s="16">
        <v>7</v>
      </c>
      <c r="U54" s="16">
        <v>69</v>
      </c>
      <c r="V54" s="16">
        <v>157</v>
      </c>
      <c r="W54" s="16">
        <v>0</v>
      </c>
      <c r="X54" s="16">
        <v>44</v>
      </c>
      <c r="Y54" s="16">
        <v>0</v>
      </c>
      <c r="Z54" s="16">
        <v>134</v>
      </c>
      <c r="AA54" s="16">
        <v>62</v>
      </c>
      <c r="AB54" s="16">
        <v>1</v>
      </c>
      <c r="AC54" s="16">
        <v>244</v>
      </c>
      <c r="AD54" s="16">
        <v>4</v>
      </c>
      <c r="AE54" s="16">
        <v>170</v>
      </c>
      <c r="AF54" s="16">
        <v>114</v>
      </c>
      <c r="AG54" s="16">
        <v>9</v>
      </c>
      <c r="AH54" s="16">
        <v>259</v>
      </c>
      <c r="AI54" s="16">
        <v>95</v>
      </c>
      <c r="AJ54" s="16">
        <v>25</v>
      </c>
      <c r="AK54" s="16">
        <v>2</v>
      </c>
      <c r="AL54" s="98">
        <v>16</v>
      </c>
      <c r="AM54" s="16">
        <v>0</v>
      </c>
      <c r="AN54" s="16">
        <v>0</v>
      </c>
      <c r="AO54" s="16">
        <v>4</v>
      </c>
      <c r="AP54" s="16">
        <v>6</v>
      </c>
      <c r="AQ54" s="16">
        <v>0</v>
      </c>
      <c r="AR54" s="16">
        <v>0</v>
      </c>
      <c r="AS54" s="16">
        <v>37</v>
      </c>
      <c r="AT54" s="16">
        <v>4</v>
      </c>
      <c r="AU54" s="16">
        <v>0</v>
      </c>
      <c r="AV54" s="16">
        <v>187</v>
      </c>
      <c r="AW54" s="16">
        <v>130</v>
      </c>
      <c r="AX54" s="16">
        <v>0</v>
      </c>
      <c r="AY54" s="16">
        <v>39</v>
      </c>
      <c r="AZ54" s="16">
        <v>0</v>
      </c>
      <c r="BA54" s="16">
        <v>0</v>
      </c>
      <c r="BB54" s="16">
        <v>10</v>
      </c>
      <c r="BC54" s="16">
        <v>1</v>
      </c>
      <c r="BD54" s="16">
        <v>0</v>
      </c>
      <c r="BE54" s="16">
        <v>2</v>
      </c>
      <c r="BF54" s="16">
        <v>31</v>
      </c>
      <c r="BG54" s="16">
        <v>17</v>
      </c>
      <c r="BH54" s="16">
        <v>0</v>
      </c>
      <c r="BI54" s="16">
        <v>0</v>
      </c>
      <c r="BJ54" s="16">
        <v>218</v>
      </c>
      <c r="BK54" s="16">
        <v>6</v>
      </c>
      <c r="BL54" s="16">
        <v>3</v>
      </c>
      <c r="BM54" s="16">
        <v>0</v>
      </c>
      <c r="BN54" s="16">
        <v>1</v>
      </c>
      <c r="BO54" s="16">
        <v>0</v>
      </c>
      <c r="BP54" s="16">
        <v>62</v>
      </c>
    </row>
    <row r="55" spans="1:192" s="5" customFormat="1" ht="21.9" customHeight="1" x14ac:dyDescent="0.25">
      <c r="A55" s="125"/>
      <c r="B55" s="4"/>
      <c r="C55" s="47" t="s">
        <v>76</v>
      </c>
      <c r="D55" s="48"/>
      <c r="E55" s="16">
        <f t="shared" si="0"/>
        <v>29</v>
      </c>
      <c r="F55" s="26">
        <v>0</v>
      </c>
      <c r="G55" s="26">
        <v>0</v>
      </c>
      <c r="H55" s="26">
        <v>0</v>
      </c>
      <c r="I55" s="26">
        <v>0</v>
      </c>
      <c r="J55" s="26">
        <v>0</v>
      </c>
      <c r="K55" s="26">
        <v>0</v>
      </c>
      <c r="L55" s="26">
        <v>0</v>
      </c>
      <c r="M55" s="26">
        <v>0</v>
      </c>
      <c r="N55" s="26">
        <v>0</v>
      </c>
      <c r="O55" s="26">
        <v>0</v>
      </c>
      <c r="P55" s="26">
        <v>0</v>
      </c>
      <c r="Q55" s="26">
        <v>0</v>
      </c>
      <c r="R55" s="26">
        <v>1</v>
      </c>
      <c r="S55" s="26">
        <v>0</v>
      </c>
      <c r="T55" s="26">
        <v>0</v>
      </c>
      <c r="U55" s="16">
        <v>0</v>
      </c>
      <c r="V55" s="16">
        <v>0</v>
      </c>
      <c r="W55" s="16">
        <v>0</v>
      </c>
      <c r="X55" s="16">
        <v>1</v>
      </c>
      <c r="Y55" s="16">
        <v>0</v>
      </c>
      <c r="Z55" s="16">
        <v>0</v>
      </c>
      <c r="AA55" s="16">
        <v>0</v>
      </c>
      <c r="AB55" s="16">
        <v>0</v>
      </c>
      <c r="AC55" s="16">
        <v>1</v>
      </c>
      <c r="AD55" s="16">
        <v>0</v>
      </c>
      <c r="AE55" s="16">
        <v>0</v>
      </c>
      <c r="AF55" s="16">
        <v>0</v>
      </c>
      <c r="AG55" s="16">
        <v>0</v>
      </c>
      <c r="AH55" s="16">
        <v>17</v>
      </c>
      <c r="AI55" s="16">
        <v>0</v>
      </c>
      <c r="AJ55" s="16">
        <v>0</v>
      </c>
      <c r="AK55" s="16">
        <v>0</v>
      </c>
      <c r="AL55" s="98">
        <v>0</v>
      </c>
      <c r="AM55" s="16">
        <v>0</v>
      </c>
      <c r="AN55" s="16">
        <v>0</v>
      </c>
      <c r="AO55" s="16">
        <v>0</v>
      </c>
      <c r="AP55" s="16">
        <v>0</v>
      </c>
      <c r="AQ55" s="16">
        <v>0</v>
      </c>
      <c r="AR55" s="16">
        <v>0</v>
      </c>
      <c r="AS55" s="16">
        <v>1</v>
      </c>
      <c r="AT55" s="16">
        <v>0</v>
      </c>
      <c r="AU55" s="16">
        <v>0</v>
      </c>
      <c r="AV55" s="16">
        <v>7</v>
      </c>
      <c r="AW55" s="16">
        <v>0</v>
      </c>
      <c r="AX55" s="16">
        <v>0</v>
      </c>
      <c r="AY55" s="16">
        <v>0</v>
      </c>
      <c r="AZ55" s="16">
        <v>0</v>
      </c>
      <c r="BA55" s="16">
        <v>0</v>
      </c>
      <c r="BB55" s="16">
        <v>0</v>
      </c>
      <c r="BC55" s="16">
        <v>0</v>
      </c>
      <c r="BD55" s="16">
        <v>0</v>
      </c>
      <c r="BE55" s="16">
        <v>0</v>
      </c>
      <c r="BF55" s="16">
        <v>0</v>
      </c>
      <c r="BG55" s="16">
        <v>0</v>
      </c>
      <c r="BH55" s="16">
        <v>0</v>
      </c>
      <c r="BI55" s="16">
        <v>0</v>
      </c>
      <c r="BJ55" s="16">
        <v>1</v>
      </c>
      <c r="BK55" s="16">
        <v>0</v>
      </c>
      <c r="BL55" s="16">
        <v>0</v>
      </c>
      <c r="BM55" s="16">
        <v>0</v>
      </c>
      <c r="BN55" s="16">
        <v>0</v>
      </c>
      <c r="BO55" s="16">
        <v>0</v>
      </c>
      <c r="BP55" s="16">
        <v>0</v>
      </c>
    </row>
    <row r="56" spans="1:192" s="5" customFormat="1" ht="21.9" customHeight="1" x14ac:dyDescent="0.25">
      <c r="A56" s="125" t="s">
        <v>96</v>
      </c>
      <c r="B56" s="4"/>
      <c r="C56" s="47" t="s">
        <v>75</v>
      </c>
      <c r="D56" s="48"/>
      <c r="E56" s="16">
        <f t="shared" si="0"/>
        <v>1729</v>
      </c>
      <c r="F56" s="16">
        <v>0</v>
      </c>
      <c r="G56" s="16">
        <v>0</v>
      </c>
      <c r="H56" s="16">
        <v>0</v>
      </c>
      <c r="I56" s="16">
        <v>0</v>
      </c>
      <c r="J56" s="16">
        <v>6</v>
      </c>
      <c r="K56" s="16">
        <v>0</v>
      </c>
      <c r="L56" s="16">
        <v>212</v>
      </c>
      <c r="M56" s="16">
        <v>35</v>
      </c>
      <c r="N56" s="16">
        <v>0</v>
      </c>
      <c r="O56" s="16">
        <v>60</v>
      </c>
      <c r="P56" s="16">
        <v>0</v>
      </c>
      <c r="Q56" s="16">
        <v>0</v>
      </c>
      <c r="R56" s="16">
        <v>114</v>
      </c>
      <c r="S56" s="16">
        <v>106</v>
      </c>
      <c r="T56" s="16">
        <v>0</v>
      </c>
      <c r="U56" s="16">
        <v>28</v>
      </c>
      <c r="V56" s="16">
        <v>144</v>
      </c>
      <c r="W56" s="16">
        <v>12</v>
      </c>
      <c r="X56" s="16">
        <v>48</v>
      </c>
      <c r="Y56" s="16">
        <v>5</v>
      </c>
      <c r="Z56" s="16">
        <v>0</v>
      </c>
      <c r="AA56" s="16">
        <v>2</v>
      </c>
      <c r="AB56" s="16">
        <v>0</v>
      </c>
      <c r="AC56" s="16">
        <v>0</v>
      </c>
      <c r="AD56" s="16">
        <v>7</v>
      </c>
      <c r="AE56" s="16">
        <v>22</v>
      </c>
      <c r="AF56" s="16">
        <v>18</v>
      </c>
      <c r="AG56" s="16">
        <v>68</v>
      </c>
      <c r="AH56" s="16">
        <v>570</v>
      </c>
      <c r="AI56" s="16">
        <v>75</v>
      </c>
      <c r="AJ56" s="16">
        <v>18</v>
      </c>
      <c r="AK56" s="16">
        <v>0</v>
      </c>
      <c r="AL56" s="98">
        <v>24</v>
      </c>
      <c r="AM56" s="16">
        <v>0</v>
      </c>
      <c r="AN56" s="16">
        <v>6</v>
      </c>
      <c r="AO56" s="16">
        <v>6</v>
      </c>
      <c r="AP56" s="16">
        <v>0</v>
      </c>
      <c r="AQ56" s="16">
        <v>0</v>
      </c>
      <c r="AR56" s="16">
        <v>0</v>
      </c>
      <c r="AS56" s="16">
        <v>10</v>
      </c>
      <c r="AT56" s="16">
        <v>0</v>
      </c>
      <c r="AU56" s="16">
        <v>0</v>
      </c>
      <c r="AV56" s="16">
        <v>4</v>
      </c>
      <c r="AW56" s="16">
        <v>0</v>
      </c>
      <c r="AX56" s="16">
        <v>0</v>
      </c>
      <c r="AY56" s="16">
        <v>0</v>
      </c>
      <c r="AZ56" s="16">
        <v>0</v>
      </c>
      <c r="BA56" s="16">
        <v>0</v>
      </c>
      <c r="BB56" s="16">
        <v>0</v>
      </c>
      <c r="BC56" s="16">
        <v>0</v>
      </c>
      <c r="BD56" s="16">
        <v>0</v>
      </c>
      <c r="BE56" s="16">
        <v>27</v>
      </c>
      <c r="BF56" s="16">
        <v>48</v>
      </c>
      <c r="BG56" s="16">
        <v>0</v>
      </c>
      <c r="BH56" s="16">
        <v>0</v>
      </c>
      <c r="BI56" s="16">
        <v>0</v>
      </c>
      <c r="BJ56" s="16">
        <v>24</v>
      </c>
      <c r="BK56" s="16">
        <v>0</v>
      </c>
      <c r="BL56" s="16">
        <v>30</v>
      </c>
      <c r="BM56" s="16">
        <v>0</v>
      </c>
      <c r="BN56" s="16">
        <v>0</v>
      </c>
      <c r="BO56" s="16">
        <v>0</v>
      </c>
      <c r="BP56" s="16">
        <v>0</v>
      </c>
    </row>
    <row r="57" spans="1:192" s="5" customFormat="1" ht="21.9" customHeight="1" x14ac:dyDescent="0.25">
      <c r="A57" s="134"/>
      <c r="B57" s="6"/>
      <c r="C57" s="49" t="s">
        <v>76</v>
      </c>
      <c r="D57" s="50"/>
      <c r="E57" s="55">
        <f t="shared" si="0"/>
        <v>12</v>
      </c>
      <c r="F57" s="56">
        <v>0</v>
      </c>
      <c r="G57" s="56">
        <v>0</v>
      </c>
      <c r="H57" s="56">
        <v>0</v>
      </c>
      <c r="I57" s="56">
        <v>0</v>
      </c>
      <c r="J57" s="56">
        <v>0</v>
      </c>
      <c r="K57" s="56">
        <v>0</v>
      </c>
      <c r="L57" s="56">
        <v>0</v>
      </c>
      <c r="M57" s="56">
        <v>0</v>
      </c>
      <c r="N57" s="56">
        <v>0</v>
      </c>
      <c r="O57" s="56">
        <v>0</v>
      </c>
      <c r="P57" s="56">
        <v>0</v>
      </c>
      <c r="Q57" s="56">
        <v>0</v>
      </c>
      <c r="R57" s="56">
        <v>1</v>
      </c>
      <c r="S57" s="56">
        <v>0</v>
      </c>
      <c r="T57" s="56">
        <v>0</v>
      </c>
      <c r="U57" s="56">
        <v>0</v>
      </c>
      <c r="V57" s="57">
        <v>1</v>
      </c>
      <c r="W57" s="56">
        <v>0</v>
      </c>
      <c r="X57" s="57">
        <v>2</v>
      </c>
      <c r="Y57" s="57">
        <v>0</v>
      </c>
      <c r="Z57" s="57">
        <v>0</v>
      </c>
      <c r="AA57" s="57">
        <v>0</v>
      </c>
      <c r="AB57" s="57">
        <v>0</v>
      </c>
      <c r="AC57" s="57">
        <v>0</v>
      </c>
      <c r="AD57" s="57">
        <v>0</v>
      </c>
      <c r="AE57" s="57">
        <v>0</v>
      </c>
      <c r="AF57" s="57">
        <v>0</v>
      </c>
      <c r="AG57" s="57">
        <v>0</v>
      </c>
      <c r="AH57" s="57">
        <v>7</v>
      </c>
      <c r="AI57" s="57">
        <v>0</v>
      </c>
      <c r="AJ57" s="57">
        <v>0</v>
      </c>
      <c r="AK57" s="57">
        <v>0</v>
      </c>
      <c r="AL57" s="55">
        <v>0</v>
      </c>
      <c r="AM57" s="57">
        <v>0</v>
      </c>
      <c r="AN57" s="57">
        <v>0</v>
      </c>
      <c r="AO57" s="57">
        <v>0</v>
      </c>
      <c r="AP57" s="57">
        <v>0</v>
      </c>
      <c r="AQ57" s="57">
        <v>0</v>
      </c>
      <c r="AR57" s="57">
        <v>0</v>
      </c>
      <c r="AS57" s="57">
        <v>0</v>
      </c>
      <c r="AT57" s="57">
        <v>0</v>
      </c>
      <c r="AU57" s="57">
        <v>0</v>
      </c>
      <c r="AV57" s="57">
        <v>1</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row>
    <row r="58" spans="1:192" s="58" customFormat="1" ht="21.9" customHeight="1" x14ac:dyDescent="0.3">
      <c r="AA58" s="59"/>
      <c r="AC58" s="60"/>
      <c r="AG58" s="61"/>
      <c r="AI58" s="62"/>
      <c r="AL58" s="63" t="s">
        <v>191</v>
      </c>
      <c r="AM58" s="63"/>
      <c r="AN58" s="63"/>
      <c r="AO58" s="64"/>
      <c r="AP58" s="64"/>
      <c r="AQ58" s="63" t="s">
        <v>178</v>
      </c>
      <c r="AR58" s="63"/>
      <c r="AS58" s="5"/>
      <c r="AT58" s="63"/>
      <c r="AU58" s="5"/>
      <c r="AW58" s="63"/>
      <c r="AX58" s="5" t="s">
        <v>267</v>
      </c>
      <c r="AY58" s="64"/>
      <c r="AZ58" s="64"/>
      <c r="BA58" s="5"/>
      <c r="BC58" s="63"/>
      <c r="BD58" s="5"/>
      <c r="BE58" s="65"/>
      <c r="BF58" s="64"/>
      <c r="BG58" s="5" t="s">
        <v>180</v>
      </c>
      <c r="BH58" s="5"/>
      <c r="BI58" s="5"/>
      <c r="BJ58" s="5"/>
      <c r="BK58" s="5"/>
      <c r="BM58" s="5"/>
      <c r="BN58" s="62"/>
      <c r="BO58" s="62"/>
      <c r="BP58" s="66"/>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row>
    <row r="59" spans="1:192" s="58" customFormat="1" ht="21.9" customHeight="1" x14ac:dyDescent="0.3">
      <c r="AG59" s="61"/>
      <c r="AI59" s="62"/>
      <c r="AL59" s="63"/>
      <c r="AM59" s="63"/>
      <c r="AN59" s="63"/>
      <c r="AO59" s="64"/>
      <c r="AP59" s="64"/>
      <c r="AQ59" s="64"/>
      <c r="AR59" s="65"/>
      <c r="AS59" s="63"/>
      <c r="AT59" s="63"/>
      <c r="AU59" s="63"/>
      <c r="AW59" s="63"/>
      <c r="AX59" s="65" t="s">
        <v>181</v>
      </c>
      <c r="AY59" s="63"/>
      <c r="AZ59" s="63"/>
      <c r="BA59" s="5"/>
      <c r="BB59" s="63"/>
      <c r="BC59" s="63"/>
      <c r="BD59" s="5"/>
      <c r="BE59" s="65"/>
      <c r="BF59" s="63"/>
      <c r="BG59" s="5"/>
      <c r="BH59" s="65"/>
      <c r="BI59" s="5"/>
      <c r="BJ59" s="63"/>
      <c r="BK59" s="63"/>
      <c r="BL59" s="63"/>
      <c r="BM59" s="5"/>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row>
    <row r="60" spans="1:192" s="58" customFormat="1" ht="21.9" customHeight="1" x14ac:dyDescent="0.3">
      <c r="Z60" s="73"/>
      <c r="AA60" s="74"/>
      <c r="AB60" s="73"/>
      <c r="AC60" s="75"/>
      <c r="AD60" s="75"/>
      <c r="AE60" s="75"/>
      <c r="AF60" s="75"/>
      <c r="AI60" s="62"/>
      <c r="AL60" s="76" t="s">
        <v>192</v>
      </c>
      <c r="AM60" s="5"/>
      <c r="AO60" s="76"/>
      <c r="AP60" s="76"/>
      <c r="AQ60" s="77"/>
      <c r="AR60" s="76"/>
      <c r="AS60" s="104"/>
      <c r="AT60" s="76"/>
      <c r="AU60" s="76"/>
      <c r="AV60" s="76"/>
      <c r="AW60" s="76"/>
      <c r="AX60" s="76"/>
      <c r="AY60" s="77"/>
      <c r="AZ60" s="76"/>
      <c r="BA60" s="76"/>
      <c r="BB60" s="76"/>
      <c r="BC60" s="76"/>
      <c r="BD60" s="59"/>
      <c r="BE60" s="59"/>
      <c r="BF60" s="59"/>
      <c r="BG60" s="75"/>
      <c r="BH60" s="78"/>
      <c r="BI60" s="78"/>
      <c r="BJ60" s="5"/>
      <c r="BK60" s="5"/>
      <c r="BL60" s="5"/>
      <c r="BM60" s="5"/>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row>
    <row r="61" spans="1:192" s="58" customFormat="1" ht="21.9" customHeight="1" x14ac:dyDescent="0.3">
      <c r="Z61" s="73"/>
      <c r="AA61" s="74"/>
      <c r="AB61" s="73"/>
      <c r="AC61" s="75"/>
      <c r="AD61" s="75"/>
      <c r="AE61" s="75"/>
      <c r="AF61" s="75"/>
      <c r="AI61" s="62"/>
      <c r="AL61" s="5" t="s">
        <v>195</v>
      </c>
      <c r="AM61" s="5"/>
      <c r="AO61" s="76"/>
      <c r="AP61" s="76"/>
      <c r="AQ61" s="77"/>
      <c r="AR61" s="76"/>
      <c r="AS61" s="104"/>
      <c r="AT61" s="76"/>
      <c r="AU61" s="76"/>
      <c r="AV61" s="76"/>
      <c r="AW61" s="76"/>
      <c r="AX61" s="76"/>
      <c r="AY61" s="77"/>
      <c r="AZ61" s="76"/>
      <c r="BA61" s="76"/>
      <c r="BB61" s="76"/>
      <c r="BC61" s="76"/>
      <c r="BD61" s="59"/>
      <c r="BE61" s="59"/>
      <c r="BF61" s="59"/>
      <c r="BG61" s="75"/>
      <c r="BH61" s="78"/>
      <c r="BI61" s="78"/>
      <c r="BJ61" s="5"/>
      <c r="BK61" s="5"/>
      <c r="BL61" s="5"/>
      <c r="BM61" s="5"/>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row>
    <row r="62" spans="1:192" s="5" customFormat="1" ht="21.9" customHeight="1" x14ac:dyDescent="0.25"/>
    <row r="63" spans="1:192" s="5" customFormat="1" ht="21.9" customHeight="1" x14ac:dyDescent="0.25"/>
    <row r="64" spans="1:192" s="5" customFormat="1" ht="21.9" customHeight="1" x14ac:dyDescent="0.25"/>
    <row r="65" s="5" customFormat="1" ht="21.9" customHeight="1" x14ac:dyDescent="0.25"/>
  </sheetData>
  <mergeCells count="120">
    <mergeCell ref="A3:AK3"/>
    <mergeCell ref="A4:AK4"/>
    <mergeCell ref="AL4:BP4"/>
    <mergeCell ref="AL3:BP3"/>
    <mergeCell ref="AL1:AM1"/>
    <mergeCell ref="AL2:AM2"/>
    <mergeCell ref="AG1:AH1"/>
    <mergeCell ref="AI1:AK1"/>
    <mergeCell ref="AG2:AH2"/>
    <mergeCell ref="AI2:AK2"/>
    <mergeCell ref="BL1:BM1"/>
    <mergeCell ref="BN1:BP1"/>
    <mergeCell ref="BL2:BM2"/>
    <mergeCell ref="BN2:BP2"/>
    <mergeCell ref="A1:B1"/>
    <mergeCell ref="A2:B2"/>
    <mergeCell ref="G7:G11"/>
    <mergeCell ref="K7:K11"/>
    <mergeCell ref="N7:N11"/>
    <mergeCell ref="AB7:AB11"/>
    <mergeCell ref="U6:AG6"/>
    <mergeCell ref="U7:U11"/>
    <mergeCell ref="W7:W11"/>
    <mergeCell ref="F7:F11"/>
    <mergeCell ref="M7:M11"/>
    <mergeCell ref="L6:N6"/>
    <mergeCell ref="O6:Q6"/>
    <mergeCell ref="R6:T6"/>
    <mergeCell ref="R7:R11"/>
    <mergeCell ref="P7:P11"/>
    <mergeCell ref="Q7:Q11"/>
    <mergeCell ref="S7:S11"/>
    <mergeCell ref="T7:T11"/>
    <mergeCell ref="O7:O11"/>
    <mergeCell ref="L7:L11"/>
    <mergeCell ref="J7:J11"/>
    <mergeCell ref="X7:X11"/>
    <mergeCell ref="Y7:Y11"/>
    <mergeCell ref="Z7:Z11"/>
    <mergeCell ref="V7:V11"/>
    <mergeCell ref="A50:A51"/>
    <mergeCell ref="A22:A23"/>
    <mergeCell ref="A6:D11"/>
    <mergeCell ref="F6:K6"/>
    <mergeCell ref="A30:A31"/>
    <mergeCell ref="A52:A53"/>
    <mergeCell ref="A12:A13"/>
    <mergeCell ref="A14:A15"/>
    <mergeCell ref="A42:A43"/>
    <mergeCell ref="A44:A45"/>
    <mergeCell ref="A48:A49"/>
    <mergeCell ref="A24:A25"/>
    <mergeCell ref="H7:H11"/>
    <mergeCell ref="I7:I11"/>
    <mergeCell ref="A16:A17"/>
    <mergeCell ref="A18:A19"/>
    <mergeCell ref="A46:A47"/>
    <mergeCell ref="A40:A41"/>
    <mergeCell ref="A34:A35"/>
    <mergeCell ref="A32:A33"/>
    <mergeCell ref="A28:A29"/>
    <mergeCell ref="A26:A27"/>
    <mergeCell ref="A20:A21"/>
    <mergeCell ref="E6:E11"/>
    <mergeCell ref="AS6:AT6"/>
    <mergeCell ref="AU6:AW6"/>
    <mergeCell ref="AX6:AY6"/>
    <mergeCell ref="BF7:BF11"/>
    <mergeCell ref="AS7:AS11"/>
    <mergeCell ref="AT7:AT11"/>
    <mergeCell ref="AU7:AU11"/>
    <mergeCell ref="AV7:AV11"/>
    <mergeCell ref="AW7:AW11"/>
    <mergeCell ref="AY7:AY11"/>
    <mergeCell ref="AX7:AX11"/>
    <mergeCell ref="BN6:BP6"/>
    <mergeCell ref="BB6:BC6"/>
    <mergeCell ref="AZ7:AZ11"/>
    <mergeCell ref="BH6:BH11"/>
    <mergeCell ref="AZ6:BA6"/>
    <mergeCell ref="BG7:BG11"/>
    <mergeCell ref="BE6:BG6"/>
    <mergeCell ref="BD6:BD11"/>
    <mergeCell ref="BP7:BP11"/>
    <mergeCell ref="BO7:BO11"/>
    <mergeCell ref="BA7:BA11"/>
    <mergeCell ref="BB7:BB11"/>
    <mergeCell ref="BC7:BC11"/>
    <mergeCell ref="BE7:BE11"/>
    <mergeCell ref="BN7:BN11"/>
    <mergeCell ref="BK7:BK11"/>
    <mergeCell ref="BL7:BL11"/>
    <mergeCell ref="BM7:BM11"/>
    <mergeCell ref="BI6:BI11"/>
    <mergeCell ref="BJ7:BJ11"/>
    <mergeCell ref="BJ6:BM6"/>
    <mergeCell ref="AQ7:AQ11"/>
    <mergeCell ref="AP6:AR6"/>
    <mergeCell ref="A56:A57"/>
    <mergeCell ref="A36:A37"/>
    <mergeCell ref="A38:A39"/>
    <mergeCell ref="AK7:AK11"/>
    <mergeCell ref="AC7:AC11"/>
    <mergeCell ref="AD7:AD11"/>
    <mergeCell ref="AE7:AE11"/>
    <mergeCell ref="AF7:AF11"/>
    <mergeCell ref="AG7:AG11"/>
    <mergeCell ref="AA7:AA11"/>
    <mergeCell ref="A54:A55"/>
    <mergeCell ref="AR7:AR11"/>
    <mergeCell ref="AH6:AK6"/>
    <mergeCell ref="AI7:AI11"/>
    <mergeCell ref="AJ7:AJ11"/>
    <mergeCell ref="AH7:AH11"/>
    <mergeCell ref="AO7:AO11"/>
    <mergeCell ref="AL6:AO6"/>
    <mergeCell ref="AL7:AL11"/>
    <mergeCell ref="AM7:AM11"/>
    <mergeCell ref="AN7:AN11"/>
    <mergeCell ref="AP7:AP11"/>
  </mergeCells>
  <phoneticPr fontId="5" type="noConversion"/>
  <printOptions horizontalCentered="1"/>
  <pageMargins left="0.55118110236220474" right="0.55118110236220474" top="0.59055118110236227" bottom="0.39370078740157483" header="0.59055118110236227" footer="0.59055118110236227"/>
  <pageSetup paperSize="8" scale="65" firstPageNumber="41" pageOrder="overThenDown" orientation="landscape" r:id="rId1"/>
  <headerFooter alignWithMargins="0"/>
  <colBreaks count="1" manualBreakCount="1">
    <brk id="37"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J65"/>
  <sheetViews>
    <sheetView zoomScale="80" zoomScaleNormal="80" workbookViewId="0">
      <selection activeCell="A4" sqref="A4:AK4"/>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8" width="16" style="1" customWidth="1"/>
    <col min="69" max="16384" width="9.6640625" style="1"/>
  </cols>
  <sheetData>
    <row r="1" spans="1:74"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F1" s="70"/>
      <c r="AG1" s="183" t="s">
        <v>45</v>
      </c>
      <c r="AH1" s="171"/>
      <c r="AI1" s="172" t="s">
        <v>46</v>
      </c>
      <c r="AJ1" s="173"/>
      <c r="AK1" s="174"/>
      <c r="AL1" s="161" t="s">
        <v>44</v>
      </c>
      <c r="AM1" s="162"/>
      <c r="AN1" s="35"/>
      <c r="AO1" s="5"/>
      <c r="AP1" s="5"/>
      <c r="AQ1" s="5"/>
      <c r="AR1" s="5"/>
      <c r="AS1" s="5"/>
      <c r="AT1" s="5"/>
      <c r="AU1" s="5"/>
      <c r="AV1" s="5"/>
      <c r="AW1" s="5"/>
      <c r="AX1" s="5"/>
      <c r="AY1" s="5"/>
      <c r="AZ1" s="5"/>
      <c r="BA1" s="5"/>
      <c r="BB1" s="5"/>
      <c r="BC1" s="5"/>
      <c r="BD1" s="5"/>
      <c r="BE1" s="5"/>
      <c r="BF1" s="5"/>
      <c r="BG1" s="5"/>
      <c r="BH1" s="5"/>
      <c r="BI1" s="38"/>
      <c r="BK1" s="69"/>
      <c r="BL1" s="170" t="s">
        <v>45</v>
      </c>
      <c r="BM1" s="171"/>
      <c r="BN1" s="172" t="s">
        <v>46</v>
      </c>
      <c r="BO1" s="173"/>
      <c r="BP1" s="174"/>
      <c r="BQ1" s="38"/>
      <c r="BR1" s="38"/>
    </row>
    <row r="2" spans="1:74"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41"/>
      <c r="AF2" s="71"/>
      <c r="AG2" s="184" t="s">
        <v>187</v>
      </c>
      <c r="AH2" s="166"/>
      <c r="AI2" s="167" t="s">
        <v>10</v>
      </c>
      <c r="AJ2" s="168"/>
      <c r="AK2" s="168"/>
      <c r="AL2" s="163" t="s">
        <v>279</v>
      </c>
      <c r="AM2" s="164"/>
      <c r="AN2" s="7" t="s">
        <v>290</v>
      </c>
      <c r="AO2" s="33"/>
      <c r="AP2" s="33"/>
      <c r="AQ2" s="33"/>
      <c r="AR2" s="33"/>
      <c r="AS2" s="33"/>
      <c r="AT2" s="33"/>
      <c r="AU2" s="33"/>
      <c r="AV2" s="33"/>
      <c r="AW2" s="33"/>
      <c r="AX2" s="33"/>
      <c r="AY2" s="33"/>
      <c r="AZ2" s="33"/>
      <c r="BA2" s="33"/>
      <c r="BB2" s="33"/>
      <c r="BC2" s="33"/>
      <c r="BD2" s="33"/>
      <c r="BE2" s="33"/>
      <c r="BF2" s="33"/>
      <c r="BG2" s="33"/>
      <c r="BH2" s="33"/>
      <c r="BI2" s="42"/>
      <c r="BJ2" s="41"/>
      <c r="BK2" s="72"/>
      <c r="BL2" s="165" t="s">
        <v>187</v>
      </c>
      <c r="BM2" s="166"/>
      <c r="BN2" s="167" t="s">
        <v>10</v>
      </c>
      <c r="BO2" s="168"/>
      <c r="BP2" s="169"/>
      <c r="BQ2" s="43"/>
      <c r="BR2" s="43"/>
    </row>
    <row r="3" spans="1:74" s="53" customFormat="1" ht="30" customHeight="1" x14ac:dyDescent="0.25">
      <c r="A3" s="159" t="s">
        <v>384</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85" t="s">
        <v>387</v>
      </c>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96"/>
      <c r="BR3" s="96"/>
      <c r="BS3" s="96"/>
      <c r="BT3" s="96"/>
      <c r="BU3" s="96"/>
      <c r="BV3" s="96"/>
    </row>
    <row r="4" spans="1:74" s="37" customFormat="1" ht="26.1" customHeight="1" x14ac:dyDescent="0.25">
      <c r="A4" s="160" t="s">
        <v>288</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86" t="s">
        <v>289</v>
      </c>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row>
    <row r="5" spans="1:74" s="37" customFormat="1" ht="20.100000000000001" customHeight="1" x14ac:dyDescent="0.25">
      <c r="A5" s="40"/>
      <c r="B5" s="41"/>
      <c r="C5" s="41"/>
      <c r="D5" s="67"/>
      <c r="E5" s="67"/>
      <c r="F5" s="67"/>
      <c r="G5" s="67"/>
      <c r="H5" s="67"/>
      <c r="I5" s="67"/>
      <c r="J5" s="67"/>
      <c r="K5" s="67"/>
      <c r="L5" s="67"/>
      <c r="M5" s="67"/>
      <c r="N5" s="67"/>
      <c r="O5" s="41"/>
      <c r="P5" s="67"/>
      <c r="Q5" s="41"/>
      <c r="R5" s="67"/>
      <c r="S5" s="44"/>
      <c r="T5" s="67"/>
      <c r="U5" s="33"/>
      <c r="V5" s="33"/>
      <c r="W5" s="33"/>
      <c r="X5" s="68"/>
      <c r="Y5" s="5"/>
      <c r="Z5" s="33"/>
      <c r="AA5" s="33"/>
      <c r="AB5" s="33"/>
      <c r="AC5" s="33"/>
      <c r="AD5" s="33"/>
      <c r="AE5" s="33"/>
      <c r="AF5" s="33"/>
      <c r="AH5" s="33"/>
      <c r="AI5" s="33"/>
      <c r="AJ5" s="45"/>
      <c r="AK5" s="45" t="s">
        <v>48</v>
      </c>
      <c r="AL5" s="97"/>
      <c r="AM5" s="33"/>
      <c r="AN5" s="33"/>
      <c r="AO5" s="5"/>
      <c r="AP5" s="33"/>
      <c r="AQ5" s="33"/>
      <c r="AR5" s="33"/>
      <c r="AS5" s="33"/>
      <c r="AT5" s="33"/>
      <c r="AU5" s="33"/>
      <c r="AV5" s="33"/>
      <c r="AW5" s="33"/>
      <c r="AX5" s="44"/>
      <c r="AY5" s="45"/>
      <c r="AZ5" s="45"/>
      <c r="BA5" s="45"/>
      <c r="BB5" s="45"/>
      <c r="BC5" s="5"/>
      <c r="BD5" s="33"/>
      <c r="BE5" s="33"/>
      <c r="BF5" s="33"/>
      <c r="BG5" s="33"/>
      <c r="BH5" s="33"/>
      <c r="BI5" s="33"/>
      <c r="BJ5" s="5"/>
      <c r="BK5" s="5"/>
      <c r="BL5" s="5"/>
      <c r="BM5" s="5"/>
      <c r="BN5" s="5"/>
      <c r="BP5" s="45" t="s">
        <v>48</v>
      </c>
    </row>
    <row r="6" spans="1:74" s="5" customFormat="1" ht="27.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45" t="s">
        <v>55</v>
      </c>
      <c r="V6" s="146"/>
      <c r="W6" s="146"/>
      <c r="X6" s="146"/>
      <c r="Y6" s="146"/>
      <c r="Z6" s="146"/>
      <c r="AA6" s="146"/>
      <c r="AB6" s="146"/>
      <c r="AC6" s="146"/>
      <c r="AD6" s="146"/>
      <c r="AE6" s="146"/>
      <c r="AF6" s="146"/>
      <c r="AG6" s="147"/>
      <c r="AH6" s="131" t="s">
        <v>276</v>
      </c>
      <c r="AI6" s="146"/>
      <c r="AJ6" s="146"/>
      <c r="AK6" s="146"/>
      <c r="AL6" s="131" t="s">
        <v>9</v>
      </c>
      <c r="AM6" s="146"/>
      <c r="AN6" s="146"/>
      <c r="AO6" s="146"/>
      <c r="AP6" s="141" t="s">
        <v>149</v>
      </c>
      <c r="AQ6" s="141"/>
      <c r="AR6" s="141"/>
      <c r="AS6" s="141" t="s">
        <v>277</v>
      </c>
      <c r="AT6" s="141"/>
      <c r="AU6" s="141" t="s">
        <v>58</v>
      </c>
      <c r="AV6" s="141"/>
      <c r="AW6" s="141"/>
      <c r="AX6" s="141" t="s">
        <v>127</v>
      </c>
      <c r="AY6" s="141"/>
      <c r="AZ6" s="141" t="s">
        <v>278</v>
      </c>
      <c r="BA6" s="141"/>
      <c r="BB6" s="141" t="s">
        <v>61</v>
      </c>
      <c r="BC6" s="141"/>
      <c r="BD6" s="176" t="s">
        <v>2</v>
      </c>
      <c r="BE6" s="141" t="s">
        <v>63</v>
      </c>
      <c r="BF6" s="141"/>
      <c r="BG6" s="141"/>
      <c r="BH6" s="176" t="s">
        <v>36</v>
      </c>
      <c r="BI6" s="180" t="s">
        <v>64</v>
      </c>
      <c r="BJ6" s="175" t="s">
        <v>97</v>
      </c>
      <c r="BK6" s="181"/>
      <c r="BL6" s="181"/>
      <c r="BM6" s="182"/>
      <c r="BN6" s="141" t="s">
        <v>65</v>
      </c>
      <c r="BO6" s="141"/>
      <c r="BP6" s="175"/>
    </row>
    <row r="7" spans="1:74" s="5" customFormat="1" ht="30" customHeight="1" x14ac:dyDescent="0.25">
      <c r="A7" s="125"/>
      <c r="B7" s="125"/>
      <c r="C7" s="125"/>
      <c r="D7" s="125"/>
      <c r="E7" s="136"/>
      <c r="F7" s="139" t="s">
        <v>154</v>
      </c>
      <c r="G7" s="139" t="s">
        <v>155</v>
      </c>
      <c r="H7" s="139" t="s">
        <v>230</v>
      </c>
      <c r="I7" s="139" t="s">
        <v>199</v>
      </c>
      <c r="J7" s="139" t="s">
        <v>106</v>
      </c>
      <c r="K7" s="139" t="s">
        <v>200</v>
      </c>
      <c r="L7" s="139" t="s">
        <v>156</v>
      </c>
      <c r="M7" s="130" t="s">
        <v>333</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2" t="s">
        <v>268</v>
      </c>
      <c r="AC7" s="139" t="s">
        <v>99</v>
      </c>
      <c r="AD7" s="139" t="s">
        <v>114</v>
      </c>
      <c r="AE7" s="139" t="s">
        <v>162</v>
      </c>
      <c r="AF7" s="139" t="s">
        <v>137</v>
      </c>
      <c r="AG7" s="139" t="s">
        <v>100</v>
      </c>
      <c r="AH7" s="139" t="s">
        <v>122</v>
      </c>
      <c r="AI7" s="139" t="s">
        <v>101</v>
      </c>
      <c r="AJ7" s="139" t="s">
        <v>222</v>
      </c>
      <c r="AK7" s="179" t="s">
        <v>223</v>
      </c>
      <c r="AL7" s="139" t="s">
        <v>115</v>
      </c>
      <c r="AM7" s="139" t="s">
        <v>102</v>
      </c>
      <c r="AN7" s="139" t="s">
        <v>109</v>
      </c>
      <c r="AO7" s="139" t="s">
        <v>123</v>
      </c>
      <c r="AP7" s="130" t="s">
        <v>274</v>
      </c>
      <c r="AQ7" s="157" t="s">
        <v>233</v>
      </c>
      <c r="AR7" s="139" t="s">
        <v>183</v>
      </c>
      <c r="AS7" s="139" t="s">
        <v>124</v>
      </c>
      <c r="AT7" s="139" t="s">
        <v>269</v>
      </c>
      <c r="AU7" s="139" t="s">
        <v>103</v>
      </c>
      <c r="AV7" s="139" t="s">
        <v>270</v>
      </c>
      <c r="AW7" s="139" t="s">
        <v>104</v>
      </c>
      <c r="AX7" s="139" t="s">
        <v>105</v>
      </c>
      <c r="AY7" s="139" t="s">
        <v>125</v>
      </c>
      <c r="AZ7" s="139" t="s">
        <v>224</v>
      </c>
      <c r="BA7" s="139" t="s">
        <v>225</v>
      </c>
      <c r="BB7" s="139" t="s">
        <v>110</v>
      </c>
      <c r="BC7" s="139" t="s">
        <v>111</v>
      </c>
      <c r="BD7" s="177"/>
      <c r="BE7" s="139" t="s">
        <v>116</v>
      </c>
      <c r="BF7" s="139" t="s">
        <v>73</v>
      </c>
      <c r="BG7" s="130" t="s">
        <v>273</v>
      </c>
      <c r="BH7" s="177"/>
      <c r="BI7" s="177"/>
      <c r="BJ7" s="139" t="s">
        <v>119</v>
      </c>
      <c r="BK7" s="139" t="s">
        <v>74</v>
      </c>
      <c r="BL7" s="132" t="s">
        <v>272</v>
      </c>
      <c r="BM7" s="139" t="s">
        <v>126</v>
      </c>
      <c r="BN7" s="139" t="s">
        <v>271</v>
      </c>
      <c r="BO7" s="139" t="s">
        <v>117</v>
      </c>
      <c r="BP7" s="179" t="s">
        <v>205</v>
      </c>
    </row>
    <row r="8" spans="1:74"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79"/>
      <c r="AL8" s="139"/>
      <c r="AM8" s="139"/>
      <c r="AN8" s="139"/>
      <c r="AO8" s="139"/>
      <c r="AP8" s="139"/>
      <c r="AQ8" s="158"/>
      <c r="AR8" s="139"/>
      <c r="AS8" s="139"/>
      <c r="AT8" s="139"/>
      <c r="AU8" s="139"/>
      <c r="AV8" s="139"/>
      <c r="AW8" s="139"/>
      <c r="AX8" s="139"/>
      <c r="AY8" s="139"/>
      <c r="AZ8" s="139"/>
      <c r="BA8" s="139"/>
      <c r="BB8" s="139"/>
      <c r="BC8" s="139"/>
      <c r="BD8" s="177"/>
      <c r="BE8" s="139"/>
      <c r="BF8" s="139"/>
      <c r="BG8" s="139"/>
      <c r="BH8" s="177"/>
      <c r="BI8" s="177"/>
      <c r="BJ8" s="139"/>
      <c r="BK8" s="139"/>
      <c r="BL8" s="139"/>
      <c r="BM8" s="139"/>
      <c r="BN8" s="139"/>
      <c r="BO8" s="139"/>
      <c r="BP8" s="179"/>
    </row>
    <row r="9" spans="1:74"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79"/>
      <c r="AL9" s="139"/>
      <c r="AM9" s="139"/>
      <c r="AN9" s="139"/>
      <c r="AO9" s="139"/>
      <c r="AP9" s="139"/>
      <c r="AQ9" s="158"/>
      <c r="AR9" s="139"/>
      <c r="AS9" s="139"/>
      <c r="AT9" s="139"/>
      <c r="AU9" s="139"/>
      <c r="AV9" s="139"/>
      <c r="AW9" s="139"/>
      <c r="AX9" s="139"/>
      <c r="AY9" s="139"/>
      <c r="AZ9" s="139"/>
      <c r="BA9" s="139"/>
      <c r="BB9" s="139"/>
      <c r="BC9" s="139"/>
      <c r="BD9" s="177"/>
      <c r="BE9" s="139"/>
      <c r="BF9" s="139"/>
      <c r="BG9" s="139"/>
      <c r="BH9" s="177"/>
      <c r="BI9" s="177"/>
      <c r="BJ9" s="139"/>
      <c r="BK9" s="139"/>
      <c r="BL9" s="139"/>
      <c r="BM9" s="139"/>
      <c r="BN9" s="139"/>
      <c r="BO9" s="139"/>
      <c r="BP9" s="179"/>
    </row>
    <row r="10" spans="1:74"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79"/>
      <c r="AL10" s="139"/>
      <c r="AM10" s="139"/>
      <c r="AN10" s="139"/>
      <c r="AO10" s="139"/>
      <c r="AP10" s="139"/>
      <c r="AQ10" s="158"/>
      <c r="AR10" s="139"/>
      <c r="AS10" s="139"/>
      <c r="AT10" s="139"/>
      <c r="AU10" s="139"/>
      <c r="AV10" s="139"/>
      <c r="AW10" s="139"/>
      <c r="AX10" s="139"/>
      <c r="AY10" s="139"/>
      <c r="AZ10" s="139"/>
      <c r="BA10" s="139"/>
      <c r="BB10" s="139"/>
      <c r="BC10" s="139"/>
      <c r="BD10" s="177"/>
      <c r="BE10" s="139"/>
      <c r="BF10" s="139"/>
      <c r="BG10" s="139"/>
      <c r="BH10" s="177"/>
      <c r="BI10" s="177"/>
      <c r="BJ10" s="139"/>
      <c r="BK10" s="139"/>
      <c r="BL10" s="139"/>
      <c r="BM10" s="139"/>
      <c r="BN10" s="139"/>
      <c r="BO10" s="139"/>
      <c r="BP10" s="179"/>
    </row>
    <row r="11" spans="1:74"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79"/>
      <c r="AL11" s="139"/>
      <c r="AM11" s="139"/>
      <c r="AN11" s="139"/>
      <c r="AO11" s="139"/>
      <c r="AP11" s="139"/>
      <c r="AQ11" s="158"/>
      <c r="AR11" s="139"/>
      <c r="AS11" s="139"/>
      <c r="AT11" s="139"/>
      <c r="AU11" s="139"/>
      <c r="AV11" s="139"/>
      <c r="AW11" s="139"/>
      <c r="AX11" s="139"/>
      <c r="AY11" s="139"/>
      <c r="AZ11" s="139"/>
      <c r="BA11" s="139"/>
      <c r="BB11" s="139"/>
      <c r="BC11" s="139"/>
      <c r="BD11" s="178"/>
      <c r="BE11" s="139"/>
      <c r="BF11" s="139"/>
      <c r="BG11" s="139"/>
      <c r="BH11" s="178"/>
      <c r="BI11" s="178"/>
      <c r="BJ11" s="139"/>
      <c r="BK11" s="139"/>
      <c r="BL11" s="139"/>
      <c r="BM11" s="139"/>
      <c r="BN11" s="139"/>
      <c r="BO11" s="139"/>
      <c r="BP11" s="179"/>
    </row>
    <row r="12" spans="1:74" s="3" customFormat="1" ht="21.9" customHeight="1" x14ac:dyDescent="0.25">
      <c r="A12" s="125" t="s">
        <v>343</v>
      </c>
      <c r="B12" s="32"/>
      <c r="C12" s="51" t="s">
        <v>75</v>
      </c>
      <c r="D12" s="52"/>
      <c r="E12" s="16">
        <v>485652</v>
      </c>
      <c r="F12" s="16">
        <v>4711</v>
      </c>
      <c r="G12" s="16">
        <v>4022</v>
      </c>
      <c r="H12" s="16">
        <v>2327</v>
      </c>
      <c r="I12" s="16">
        <v>314</v>
      </c>
      <c r="J12" s="16">
        <v>1885</v>
      </c>
      <c r="K12" s="16">
        <v>2530</v>
      </c>
      <c r="L12" s="16">
        <v>16559</v>
      </c>
      <c r="M12" s="16">
        <v>7677</v>
      </c>
      <c r="N12" s="16">
        <v>1346</v>
      </c>
      <c r="O12" s="16">
        <v>5734</v>
      </c>
      <c r="P12" s="16">
        <v>1998</v>
      </c>
      <c r="Q12" s="16">
        <v>82</v>
      </c>
      <c r="R12" s="16">
        <v>6391</v>
      </c>
      <c r="S12" s="16">
        <v>6712</v>
      </c>
      <c r="T12" s="16">
        <v>3855</v>
      </c>
      <c r="U12" s="16">
        <v>10690</v>
      </c>
      <c r="V12" s="16">
        <v>27534</v>
      </c>
      <c r="W12" s="16">
        <v>2888</v>
      </c>
      <c r="X12" s="16">
        <v>5901</v>
      </c>
      <c r="Y12" s="16">
        <v>3646</v>
      </c>
      <c r="Z12" s="16">
        <v>13730</v>
      </c>
      <c r="AA12" s="16">
        <v>5548</v>
      </c>
      <c r="AB12" s="16">
        <v>4184</v>
      </c>
      <c r="AC12" s="16">
        <v>2865</v>
      </c>
      <c r="AD12" s="16">
        <v>5196</v>
      </c>
      <c r="AE12" s="16">
        <v>62786</v>
      </c>
      <c r="AF12" s="16">
        <v>33864</v>
      </c>
      <c r="AG12" s="16">
        <v>9828</v>
      </c>
      <c r="AH12" s="16">
        <v>21092</v>
      </c>
      <c r="AI12" s="16">
        <v>4341</v>
      </c>
      <c r="AJ12" s="16">
        <v>7094</v>
      </c>
      <c r="AK12" s="16">
        <v>755</v>
      </c>
      <c r="AL12" s="103">
        <v>3451</v>
      </c>
      <c r="AM12" s="16">
        <v>1629</v>
      </c>
      <c r="AN12" s="16">
        <v>1441</v>
      </c>
      <c r="AO12" s="16">
        <v>7181</v>
      </c>
      <c r="AP12" s="16">
        <v>1539</v>
      </c>
      <c r="AQ12" s="16">
        <v>1063</v>
      </c>
      <c r="AR12" s="16">
        <v>3137</v>
      </c>
      <c r="AS12" s="16">
        <v>2738</v>
      </c>
      <c r="AT12" s="16">
        <v>1066</v>
      </c>
      <c r="AU12" s="16">
        <v>5906</v>
      </c>
      <c r="AV12" s="16">
        <v>38122</v>
      </c>
      <c r="AW12" s="16">
        <v>8945</v>
      </c>
      <c r="AX12" s="16">
        <v>1417</v>
      </c>
      <c r="AY12" s="16">
        <v>18866</v>
      </c>
      <c r="AZ12" s="16">
        <v>6977</v>
      </c>
      <c r="BA12" s="16">
        <v>1067</v>
      </c>
      <c r="BB12" s="16">
        <v>3009</v>
      </c>
      <c r="BC12" s="16">
        <v>2172</v>
      </c>
      <c r="BD12" s="16">
        <v>2166</v>
      </c>
      <c r="BE12" s="16">
        <v>11152</v>
      </c>
      <c r="BF12" s="16">
        <v>7475</v>
      </c>
      <c r="BG12" s="16">
        <v>11054</v>
      </c>
      <c r="BH12" s="16">
        <v>5781</v>
      </c>
      <c r="BI12" s="16">
        <v>8420</v>
      </c>
      <c r="BJ12" s="16">
        <v>10441</v>
      </c>
      <c r="BK12" s="16">
        <v>5495</v>
      </c>
      <c r="BL12" s="16">
        <v>4981</v>
      </c>
      <c r="BM12" s="16">
        <v>4697</v>
      </c>
      <c r="BN12" s="16">
        <v>2556</v>
      </c>
      <c r="BO12" s="16">
        <v>3137</v>
      </c>
      <c r="BP12" s="16">
        <v>10486</v>
      </c>
    </row>
    <row r="13" spans="1:74" s="3" customFormat="1" ht="21.9" customHeight="1" x14ac:dyDescent="0.25">
      <c r="A13" s="125"/>
      <c r="B13" s="5"/>
      <c r="C13" s="47" t="s">
        <v>76</v>
      </c>
      <c r="D13" s="48"/>
      <c r="E13" s="16">
        <v>5375</v>
      </c>
      <c r="F13" s="26">
        <v>12</v>
      </c>
      <c r="G13" s="26">
        <v>2</v>
      </c>
      <c r="H13" s="26">
        <v>4</v>
      </c>
      <c r="I13" s="26">
        <v>0</v>
      </c>
      <c r="J13" s="26">
        <v>3</v>
      </c>
      <c r="K13" s="26">
        <v>25</v>
      </c>
      <c r="L13" s="26">
        <v>110</v>
      </c>
      <c r="M13" s="26">
        <v>51</v>
      </c>
      <c r="N13" s="26">
        <v>6</v>
      </c>
      <c r="O13" s="26">
        <v>17</v>
      </c>
      <c r="P13" s="26">
        <v>39</v>
      </c>
      <c r="Q13" s="26">
        <v>1</v>
      </c>
      <c r="R13" s="26">
        <v>160</v>
      </c>
      <c r="S13" s="26">
        <v>114</v>
      </c>
      <c r="T13" s="26">
        <v>24</v>
      </c>
      <c r="U13" s="26">
        <v>80</v>
      </c>
      <c r="V13" s="26">
        <v>227</v>
      </c>
      <c r="W13" s="26">
        <v>13</v>
      </c>
      <c r="X13" s="26">
        <v>88</v>
      </c>
      <c r="Y13" s="26">
        <v>30</v>
      </c>
      <c r="Z13" s="26">
        <v>88</v>
      </c>
      <c r="AA13" s="26">
        <v>70</v>
      </c>
      <c r="AB13" s="26">
        <v>9</v>
      </c>
      <c r="AC13" s="26">
        <v>54</v>
      </c>
      <c r="AD13" s="26">
        <v>45</v>
      </c>
      <c r="AE13" s="26">
        <v>378</v>
      </c>
      <c r="AF13" s="26">
        <v>222</v>
      </c>
      <c r="AG13" s="26">
        <v>66</v>
      </c>
      <c r="AH13" s="26">
        <v>741</v>
      </c>
      <c r="AI13" s="26">
        <v>108</v>
      </c>
      <c r="AJ13" s="26">
        <v>117</v>
      </c>
      <c r="AK13" s="26">
        <v>9</v>
      </c>
      <c r="AL13" s="99">
        <v>99</v>
      </c>
      <c r="AM13" s="26">
        <v>22</v>
      </c>
      <c r="AN13" s="26">
        <v>5</v>
      </c>
      <c r="AO13" s="26">
        <v>76</v>
      </c>
      <c r="AP13" s="26">
        <v>1</v>
      </c>
      <c r="AQ13" s="26">
        <v>0</v>
      </c>
      <c r="AR13" s="26">
        <v>10</v>
      </c>
      <c r="AS13" s="26">
        <v>210</v>
      </c>
      <c r="AT13" s="26">
        <v>42</v>
      </c>
      <c r="AU13" s="26">
        <v>7</v>
      </c>
      <c r="AV13" s="26">
        <v>361</v>
      </c>
      <c r="AW13" s="26">
        <v>69</v>
      </c>
      <c r="AX13" s="26">
        <v>3</v>
      </c>
      <c r="AY13" s="26">
        <v>34</v>
      </c>
      <c r="AZ13" s="26">
        <v>44</v>
      </c>
      <c r="BA13" s="26">
        <v>15</v>
      </c>
      <c r="BB13" s="26">
        <v>61</v>
      </c>
      <c r="BC13" s="26">
        <v>28</v>
      </c>
      <c r="BD13" s="26">
        <v>63</v>
      </c>
      <c r="BE13" s="26">
        <v>16</v>
      </c>
      <c r="BF13" s="26">
        <v>78</v>
      </c>
      <c r="BG13" s="26">
        <v>171</v>
      </c>
      <c r="BH13" s="26">
        <v>412</v>
      </c>
      <c r="BI13" s="26">
        <v>26</v>
      </c>
      <c r="BJ13" s="26">
        <v>234</v>
      </c>
      <c r="BK13" s="26">
        <v>167</v>
      </c>
      <c r="BL13" s="26">
        <v>42</v>
      </c>
      <c r="BM13" s="26">
        <v>14</v>
      </c>
      <c r="BN13" s="26">
        <v>0</v>
      </c>
      <c r="BO13" s="26">
        <v>0</v>
      </c>
      <c r="BP13" s="26">
        <v>152</v>
      </c>
    </row>
    <row r="14" spans="1:74" s="5" customFormat="1" ht="21.9" customHeight="1" x14ac:dyDescent="0.25">
      <c r="A14" s="125" t="s">
        <v>344</v>
      </c>
      <c r="B14" s="4"/>
      <c r="C14" s="47" t="s">
        <v>75</v>
      </c>
      <c r="D14" s="48"/>
      <c r="E14" s="16">
        <v>54869</v>
      </c>
      <c r="F14" s="16">
        <v>612</v>
      </c>
      <c r="G14" s="16">
        <v>841</v>
      </c>
      <c r="H14" s="16">
        <v>382</v>
      </c>
      <c r="I14" s="16">
        <v>6</v>
      </c>
      <c r="J14" s="16">
        <v>11</v>
      </c>
      <c r="K14" s="16">
        <v>259</v>
      </c>
      <c r="L14" s="16">
        <v>1044</v>
      </c>
      <c r="M14" s="16">
        <v>234</v>
      </c>
      <c r="N14" s="16">
        <v>6</v>
      </c>
      <c r="O14" s="16">
        <v>185</v>
      </c>
      <c r="P14" s="16">
        <v>198</v>
      </c>
      <c r="Q14" s="16">
        <v>0</v>
      </c>
      <c r="R14" s="16">
        <v>494</v>
      </c>
      <c r="S14" s="16">
        <v>532</v>
      </c>
      <c r="T14" s="16">
        <v>34</v>
      </c>
      <c r="U14" s="16">
        <v>881</v>
      </c>
      <c r="V14" s="16">
        <v>2128</v>
      </c>
      <c r="W14" s="16">
        <v>255</v>
      </c>
      <c r="X14" s="16">
        <v>498</v>
      </c>
      <c r="Y14" s="16">
        <v>63</v>
      </c>
      <c r="Z14" s="16">
        <v>2046</v>
      </c>
      <c r="AA14" s="16">
        <v>933</v>
      </c>
      <c r="AB14" s="16">
        <v>766</v>
      </c>
      <c r="AC14" s="16">
        <v>68</v>
      </c>
      <c r="AD14" s="16">
        <v>1172</v>
      </c>
      <c r="AE14" s="16">
        <v>11332</v>
      </c>
      <c r="AF14" s="16">
        <v>5758</v>
      </c>
      <c r="AG14" s="16">
        <v>689</v>
      </c>
      <c r="AH14" s="16">
        <v>700</v>
      </c>
      <c r="AI14" s="16">
        <v>529</v>
      </c>
      <c r="AJ14" s="16">
        <v>550</v>
      </c>
      <c r="AK14" s="16">
        <v>123</v>
      </c>
      <c r="AL14" s="98">
        <v>58</v>
      </c>
      <c r="AM14" s="16">
        <v>9</v>
      </c>
      <c r="AN14" s="16">
        <v>2</v>
      </c>
      <c r="AO14" s="16">
        <v>1072</v>
      </c>
      <c r="AP14" s="16">
        <v>0</v>
      </c>
      <c r="AQ14" s="16">
        <v>0</v>
      </c>
      <c r="AR14" s="16">
        <v>67</v>
      </c>
      <c r="AS14" s="16">
        <v>161</v>
      </c>
      <c r="AT14" s="16">
        <v>67</v>
      </c>
      <c r="AU14" s="16">
        <v>154</v>
      </c>
      <c r="AV14" s="16">
        <v>7209</v>
      </c>
      <c r="AW14" s="16">
        <v>253</v>
      </c>
      <c r="AX14" s="16">
        <v>30</v>
      </c>
      <c r="AY14" s="16">
        <v>2338</v>
      </c>
      <c r="AZ14" s="16">
        <v>372</v>
      </c>
      <c r="BA14" s="16">
        <v>193</v>
      </c>
      <c r="BB14" s="16">
        <v>127</v>
      </c>
      <c r="BC14" s="16">
        <v>95</v>
      </c>
      <c r="BD14" s="16">
        <v>22</v>
      </c>
      <c r="BE14" s="16">
        <v>2043</v>
      </c>
      <c r="BF14" s="16">
        <v>775</v>
      </c>
      <c r="BG14" s="16">
        <v>1088</v>
      </c>
      <c r="BH14" s="16">
        <v>15</v>
      </c>
      <c r="BI14" s="16">
        <v>1108</v>
      </c>
      <c r="BJ14" s="16">
        <v>463</v>
      </c>
      <c r="BK14" s="16">
        <v>516</v>
      </c>
      <c r="BL14" s="16">
        <v>20</v>
      </c>
      <c r="BM14" s="16">
        <v>18</v>
      </c>
      <c r="BN14" s="16">
        <v>20</v>
      </c>
      <c r="BO14" s="16">
        <v>62</v>
      </c>
      <c r="BP14" s="16">
        <v>3183</v>
      </c>
    </row>
    <row r="15" spans="1:74" s="5" customFormat="1" ht="21.9" customHeight="1" x14ac:dyDescent="0.25">
      <c r="A15" s="125"/>
      <c r="B15" s="4"/>
      <c r="C15" s="47" t="s">
        <v>76</v>
      </c>
      <c r="D15" s="48"/>
      <c r="E15" s="16">
        <v>328</v>
      </c>
      <c r="F15" s="16">
        <v>1</v>
      </c>
      <c r="G15" s="16">
        <v>0</v>
      </c>
      <c r="H15" s="16">
        <v>0</v>
      </c>
      <c r="I15" s="16">
        <v>0</v>
      </c>
      <c r="J15" s="16">
        <v>0</v>
      </c>
      <c r="K15" s="16">
        <v>2</v>
      </c>
      <c r="L15" s="16">
        <v>12</v>
      </c>
      <c r="M15" s="16">
        <v>3</v>
      </c>
      <c r="N15" s="16">
        <v>0</v>
      </c>
      <c r="O15" s="16">
        <v>0</v>
      </c>
      <c r="P15" s="16">
        <v>8</v>
      </c>
      <c r="Q15" s="16">
        <v>0</v>
      </c>
      <c r="R15" s="16">
        <v>10</v>
      </c>
      <c r="S15" s="16">
        <v>3</v>
      </c>
      <c r="T15" s="16">
        <v>0</v>
      </c>
      <c r="U15" s="16">
        <v>1</v>
      </c>
      <c r="V15" s="16">
        <v>14</v>
      </c>
      <c r="W15" s="16">
        <v>0</v>
      </c>
      <c r="X15" s="16">
        <v>8</v>
      </c>
      <c r="Y15" s="16">
        <v>0</v>
      </c>
      <c r="Z15" s="16">
        <v>1</v>
      </c>
      <c r="AA15" s="16">
        <v>10</v>
      </c>
      <c r="AB15" s="16">
        <v>0</v>
      </c>
      <c r="AC15" s="16">
        <v>1</v>
      </c>
      <c r="AD15" s="16">
        <v>1</v>
      </c>
      <c r="AE15" s="16">
        <v>18</v>
      </c>
      <c r="AF15" s="16">
        <v>1</v>
      </c>
      <c r="AG15" s="16">
        <v>0</v>
      </c>
      <c r="AH15" s="16">
        <v>48</v>
      </c>
      <c r="AI15" s="16">
        <v>7</v>
      </c>
      <c r="AJ15" s="16">
        <v>16</v>
      </c>
      <c r="AK15" s="16">
        <v>3</v>
      </c>
      <c r="AL15" s="98">
        <v>2</v>
      </c>
      <c r="AM15" s="16">
        <v>1</v>
      </c>
      <c r="AN15" s="16">
        <v>0</v>
      </c>
      <c r="AO15" s="16">
        <v>0</v>
      </c>
      <c r="AP15" s="16">
        <v>0</v>
      </c>
      <c r="AQ15" s="16">
        <v>0</v>
      </c>
      <c r="AR15" s="16">
        <v>0</v>
      </c>
      <c r="AS15" s="16">
        <v>49</v>
      </c>
      <c r="AT15" s="16">
        <v>9</v>
      </c>
      <c r="AU15" s="16">
        <v>0</v>
      </c>
      <c r="AV15" s="16">
        <v>22</v>
      </c>
      <c r="AW15" s="16">
        <v>0</v>
      </c>
      <c r="AX15" s="16">
        <v>0</v>
      </c>
      <c r="AY15" s="16">
        <v>5</v>
      </c>
      <c r="AZ15" s="16">
        <v>0</v>
      </c>
      <c r="BA15" s="16">
        <v>0</v>
      </c>
      <c r="BB15" s="16">
        <v>0</v>
      </c>
      <c r="BC15" s="16">
        <v>1</v>
      </c>
      <c r="BD15" s="16">
        <v>0</v>
      </c>
      <c r="BE15" s="16">
        <v>0</v>
      </c>
      <c r="BF15" s="16">
        <v>1</v>
      </c>
      <c r="BG15" s="16">
        <v>2</v>
      </c>
      <c r="BH15" s="16">
        <v>0</v>
      </c>
      <c r="BI15" s="16">
        <v>0</v>
      </c>
      <c r="BJ15" s="16">
        <v>25</v>
      </c>
      <c r="BK15" s="16">
        <v>26</v>
      </c>
      <c r="BL15" s="16">
        <v>0</v>
      </c>
      <c r="BM15" s="16">
        <v>4</v>
      </c>
      <c r="BN15" s="16">
        <v>0</v>
      </c>
      <c r="BO15" s="16">
        <v>0</v>
      </c>
      <c r="BP15" s="16">
        <v>13</v>
      </c>
    </row>
    <row r="16" spans="1:74" s="5" customFormat="1" ht="21.9" customHeight="1" x14ac:dyDescent="0.25">
      <c r="A16" s="125" t="s">
        <v>283</v>
      </c>
      <c r="B16" s="4"/>
      <c r="C16" s="47" t="s">
        <v>75</v>
      </c>
      <c r="D16" s="48"/>
      <c r="E16" s="16">
        <v>91583</v>
      </c>
      <c r="F16" s="16">
        <v>1540</v>
      </c>
      <c r="G16" s="16">
        <v>948</v>
      </c>
      <c r="H16" s="16">
        <v>1166</v>
      </c>
      <c r="I16" s="16">
        <v>179</v>
      </c>
      <c r="J16" s="16">
        <v>793</v>
      </c>
      <c r="K16" s="16">
        <v>609</v>
      </c>
      <c r="L16" s="16">
        <v>1714</v>
      </c>
      <c r="M16" s="16">
        <v>1795</v>
      </c>
      <c r="N16" s="16">
        <v>461</v>
      </c>
      <c r="O16" s="16">
        <v>1387</v>
      </c>
      <c r="P16" s="16">
        <v>599</v>
      </c>
      <c r="Q16" s="16">
        <v>68</v>
      </c>
      <c r="R16" s="16">
        <v>1440</v>
      </c>
      <c r="S16" s="16">
        <v>1667</v>
      </c>
      <c r="T16" s="16">
        <v>870</v>
      </c>
      <c r="U16" s="16">
        <v>3662</v>
      </c>
      <c r="V16" s="16">
        <v>3828</v>
      </c>
      <c r="W16" s="16">
        <v>733</v>
      </c>
      <c r="X16" s="16">
        <v>984</v>
      </c>
      <c r="Y16" s="16">
        <v>2096</v>
      </c>
      <c r="Z16" s="16">
        <v>1856</v>
      </c>
      <c r="AA16" s="16">
        <v>1169</v>
      </c>
      <c r="AB16" s="16">
        <v>1279</v>
      </c>
      <c r="AC16" s="16">
        <v>1101</v>
      </c>
      <c r="AD16" s="16">
        <v>844</v>
      </c>
      <c r="AE16" s="16">
        <v>5413</v>
      </c>
      <c r="AF16" s="16">
        <v>6168</v>
      </c>
      <c r="AG16" s="16">
        <v>1974</v>
      </c>
      <c r="AH16" s="16">
        <v>2341</v>
      </c>
      <c r="AI16" s="16">
        <v>828</v>
      </c>
      <c r="AJ16" s="16">
        <v>1214</v>
      </c>
      <c r="AK16" s="16">
        <v>457</v>
      </c>
      <c r="AL16" s="98">
        <v>715</v>
      </c>
      <c r="AM16" s="16">
        <v>740</v>
      </c>
      <c r="AN16" s="16">
        <v>1139</v>
      </c>
      <c r="AO16" s="16">
        <v>935</v>
      </c>
      <c r="AP16" s="16">
        <v>817</v>
      </c>
      <c r="AQ16" s="16">
        <v>812</v>
      </c>
      <c r="AR16" s="16">
        <v>1170</v>
      </c>
      <c r="AS16" s="16">
        <v>417</v>
      </c>
      <c r="AT16" s="16">
        <v>391</v>
      </c>
      <c r="AU16" s="16">
        <v>1994</v>
      </c>
      <c r="AV16" s="16">
        <v>3842</v>
      </c>
      <c r="AW16" s="16">
        <v>809</v>
      </c>
      <c r="AX16" s="16">
        <v>553</v>
      </c>
      <c r="AY16" s="16">
        <v>1402</v>
      </c>
      <c r="AZ16" s="16">
        <v>523</v>
      </c>
      <c r="BA16" s="16">
        <v>8</v>
      </c>
      <c r="BB16" s="16">
        <v>691</v>
      </c>
      <c r="BC16" s="16">
        <v>638</v>
      </c>
      <c r="BD16" s="16">
        <v>475</v>
      </c>
      <c r="BE16" s="16">
        <v>2310</v>
      </c>
      <c r="BF16" s="16">
        <v>2026</v>
      </c>
      <c r="BG16" s="16">
        <v>1887</v>
      </c>
      <c r="BH16" s="16">
        <v>1801</v>
      </c>
      <c r="BI16" s="16">
        <v>2542</v>
      </c>
      <c r="BJ16" s="16">
        <v>2196</v>
      </c>
      <c r="BK16" s="16">
        <v>1476</v>
      </c>
      <c r="BL16" s="16">
        <v>1973</v>
      </c>
      <c r="BM16" s="16">
        <v>1329</v>
      </c>
      <c r="BN16" s="16">
        <v>1560</v>
      </c>
      <c r="BO16" s="16">
        <v>1844</v>
      </c>
      <c r="BP16" s="16">
        <v>1385</v>
      </c>
    </row>
    <row r="17" spans="1:68" s="5" customFormat="1" ht="21.9" customHeight="1" x14ac:dyDescent="0.25">
      <c r="A17" s="125"/>
      <c r="B17" s="4"/>
      <c r="C17" s="47" t="s">
        <v>76</v>
      </c>
      <c r="D17" s="48"/>
      <c r="E17" s="16">
        <v>601</v>
      </c>
      <c r="F17" s="16">
        <v>1</v>
      </c>
      <c r="G17" s="16">
        <v>0</v>
      </c>
      <c r="H17" s="16">
        <v>0</v>
      </c>
      <c r="I17" s="16">
        <v>0</v>
      </c>
      <c r="J17" s="16">
        <v>0</v>
      </c>
      <c r="K17" s="16">
        <v>1</v>
      </c>
      <c r="L17" s="16">
        <v>7</v>
      </c>
      <c r="M17" s="16">
        <v>3</v>
      </c>
      <c r="N17" s="16">
        <v>0</v>
      </c>
      <c r="O17" s="16">
        <v>2</v>
      </c>
      <c r="P17" s="16">
        <v>3</v>
      </c>
      <c r="Q17" s="16">
        <v>0</v>
      </c>
      <c r="R17" s="16">
        <v>10</v>
      </c>
      <c r="S17" s="16">
        <v>2</v>
      </c>
      <c r="T17" s="16">
        <v>1</v>
      </c>
      <c r="U17" s="16">
        <v>1</v>
      </c>
      <c r="V17" s="16">
        <v>18</v>
      </c>
      <c r="W17" s="16">
        <v>0</v>
      </c>
      <c r="X17" s="16">
        <v>2</v>
      </c>
      <c r="Y17" s="16">
        <v>1</v>
      </c>
      <c r="Z17" s="16">
        <v>3</v>
      </c>
      <c r="AA17" s="16">
        <v>18</v>
      </c>
      <c r="AB17" s="16">
        <v>0</v>
      </c>
      <c r="AC17" s="16">
        <v>3</v>
      </c>
      <c r="AD17" s="16">
        <v>1</v>
      </c>
      <c r="AE17" s="16">
        <v>13</v>
      </c>
      <c r="AF17" s="16">
        <v>5</v>
      </c>
      <c r="AG17" s="16">
        <v>3</v>
      </c>
      <c r="AH17" s="16">
        <v>63</v>
      </c>
      <c r="AI17" s="16">
        <v>3</v>
      </c>
      <c r="AJ17" s="16">
        <v>5</v>
      </c>
      <c r="AK17" s="16">
        <v>1</v>
      </c>
      <c r="AL17" s="98">
        <v>6</v>
      </c>
      <c r="AM17" s="16">
        <v>0</v>
      </c>
      <c r="AN17" s="16">
        <v>0</v>
      </c>
      <c r="AO17" s="16">
        <v>4</v>
      </c>
      <c r="AP17" s="16">
        <v>0</v>
      </c>
      <c r="AQ17" s="16">
        <v>0</v>
      </c>
      <c r="AR17" s="16">
        <v>0</v>
      </c>
      <c r="AS17" s="16">
        <v>11</v>
      </c>
      <c r="AT17" s="16">
        <v>4</v>
      </c>
      <c r="AU17" s="16">
        <v>0</v>
      </c>
      <c r="AV17" s="16">
        <v>24</v>
      </c>
      <c r="AW17" s="16">
        <v>0</v>
      </c>
      <c r="AX17" s="16">
        <v>0</v>
      </c>
      <c r="AY17" s="16">
        <v>1</v>
      </c>
      <c r="AZ17" s="16">
        <v>2</v>
      </c>
      <c r="BA17" s="16">
        <v>4</v>
      </c>
      <c r="BB17" s="16">
        <v>1</v>
      </c>
      <c r="BC17" s="16">
        <v>2</v>
      </c>
      <c r="BD17" s="16">
        <v>0</v>
      </c>
      <c r="BE17" s="16">
        <v>0</v>
      </c>
      <c r="BF17" s="16">
        <v>5</v>
      </c>
      <c r="BG17" s="16">
        <v>12</v>
      </c>
      <c r="BH17" s="16">
        <v>262</v>
      </c>
      <c r="BI17" s="16">
        <v>0</v>
      </c>
      <c r="BJ17" s="16">
        <v>20</v>
      </c>
      <c r="BK17" s="16">
        <v>14</v>
      </c>
      <c r="BL17" s="16">
        <v>7</v>
      </c>
      <c r="BM17" s="16">
        <v>0</v>
      </c>
      <c r="BN17" s="16">
        <v>0</v>
      </c>
      <c r="BO17" s="16">
        <v>0</v>
      </c>
      <c r="BP17" s="16">
        <v>52</v>
      </c>
    </row>
    <row r="18" spans="1:68" s="5" customFormat="1" ht="21.9" customHeight="1" x14ac:dyDescent="0.25">
      <c r="A18" s="125" t="s">
        <v>176</v>
      </c>
      <c r="B18" s="4"/>
      <c r="C18" s="47" t="s">
        <v>75</v>
      </c>
      <c r="D18" s="48"/>
      <c r="E18" s="16">
        <v>22405</v>
      </c>
      <c r="F18" s="16">
        <v>231</v>
      </c>
      <c r="G18" s="16">
        <v>273</v>
      </c>
      <c r="H18" s="16">
        <v>150</v>
      </c>
      <c r="I18" s="16">
        <v>15</v>
      </c>
      <c r="J18" s="16">
        <v>53</v>
      </c>
      <c r="K18" s="16">
        <v>156</v>
      </c>
      <c r="L18" s="16">
        <v>597</v>
      </c>
      <c r="M18" s="16">
        <v>273</v>
      </c>
      <c r="N18" s="16">
        <v>109</v>
      </c>
      <c r="O18" s="16">
        <v>84</v>
      </c>
      <c r="P18" s="16">
        <v>76</v>
      </c>
      <c r="Q18" s="16">
        <v>0</v>
      </c>
      <c r="R18" s="16">
        <v>234</v>
      </c>
      <c r="S18" s="16">
        <v>272</v>
      </c>
      <c r="T18" s="16">
        <v>283</v>
      </c>
      <c r="U18" s="16">
        <v>517</v>
      </c>
      <c r="V18" s="16">
        <v>1307</v>
      </c>
      <c r="W18" s="16">
        <v>138</v>
      </c>
      <c r="X18" s="16">
        <v>209</v>
      </c>
      <c r="Y18" s="16">
        <v>98</v>
      </c>
      <c r="Z18" s="16">
        <v>1031</v>
      </c>
      <c r="AA18" s="16">
        <v>231</v>
      </c>
      <c r="AB18" s="16">
        <v>186</v>
      </c>
      <c r="AC18" s="16">
        <v>60</v>
      </c>
      <c r="AD18" s="16">
        <v>208</v>
      </c>
      <c r="AE18" s="16">
        <v>4126</v>
      </c>
      <c r="AF18" s="16">
        <v>1039</v>
      </c>
      <c r="AG18" s="16">
        <v>375</v>
      </c>
      <c r="AH18" s="16">
        <v>679</v>
      </c>
      <c r="AI18" s="16">
        <v>143</v>
      </c>
      <c r="AJ18" s="16">
        <v>365</v>
      </c>
      <c r="AK18" s="16">
        <v>7</v>
      </c>
      <c r="AL18" s="98">
        <v>210</v>
      </c>
      <c r="AM18" s="16">
        <v>39</v>
      </c>
      <c r="AN18" s="16">
        <v>14</v>
      </c>
      <c r="AO18" s="16">
        <v>130</v>
      </c>
      <c r="AP18" s="16">
        <v>27</v>
      </c>
      <c r="AQ18" s="16">
        <v>3</v>
      </c>
      <c r="AR18" s="16">
        <v>106</v>
      </c>
      <c r="AS18" s="16">
        <v>131</v>
      </c>
      <c r="AT18" s="16">
        <v>33</v>
      </c>
      <c r="AU18" s="16">
        <v>278</v>
      </c>
      <c r="AV18" s="16">
        <v>3030</v>
      </c>
      <c r="AW18" s="16">
        <v>197</v>
      </c>
      <c r="AX18" s="16">
        <v>12</v>
      </c>
      <c r="AY18" s="16">
        <v>543</v>
      </c>
      <c r="AZ18" s="16">
        <v>229</v>
      </c>
      <c r="BA18" s="16">
        <v>11</v>
      </c>
      <c r="BB18" s="16">
        <v>136</v>
      </c>
      <c r="BC18" s="16">
        <v>32</v>
      </c>
      <c r="BD18" s="16">
        <v>26</v>
      </c>
      <c r="BE18" s="16">
        <v>356</v>
      </c>
      <c r="BF18" s="16">
        <v>491</v>
      </c>
      <c r="BG18" s="16">
        <v>557</v>
      </c>
      <c r="BH18" s="16">
        <v>271</v>
      </c>
      <c r="BI18" s="16">
        <v>276</v>
      </c>
      <c r="BJ18" s="16">
        <v>277</v>
      </c>
      <c r="BK18" s="16">
        <v>303</v>
      </c>
      <c r="BL18" s="16">
        <v>317</v>
      </c>
      <c r="BM18" s="16">
        <v>553</v>
      </c>
      <c r="BN18" s="16">
        <v>45</v>
      </c>
      <c r="BO18" s="16">
        <v>14</v>
      </c>
      <c r="BP18" s="16">
        <v>233</v>
      </c>
    </row>
    <row r="19" spans="1:68" s="5" customFormat="1" ht="21.9" customHeight="1" x14ac:dyDescent="0.25">
      <c r="A19" s="125"/>
      <c r="B19" s="4"/>
      <c r="C19" s="47" t="s">
        <v>76</v>
      </c>
      <c r="D19" s="48"/>
      <c r="E19" s="16">
        <v>699</v>
      </c>
      <c r="F19" s="16">
        <v>2</v>
      </c>
      <c r="G19" s="16">
        <v>0</v>
      </c>
      <c r="H19" s="16">
        <v>3</v>
      </c>
      <c r="I19" s="16">
        <v>0</v>
      </c>
      <c r="J19" s="16">
        <v>1</v>
      </c>
      <c r="K19" s="16">
        <v>3</v>
      </c>
      <c r="L19" s="16">
        <v>36</v>
      </c>
      <c r="M19" s="16">
        <v>17</v>
      </c>
      <c r="N19" s="16">
        <v>4</v>
      </c>
      <c r="O19" s="16">
        <v>1</v>
      </c>
      <c r="P19" s="16">
        <v>12</v>
      </c>
      <c r="Q19" s="16">
        <v>0</v>
      </c>
      <c r="R19" s="16">
        <v>22</v>
      </c>
      <c r="S19" s="16">
        <v>14</v>
      </c>
      <c r="T19" s="16">
        <v>5</v>
      </c>
      <c r="U19" s="16">
        <v>17</v>
      </c>
      <c r="V19" s="16">
        <v>36</v>
      </c>
      <c r="W19" s="16">
        <v>0</v>
      </c>
      <c r="X19" s="16">
        <v>7</v>
      </c>
      <c r="Y19" s="16">
        <v>13</v>
      </c>
      <c r="Z19" s="16">
        <v>10</v>
      </c>
      <c r="AA19" s="16">
        <v>4</v>
      </c>
      <c r="AB19" s="16">
        <v>2</v>
      </c>
      <c r="AC19" s="16">
        <v>3</v>
      </c>
      <c r="AD19" s="16">
        <v>14</v>
      </c>
      <c r="AE19" s="16">
        <v>47</v>
      </c>
      <c r="AF19" s="16">
        <v>22</v>
      </c>
      <c r="AG19" s="16">
        <v>14</v>
      </c>
      <c r="AH19" s="16">
        <v>59</v>
      </c>
      <c r="AI19" s="16">
        <v>8</v>
      </c>
      <c r="AJ19" s="16">
        <v>16</v>
      </c>
      <c r="AK19" s="16">
        <v>3</v>
      </c>
      <c r="AL19" s="98">
        <v>22</v>
      </c>
      <c r="AM19" s="16">
        <v>7</v>
      </c>
      <c r="AN19" s="16">
        <v>0</v>
      </c>
      <c r="AO19" s="16">
        <v>3</v>
      </c>
      <c r="AP19" s="16">
        <v>0</v>
      </c>
      <c r="AQ19" s="16">
        <v>0</v>
      </c>
      <c r="AR19" s="16">
        <v>4</v>
      </c>
      <c r="AS19" s="16">
        <v>22</v>
      </c>
      <c r="AT19" s="16">
        <v>1</v>
      </c>
      <c r="AU19" s="16">
        <v>3</v>
      </c>
      <c r="AV19" s="16">
        <v>43</v>
      </c>
      <c r="AW19" s="16">
        <v>0</v>
      </c>
      <c r="AX19" s="16">
        <v>1</v>
      </c>
      <c r="AY19" s="16">
        <v>8</v>
      </c>
      <c r="AZ19" s="16">
        <v>21</v>
      </c>
      <c r="BA19" s="16">
        <v>1</v>
      </c>
      <c r="BB19" s="16">
        <v>11</v>
      </c>
      <c r="BC19" s="16">
        <v>2</v>
      </c>
      <c r="BD19" s="16">
        <v>11</v>
      </c>
      <c r="BE19" s="16">
        <v>3</v>
      </c>
      <c r="BF19" s="16">
        <v>24</v>
      </c>
      <c r="BG19" s="16">
        <v>56</v>
      </c>
      <c r="BH19" s="16">
        <v>19</v>
      </c>
      <c r="BI19" s="16">
        <v>4</v>
      </c>
      <c r="BJ19" s="16">
        <v>6</v>
      </c>
      <c r="BK19" s="16">
        <v>17</v>
      </c>
      <c r="BL19" s="16">
        <v>3</v>
      </c>
      <c r="BM19" s="16">
        <v>3</v>
      </c>
      <c r="BN19" s="16">
        <v>0</v>
      </c>
      <c r="BO19" s="16">
        <v>0</v>
      </c>
      <c r="BP19" s="16">
        <v>9</v>
      </c>
    </row>
    <row r="20" spans="1:68" s="5" customFormat="1" ht="21.9" customHeight="1" x14ac:dyDescent="0.25">
      <c r="A20" s="125" t="s">
        <v>77</v>
      </c>
      <c r="B20" s="4"/>
      <c r="C20" s="47" t="s">
        <v>75</v>
      </c>
      <c r="D20" s="48"/>
      <c r="E20" s="16">
        <v>19443</v>
      </c>
      <c r="F20" s="16">
        <v>57</v>
      </c>
      <c r="G20" s="16">
        <v>45</v>
      </c>
      <c r="H20" s="16">
        <v>12</v>
      </c>
      <c r="I20" s="16">
        <v>13</v>
      </c>
      <c r="J20" s="16">
        <v>30</v>
      </c>
      <c r="K20" s="16">
        <v>145</v>
      </c>
      <c r="L20" s="16">
        <v>772</v>
      </c>
      <c r="M20" s="16">
        <v>298</v>
      </c>
      <c r="N20" s="16">
        <v>31</v>
      </c>
      <c r="O20" s="16">
        <v>338</v>
      </c>
      <c r="P20" s="16">
        <v>194</v>
      </c>
      <c r="Q20" s="16">
        <v>0</v>
      </c>
      <c r="R20" s="16">
        <v>448</v>
      </c>
      <c r="S20" s="16">
        <v>455</v>
      </c>
      <c r="T20" s="16">
        <v>77</v>
      </c>
      <c r="U20" s="16">
        <v>291</v>
      </c>
      <c r="V20" s="16">
        <v>1668</v>
      </c>
      <c r="W20" s="16">
        <v>97</v>
      </c>
      <c r="X20" s="16">
        <v>553</v>
      </c>
      <c r="Y20" s="16">
        <v>241</v>
      </c>
      <c r="Z20" s="16">
        <v>333</v>
      </c>
      <c r="AA20" s="16">
        <v>509</v>
      </c>
      <c r="AB20" s="16">
        <v>77</v>
      </c>
      <c r="AC20" s="16">
        <v>107</v>
      </c>
      <c r="AD20" s="16">
        <v>116</v>
      </c>
      <c r="AE20" s="16">
        <v>2516</v>
      </c>
      <c r="AF20" s="16">
        <v>1482</v>
      </c>
      <c r="AG20" s="16">
        <v>311</v>
      </c>
      <c r="AH20" s="16">
        <v>1310</v>
      </c>
      <c r="AI20" s="16">
        <v>285</v>
      </c>
      <c r="AJ20" s="16">
        <v>168</v>
      </c>
      <c r="AK20" s="16">
        <v>9</v>
      </c>
      <c r="AL20" s="98">
        <v>151</v>
      </c>
      <c r="AM20" s="16">
        <v>46</v>
      </c>
      <c r="AN20" s="16">
        <v>13</v>
      </c>
      <c r="AO20" s="16">
        <v>452</v>
      </c>
      <c r="AP20" s="16">
        <v>16</v>
      </c>
      <c r="AQ20" s="16">
        <v>9</v>
      </c>
      <c r="AR20" s="16">
        <v>76</v>
      </c>
      <c r="AS20" s="16">
        <v>100</v>
      </c>
      <c r="AT20" s="16">
        <v>43</v>
      </c>
      <c r="AU20" s="16">
        <v>97</v>
      </c>
      <c r="AV20" s="16">
        <v>893</v>
      </c>
      <c r="AW20" s="16">
        <v>211</v>
      </c>
      <c r="AX20" s="16">
        <v>6</v>
      </c>
      <c r="AY20" s="16">
        <v>239</v>
      </c>
      <c r="AZ20" s="16">
        <v>113</v>
      </c>
      <c r="BA20" s="16">
        <v>11</v>
      </c>
      <c r="BB20" s="16">
        <v>102</v>
      </c>
      <c r="BC20" s="16">
        <v>139</v>
      </c>
      <c r="BD20" s="16">
        <v>25</v>
      </c>
      <c r="BE20" s="16">
        <v>417</v>
      </c>
      <c r="BF20" s="16">
        <v>289</v>
      </c>
      <c r="BG20" s="16">
        <v>328</v>
      </c>
      <c r="BH20" s="16">
        <v>742</v>
      </c>
      <c r="BI20" s="16">
        <v>69</v>
      </c>
      <c r="BJ20" s="16">
        <v>792</v>
      </c>
      <c r="BK20" s="16">
        <v>156</v>
      </c>
      <c r="BL20" s="16">
        <v>132</v>
      </c>
      <c r="BM20" s="16">
        <v>221</v>
      </c>
      <c r="BN20" s="16">
        <v>3</v>
      </c>
      <c r="BO20" s="16">
        <v>1</v>
      </c>
      <c r="BP20" s="16">
        <v>563</v>
      </c>
    </row>
    <row r="21" spans="1:68" s="5" customFormat="1" ht="21.9" customHeight="1" x14ac:dyDescent="0.25">
      <c r="A21" s="125"/>
      <c r="B21" s="4"/>
      <c r="C21" s="47" t="s">
        <v>141</v>
      </c>
      <c r="D21" s="48"/>
      <c r="E21" s="16">
        <v>439</v>
      </c>
      <c r="F21" s="16">
        <v>1</v>
      </c>
      <c r="G21" s="16">
        <v>0</v>
      </c>
      <c r="H21" s="16">
        <v>0</v>
      </c>
      <c r="I21" s="16">
        <v>0</v>
      </c>
      <c r="J21" s="16">
        <v>0</v>
      </c>
      <c r="K21" s="16">
        <v>2</v>
      </c>
      <c r="L21" s="16">
        <v>4</v>
      </c>
      <c r="M21" s="16">
        <v>3</v>
      </c>
      <c r="N21" s="16">
        <v>0</v>
      </c>
      <c r="O21" s="16">
        <v>1</v>
      </c>
      <c r="P21" s="16">
        <v>5</v>
      </c>
      <c r="Q21" s="16">
        <v>0</v>
      </c>
      <c r="R21" s="16">
        <v>2</v>
      </c>
      <c r="S21" s="16">
        <v>9</v>
      </c>
      <c r="T21" s="16">
        <v>0</v>
      </c>
      <c r="U21" s="16">
        <v>1</v>
      </c>
      <c r="V21" s="16">
        <v>20</v>
      </c>
      <c r="W21" s="16">
        <v>2</v>
      </c>
      <c r="X21" s="16">
        <v>22</v>
      </c>
      <c r="Y21" s="16">
        <v>5</v>
      </c>
      <c r="Z21" s="16">
        <v>2</v>
      </c>
      <c r="AA21" s="16">
        <v>4</v>
      </c>
      <c r="AB21" s="16">
        <v>0</v>
      </c>
      <c r="AC21" s="16">
        <v>5</v>
      </c>
      <c r="AD21" s="16">
        <v>2</v>
      </c>
      <c r="AE21" s="16">
        <v>24</v>
      </c>
      <c r="AF21" s="16">
        <v>21</v>
      </c>
      <c r="AG21" s="16">
        <v>2</v>
      </c>
      <c r="AH21" s="16">
        <v>41</v>
      </c>
      <c r="AI21" s="16">
        <v>12</v>
      </c>
      <c r="AJ21" s="16">
        <v>8</v>
      </c>
      <c r="AK21" s="16">
        <v>0</v>
      </c>
      <c r="AL21" s="98">
        <v>10</v>
      </c>
      <c r="AM21" s="16">
        <v>0</v>
      </c>
      <c r="AN21" s="16">
        <v>0</v>
      </c>
      <c r="AO21" s="16">
        <v>8</v>
      </c>
      <c r="AP21" s="16">
        <v>1</v>
      </c>
      <c r="AQ21" s="16">
        <v>0</v>
      </c>
      <c r="AR21" s="16">
        <v>0</v>
      </c>
      <c r="AS21" s="16">
        <v>17</v>
      </c>
      <c r="AT21" s="16">
        <v>4</v>
      </c>
      <c r="AU21" s="16">
        <v>0</v>
      </c>
      <c r="AV21" s="16">
        <v>27</v>
      </c>
      <c r="AW21" s="16">
        <v>1</v>
      </c>
      <c r="AX21" s="16">
        <v>0</v>
      </c>
      <c r="AY21" s="16">
        <v>0</v>
      </c>
      <c r="AZ21" s="16">
        <v>4</v>
      </c>
      <c r="BA21" s="16">
        <v>3</v>
      </c>
      <c r="BB21" s="16">
        <v>10</v>
      </c>
      <c r="BC21" s="16">
        <v>7</v>
      </c>
      <c r="BD21" s="16">
        <v>0</v>
      </c>
      <c r="BE21" s="16">
        <v>1</v>
      </c>
      <c r="BF21" s="16">
        <v>9</v>
      </c>
      <c r="BG21" s="16">
        <v>4</v>
      </c>
      <c r="BH21" s="16">
        <v>24</v>
      </c>
      <c r="BI21" s="16">
        <v>2</v>
      </c>
      <c r="BJ21" s="16">
        <v>77</v>
      </c>
      <c r="BK21" s="16">
        <v>23</v>
      </c>
      <c r="BL21" s="16">
        <v>1</v>
      </c>
      <c r="BM21" s="16">
        <v>1</v>
      </c>
      <c r="BN21" s="16">
        <v>0</v>
      </c>
      <c r="BO21" s="16">
        <v>0</v>
      </c>
      <c r="BP21" s="16">
        <v>7</v>
      </c>
    </row>
    <row r="22" spans="1:68" s="5" customFormat="1" ht="21.9" customHeight="1" x14ac:dyDescent="0.25">
      <c r="A22" s="125" t="s">
        <v>79</v>
      </c>
      <c r="B22" s="4"/>
      <c r="C22" s="47" t="s">
        <v>140</v>
      </c>
      <c r="D22" s="48"/>
      <c r="E22" s="16">
        <v>24828</v>
      </c>
      <c r="F22" s="16">
        <v>127</v>
      </c>
      <c r="G22" s="16">
        <v>94</v>
      </c>
      <c r="H22" s="16">
        <v>43</v>
      </c>
      <c r="I22" s="16">
        <v>7</v>
      </c>
      <c r="J22" s="16">
        <v>32</v>
      </c>
      <c r="K22" s="16">
        <v>109</v>
      </c>
      <c r="L22" s="16">
        <v>759</v>
      </c>
      <c r="M22" s="16">
        <v>185</v>
      </c>
      <c r="N22" s="16">
        <v>21</v>
      </c>
      <c r="O22" s="16">
        <v>108</v>
      </c>
      <c r="P22" s="16">
        <v>42</v>
      </c>
      <c r="Q22" s="16">
        <v>0</v>
      </c>
      <c r="R22" s="16">
        <v>316</v>
      </c>
      <c r="S22" s="16">
        <v>189</v>
      </c>
      <c r="T22" s="16">
        <v>146</v>
      </c>
      <c r="U22" s="16">
        <v>469</v>
      </c>
      <c r="V22" s="16">
        <v>1015</v>
      </c>
      <c r="W22" s="16">
        <v>27</v>
      </c>
      <c r="X22" s="16">
        <v>187</v>
      </c>
      <c r="Y22" s="16">
        <v>51</v>
      </c>
      <c r="Z22" s="16">
        <v>400</v>
      </c>
      <c r="AA22" s="16">
        <v>169</v>
      </c>
      <c r="AB22" s="16">
        <v>59</v>
      </c>
      <c r="AC22" s="16">
        <v>90</v>
      </c>
      <c r="AD22" s="16">
        <v>278</v>
      </c>
      <c r="AE22" s="16">
        <v>2967</v>
      </c>
      <c r="AF22" s="16">
        <v>1085</v>
      </c>
      <c r="AG22" s="16">
        <v>373</v>
      </c>
      <c r="AH22" s="16">
        <v>1478</v>
      </c>
      <c r="AI22" s="16">
        <v>143</v>
      </c>
      <c r="AJ22" s="16">
        <v>238</v>
      </c>
      <c r="AK22" s="16">
        <v>0</v>
      </c>
      <c r="AL22" s="98">
        <v>135</v>
      </c>
      <c r="AM22" s="16">
        <v>59</v>
      </c>
      <c r="AN22" s="16">
        <v>17</v>
      </c>
      <c r="AO22" s="16">
        <v>386</v>
      </c>
      <c r="AP22" s="16">
        <v>3</v>
      </c>
      <c r="AQ22" s="16">
        <v>0</v>
      </c>
      <c r="AR22" s="16">
        <v>3</v>
      </c>
      <c r="AS22" s="16">
        <v>136</v>
      </c>
      <c r="AT22" s="16">
        <v>45</v>
      </c>
      <c r="AU22" s="16">
        <v>175</v>
      </c>
      <c r="AV22" s="16">
        <v>2167</v>
      </c>
      <c r="AW22" s="16">
        <v>1016</v>
      </c>
      <c r="AX22" s="16">
        <v>11</v>
      </c>
      <c r="AY22" s="16">
        <v>5428</v>
      </c>
      <c r="AZ22" s="16">
        <v>321</v>
      </c>
      <c r="BA22" s="16">
        <v>12</v>
      </c>
      <c r="BB22" s="16">
        <v>93</v>
      </c>
      <c r="BC22" s="16">
        <v>64</v>
      </c>
      <c r="BD22" s="16">
        <v>25</v>
      </c>
      <c r="BE22" s="16">
        <v>358</v>
      </c>
      <c r="BF22" s="16">
        <v>247</v>
      </c>
      <c r="BG22" s="16">
        <v>589</v>
      </c>
      <c r="BH22" s="16">
        <v>187</v>
      </c>
      <c r="BI22" s="16">
        <v>121</v>
      </c>
      <c r="BJ22" s="16">
        <v>1224</v>
      </c>
      <c r="BK22" s="16">
        <v>169</v>
      </c>
      <c r="BL22" s="16">
        <v>199</v>
      </c>
      <c r="BM22" s="16">
        <v>154</v>
      </c>
      <c r="BN22" s="16">
        <v>28</v>
      </c>
      <c r="BO22" s="16">
        <v>7</v>
      </c>
      <c r="BP22" s="16">
        <v>242</v>
      </c>
    </row>
    <row r="23" spans="1:68" s="5" customFormat="1" ht="21.9" customHeight="1" x14ac:dyDescent="0.25">
      <c r="A23" s="125"/>
      <c r="B23" s="4"/>
      <c r="C23" s="47" t="s">
        <v>76</v>
      </c>
      <c r="D23" s="48"/>
      <c r="E23" s="16">
        <v>350</v>
      </c>
      <c r="F23" s="16">
        <v>0</v>
      </c>
      <c r="G23" s="16">
        <v>0</v>
      </c>
      <c r="H23" s="16">
        <v>0</v>
      </c>
      <c r="I23" s="16">
        <v>0</v>
      </c>
      <c r="J23" s="16">
        <v>0</v>
      </c>
      <c r="K23" s="16">
        <v>2</v>
      </c>
      <c r="L23" s="16">
        <v>7</v>
      </c>
      <c r="M23" s="16">
        <v>1</v>
      </c>
      <c r="N23" s="16">
        <v>0</v>
      </c>
      <c r="O23" s="16">
        <v>0</v>
      </c>
      <c r="P23" s="16">
        <v>0</v>
      </c>
      <c r="Q23" s="16">
        <v>0</v>
      </c>
      <c r="R23" s="16">
        <v>5</v>
      </c>
      <c r="S23" s="16">
        <v>9</v>
      </c>
      <c r="T23" s="16">
        <v>1</v>
      </c>
      <c r="U23" s="16">
        <v>6</v>
      </c>
      <c r="V23" s="16">
        <v>10</v>
      </c>
      <c r="W23" s="16">
        <v>0</v>
      </c>
      <c r="X23" s="16">
        <v>2</v>
      </c>
      <c r="Y23" s="16">
        <v>1</v>
      </c>
      <c r="Z23" s="16">
        <v>2</v>
      </c>
      <c r="AA23" s="16">
        <v>3</v>
      </c>
      <c r="AB23" s="16">
        <v>1</v>
      </c>
      <c r="AC23" s="16">
        <v>3</v>
      </c>
      <c r="AD23" s="16">
        <v>0</v>
      </c>
      <c r="AE23" s="16">
        <v>41</v>
      </c>
      <c r="AF23" s="16">
        <v>15</v>
      </c>
      <c r="AG23" s="16">
        <v>5</v>
      </c>
      <c r="AH23" s="16">
        <v>21</v>
      </c>
      <c r="AI23" s="16">
        <v>5</v>
      </c>
      <c r="AJ23" s="16">
        <v>3</v>
      </c>
      <c r="AK23" s="16">
        <v>0</v>
      </c>
      <c r="AL23" s="98">
        <v>0</v>
      </c>
      <c r="AM23" s="16">
        <v>3</v>
      </c>
      <c r="AN23" s="16">
        <v>1</v>
      </c>
      <c r="AO23" s="16">
        <v>3</v>
      </c>
      <c r="AP23" s="16">
        <v>0</v>
      </c>
      <c r="AQ23" s="16">
        <v>0</v>
      </c>
      <c r="AR23" s="16">
        <v>0</v>
      </c>
      <c r="AS23" s="16">
        <v>12</v>
      </c>
      <c r="AT23" s="16">
        <v>2</v>
      </c>
      <c r="AU23" s="16">
        <v>0</v>
      </c>
      <c r="AV23" s="16">
        <v>90</v>
      </c>
      <c r="AW23" s="16">
        <v>8</v>
      </c>
      <c r="AX23" s="16">
        <v>0</v>
      </c>
      <c r="AY23" s="16">
        <v>2</v>
      </c>
      <c r="AZ23" s="16">
        <v>2</v>
      </c>
      <c r="BA23" s="16">
        <v>0</v>
      </c>
      <c r="BB23" s="16">
        <v>15</v>
      </c>
      <c r="BC23" s="16">
        <v>0</v>
      </c>
      <c r="BD23" s="16">
        <v>8</v>
      </c>
      <c r="BE23" s="16">
        <v>4</v>
      </c>
      <c r="BF23" s="16">
        <v>6</v>
      </c>
      <c r="BG23" s="16">
        <v>3</v>
      </c>
      <c r="BH23" s="16">
        <v>9</v>
      </c>
      <c r="BI23" s="16">
        <v>7</v>
      </c>
      <c r="BJ23" s="16">
        <v>23</v>
      </c>
      <c r="BK23" s="16">
        <v>5</v>
      </c>
      <c r="BL23" s="16">
        <v>1</v>
      </c>
      <c r="BM23" s="16">
        <v>2</v>
      </c>
      <c r="BN23" s="16">
        <v>0</v>
      </c>
      <c r="BO23" s="16">
        <v>0</v>
      </c>
      <c r="BP23" s="16">
        <v>1</v>
      </c>
    </row>
    <row r="24" spans="1:68" s="5" customFormat="1" ht="21.9" customHeight="1" x14ac:dyDescent="0.25">
      <c r="A24" s="125" t="s">
        <v>280</v>
      </c>
      <c r="B24" s="4"/>
      <c r="C24" s="47" t="s">
        <v>75</v>
      </c>
      <c r="D24" s="48"/>
      <c r="E24" s="16">
        <v>52057</v>
      </c>
      <c r="F24" s="16">
        <v>498</v>
      </c>
      <c r="G24" s="16">
        <v>316</v>
      </c>
      <c r="H24" s="16">
        <v>165</v>
      </c>
      <c r="I24" s="16">
        <v>38</v>
      </c>
      <c r="J24" s="16">
        <v>214</v>
      </c>
      <c r="K24" s="16">
        <v>404</v>
      </c>
      <c r="L24" s="16">
        <v>1718</v>
      </c>
      <c r="M24" s="16">
        <v>695</v>
      </c>
      <c r="N24" s="16">
        <v>156</v>
      </c>
      <c r="O24" s="16">
        <v>912</v>
      </c>
      <c r="P24" s="16">
        <v>140</v>
      </c>
      <c r="Q24" s="16">
        <v>0</v>
      </c>
      <c r="R24" s="16">
        <v>881</v>
      </c>
      <c r="S24" s="16">
        <v>646</v>
      </c>
      <c r="T24" s="16">
        <v>514</v>
      </c>
      <c r="U24" s="16">
        <v>900</v>
      </c>
      <c r="V24" s="16">
        <v>2941</v>
      </c>
      <c r="W24" s="16">
        <v>304</v>
      </c>
      <c r="X24" s="16">
        <v>420</v>
      </c>
      <c r="Y24" s="16">
        <v>288</v>
      </c>
      <c r="Z24" s="16">
        <v>1883</v>
      </c>
      <c r="AA24" s="16">
        <v>564</v>
      </c>
      <c r="AB24" s="16">
        <v>411</v>
      </c>
      <c r="AC24" s="16">
        <v>237</v>
      </c>
      <c r="AD24" s="16">
        <v>809</v>
      </c>
      <c r="AE24" s="16">
        <v>5830</v>
      </c>
      <c r="AF24" s="16">
        <v>3466</v>
      </c>
      <c r="AG24" s="16">
        <v>997</v>
      </c>
      <c r="AH24" s="16">
        <v>2197</v>
      </c>
      <c r="AI24" s="16">
        <v>195</v>
      </c>
      <c r="AJ24" s="16">
        <v>1469</v>
      </c>
      <c r="AK24" s="16">
        <v>26</v>
      </c>
      <c r="AL24" s="98">
        <v>344</v>
      </c>
      <c r="AM24" s="16">
        <v>110</v>
      </c>
      <c r="AN24" s="16">
        <v>51</v>
      </c>
      <c r="AO24" s="16">
        <v>717</v>
      </c>
      <c r="AP24" s="16">
        <v>56</v>
      </c>
      <c r="AQ24" s="16">
        <v>2</v>
      </c>
      <c r="AR24" s="16">
        <v>28</v>
      </c>
      <c r="AS24" s="16">
        <v>345</v>
      </c>
      <c r="AT24" s="16">
        <v>94</v>
      </c>
      <c r="AU24" s="16">
        <v>764</v>
      </c>
      <c r="AV24" s="16">
        <v>4179</v>
      </c>
      <c r="AW24" s="16">
        <v>1885</v>
      </c>
      <c r="AX24" s="16">
        <v>58</v>
      </c>
      <c r="AY24" s="16">
        <v>1847</v>
      </c>
      <c r="AZ24" s="16">
        <v>588</v>
      </c>
      <c r="BA24" s="16">
        <v>148</v>
      </c>
      <c r="BB24" s="16">
        <v>394</v>
      </c>
      <c r="BC24" s="16">
        <v>295</v>
      </c>
      <c r="BD24" s="16">
        <v>164</v>
      </c>
      <c r="BE24" s="16">
        <v>1684</v>
      </c>
      <c r="BF24" s="16">
        <v>1373</v>
      </c>
      <c r="BG24" s="16">
        <v>2467</v>
      </c>
      <c r="BH24" s="16">
        <v>440</v>
      </c>
      <c r="BI24" s="16">
        <v>210</v>
      </c>
      <c r="BJ24" s="16">
        <v>744</v>
      </c>
      <c r="BK24" s="16">
        <v>696</v>
      </c>
      <c r="BL24" s="16">
        <v>187</v>
      </c>
      <c r="BM24" s="16">
        <v>214</v>
      </c>
      <c r="BN24" s="16">
        <v>70</v>
      </c>
      <c r="BO24" s="16">
        <v>611</v>
      </c>
      <c r="BP24" s="16">
        <v>1058</v>
      </c>
    </row>
    <row r="25" spans="1:68" s="5" customFormat="1" ht="21.9" customHeight="1" x14ac:dyDescent="0.25">
      <c r="A25" s="125"/>
      <c r="B25" s="4"/>
      <c r="C25" s="47" t="s">
        <v>76</v>
      </c>
      <c r="D25" s="48"/>
      <c r="E25" s="16">
        <v>419</v>
      </c>
      <c r="F25" s="16">
        <v>1</v>
      </c>
      <c r="G25" s="16">
        <v>2</v>
      </c>
      <c r="H25" s="16">
        <v>0</v>
      </c>
      <c r="I25" s="16">
        <v>0</v>
      </c>
      <c r="J25" s="16">
        <v>0</v>
      </c>
      <c r="K25" s="16">
        <v>1</v>
      </c>
      <c r="L25" s="16">
        <v>2</v>
      </c>
      <c r="M25" s="16">
        <v>2</v>
      </c>
      <c r="N25" s="16">
        <v>0</v>
      </c>
      <c r="O25" s="16">
        <v>6</v>
      </c>
      <c r="P25" s="16">
        <v>0</v>
      </c>
      <c r="Q25" s="16">
        <v>0</v>
      </c>
      <c r="R25" s="16">
        <v>8</v>
      </c>
      <c r="S25" s="16">
        <v>13</v>
      </c>
      <c r="T25" s="16">
        <v>1</v>
      </c>
      <c r="U25" s="16">
        <v>2</v>
      </c>
      <c r="V25" s="16">
        <v>34</v>
      </c>
      <c r="W25" s="16">
        <v>1</v>
      </c>
      <c r="X25" s="16">
        <v>4</v>
      </c>
      <c r="Y25" s="16">
        <v>4</v>
      </c>
      <c r="Z25" s="16">
        <v>6</v>
      </c>
      <c r="AA25" s="16">
        <v>10</v>
      </c>
      <c r="AB25" s="16">
        <v>2</v>
      </c>
      <c r="AC25" s="16">
        <v>10</v>
      </c>
      <c r="AD25" s="16">
        <v>4</v>
      </c>
      <c r="AE25" s="16">
        <v>34</v>
      </c>
      <c r="AF25" s="16">
        <v>28</v>
      </c>
      <c r="AG25" s="16">
        <v>3</v>
      </c>
      <c r="AH25" s="16">
        <v>60</v>
      </c>
      <c r="AI25" s="16">
        <v>6</v>
      </c>
      <c r="AJ25" s="16">
        <v>8</v>
      </c>
      <c r="AK25" s="16">
        <v>0</v>
      </c>
      <c r="AL25" s="98">
        <v>4</v>
      </c>
      <c r="AM25" s="16">
        <v>4</v>
      </c>
      <c r="AN25" s="16">
        <v>1</v>
      </c>
      <c r="AO25" s="16">
        <v>9</v>
      </c>
      <c r="AP25" s="16">
        <v>0</v>
      </c>
      <c r="AQ25" s="16">
        <v>0</v>
      </c>
      <c r="AR25" s="16">
        <v>0</v>
      </c>
      <c r="AS25" s="16">
        <v>6</v>
      </c>
      <c r="AT25" s="16">
        <v>4</v>
      </c>
      <c r="AU25" s="16">
        <v>0</v>
      </c>
      <c r="AV25" s="16">
        <v>35</v>
      </c>
      <c r="AW25" s="16">
        <v>3</v>
      </c>
      <c r="AX25" s="16">
        <v>0</v>
      </c>
      <c r="AY25" s="16">
        <v>4</v>
      </c>
      <c r="AZ25" s="16">
        <v>3</v>
      </c>
      <c r="BA25" s="16">
        <v>0</v>
      </c>
      <c r="BB25" s="16">
        <v>7</v>
      </c>
      <c r="BC25" s="16">
        <v>2</v>
      </c>
      <c r="BD25" s="16">
        <v>4</v>
      </c>
      <c r="BE25" s="16">
        <v>0</v>
      </c>
      <c r="BF25" s="16">
        <v>7</v>
      </c>
      <c r="BG25" s="16">
        <v>23</v>
      </c>
      <c r="BH25" s="16">
        <v>15</v>
      </c>
      <c r="BI25" s="16">
        <v>0</v>
      </c>
      <c r="BJ25" s="16">
        <v>7</v>
      </c>
      <c r="BK25" s="16">
        <v>11</v>
      </c>
      <c r="BL25" s="16">
        <v>4</v>
      </c>
      <c r="BM25" s="16">
        <v>1</v>
      </c>
      <c r="BN25" s="16">
        <v>0</v>
      </c>
      <c r="BO25" s="16">
        <v>0</v>
      </c>
      <c r="BP25" s="16">
        <v>13</v>
      </c>
    </row>
    <row r="26" spans="1:68" s="5" customFormat="1" ht="21.9" customHeight="1" x14ac:dyDescent="0.25">
      <c r="A26" s="125" t="s">
        <v>345</v>
      </c>
      <c r="C26" s="47" t="s">
        <v>75</v>
      </c>
      <c r="D26" s="48"/>
      <c r="E26" s="16">
        <v>14212</v>
      </c>
      <c r="F26" s="16">
        <v>63</v>
      </c>
      <c r="G26" s="16">
        <v>29</v>
      </c>
      <c r="H26" s="16">
        <v>22</v>
      </c>
      <c r="I26" s="16">
        <v>6</v>
      </c>
      <c r="J26" s="16">
        <v>68</v>
      </c>
      <c r="K26" s="16">
        <v>36</v>
      </c>
      <c r="L26" s="16">
        <v>513</v>
      </c>
      <c r="M26" s="16">
        <v>196</v>
      </c>
      <c r="N26" s="16">
        <v>26</v>
      </c>
      <c r="O26" s="16">
        <v>51</v>
      </c>
      <c r="P26" s="16">
        <v>49</v>
      </c>
      <c r="Q26" s="16">
        <v>6</v>
      </c>
      <c r="R26" s="16">
        <v>218</v>
      </c>
      <c r="S26" s="16">
        <v>169</v>
      </c>
      <c r="T26" s="16">
        <v>289</v>
      </c>
      <c r="U26" s="16">
        <v>288</v>
      </c>
      <c r="V26" s="16">
        <v>790</v>
      </c>
      <c r="W26" s="16">
        <v>75</v>
      </c>
      <c r="X26" s="16">
        <v>173</v>
      </c>
      <c r="Y26" s="16">
        <v>33</v>
      </c>
      <c r="Z26" s="16">
        <v>289</v>
      </c>
      <c r="AA26" s="16">
        <v>99</v>
      </c>
      <c r="AB26" s="16">
        <v>105</v>
      </c>
      <c r="AC26" s="16">
        <v>69</v>
      </c>
      <c r="AD26" s="16">
        <v>145</v>
      </c>
      <c r="AE26" s="16">
        <v>2711</v>
      </c>
      <c r="AF26" s="16">
        <v>909</v>
      </c>
      <c r="AG26" s="16">
        <v>207</v>
      </c>
      <c r="AH26" s="16">
        <v>787</v>
      </c>
      <c r="AI26" s="16">
        <v>54</v>
      </c>
      <c r="AJ26" s="16">
        <v>115</v>
      </c>
      <c r="AK26" s="16">
        <v>0</v>
      </c>
      <c r="AL26" s="98">
        <v>123</v>
      </c>
      <c r="AM26" s="16">
        <v>29</v>
      </c>
      <c r="AN26" s="16">
        <v>10</v>
      </c>
      <c r="AO26" s="16">
        <v>477</v>
      </c>
      <c r="AP26" s="16">
        <v>50</v>
      </c>
      <c r="AQ26" s="16">
        <v>16</v>
      </c>
      <c r="AR26" s="16">
        <v>66</v>
      </c>
      <c r="AS26" s="16">
        <v>58</v>
      </c>
      <c r="AT26" s="16">
        <v>36</v>
      </c>
      <c r="AU26" s="16">
        <v>118</v>
      </c>
      <c r="AV26" s="16">
        <v>1644</v>
      </c>
      <c r="AW26" s="16">
        <v>136</v>
      </c>
      <c r="AX26" s="16">
        <v>7</v>
      </c>
      <c r="AY26" s="16">
        <v>189</v>
      </c>
      <c r="AZ26" s="16">
        <v>169</v>
      </c>
      <c r="BA26" s="16">
        <v>3</v>
      </c>
      <c r="BB26" s="16">
        <v>53</v>
      </c>
      <c r="BC26" s="16">
        <v>104</v>
      </c>
      <c r="BD26" s="16">
        <v>133</v>
      </c>
      <c r="BE26" s="16">
        <v>80</v>
      </c>
      <c r="BF26" s="16">
        <v>71</v>
      </c>
      <c r="BG26" s="16">
        <v>128</v>
      </c>
      <c r="BH26" s="16">
        <v>143</v>
      </c>
      <c r="BI26" s="16">
        <v>575</v>
      </c>
      <c r="BJ26" s="16">
        <v>314</v>
      </c>
      <c r="BK26" s="16">
        <v>150</v>
      </c>
      <c r="BL26" s="16">
        <v>77</v>
      </c>
      <c r="BM26" s="16">
        <v>159</v>
      </c>
      <c r="BN26" s="16">
        <v>1</v>
      </c>
      <c r="BO26" s="16">
        <v>2</v>
      </c>
      <c r="BP26" s="16">
        <v>501</v>
      </c>
    </row>
    <row r="27" spans="1:68" s="5" customFormat="1" ht="21.9" customHeight="1" x14ac:dyDescent="0.25">
      <c r="A27" s="125"/>
      <c r="C27" s="47" t="s">
        <v>76</v>
      </c>
      <c r="D27" s="48"/>
      <c r="E27" s="16">
        <v>174</v>
      </c>
      <c r="F27" s="16">
        <v>0</v>
      </c>
      <c r="G27" s="16">
        <v>0</v>
      </c>
      <c r="H27" s="16">
        <v>0</v>
      </c>
      <c r="I27" s="16">
        <v>0</v>
      </c>
      <c r="J27" s="16">
        <v>0</v>
      </c>
      <c r="K27" s="16">
        <v>0</v>
      </c>
      <c r="L27" s="16">
        <v>6</v>
      </c>
      <c r="M27" s="16">
        <v>2</v>
      </c>
      <c r="N27" s="16">
        <v>0</v>
      </c>
      <c r="O27" s="16">
        <v>0</v>
      </c>
      <c r="P27" s="16">
        <v>1</v>
      </c>
      <c r="Q27" s="16">
        <v>0</v>
      </c>
      <c r="R27" s="16">
        <v>5</v>
      </c>
      <c r="S27" s="16">
        <v>0</v>
      </c>
      <c r="T27" s="16">
        <v>0</v>
      </c>
      <c r="U27" s="16">
        <v>0</v>
      </c>
      <c r="V27" s="16">
        <v>6</v>
      </c>
      <c r="W27" s="16">
        <v>0</v>
      </c>
      <c r="X27" s="16">
        <v>15</v>
      </c>
      <c r="Y27" s="16">
        <v>0</v>
      </c>
      <c r="Z27" s="16">
        <v>3</v>
      </c>
      <c r="AA27" s="16">
        <v>7</v>
      </c>
      <c r="AB27" s="16">
        <v>0</v>
      </c>
      <c r="AC27" s="16">
        <v>2</v>
      </c>
      <c r="AD27" s="16">
        <v>0</v>
      </c>
      <c r="AE27" s="16">
        <v>14</v>
      </c>
      <c r="AF27" s="16">
        <v>11</v>
      </c>
      <c r="AG27" s="16">
        <v>6</v>
      </c>
      <c r="AH27" s="16">
        <v>34</v>
      </c>
      <c r="AI27" s="16">
        <v>3</v>
      </c>
      <c r="AJ27" s="16">
        <v>4</v>
      </c>
      <c r="AK27" s="16">
        <v>0</v>
      </c>
      <c r="AL27" s="98">
        <v>6</v>
      </c>
      <c r="AM27" s="16">
        <v>0</v>
      </c>
      <c r="AN27" s="16">
        <v>0</v>
      </c>
      <c r="AO27" s="16">
        <v>3</v>
      </c>
      <c r="AP27" s="16">
        <v>0</v>
      </c>
      <c r="AQ27" s="16">
        <v>0</v>
      </c>
      <c r="AR27" s="16">
        <v>0</v>
      </c>
      <c r="AS27" s="16">
        <v>5</v>
      </c>
      <c r="AT27" s="16">
        <v>1</v>
      </c>
      <c r="AU27" s="16">
        <v>0</v>
      </c>
      <c r="AV27" s="16">
        <v>2</v>
      </c>
      <c r="AW27" s="16">
        <v>3</v>
      </c>
      <c r="AX27" s="16">
        <v>2</v>
      </c>
      <c r="AY27" s="16">
        <v>0</v>
      </c>
      <c r="AZ27" s="16">
        <v>4</v>
      </c>
      <c r="BA27" s="16">
        <v>0</v>
      </c>
      <c r="BB27" s="16">
        <v>1</v>
      </c>
      <c r="BC27" s="16">
        <v>3</v>
      </c>
      <c r="BD27" s="16">
        <v>4</v>
      </c>
      <c r="BE27" s="16">
        <v>0</v>
      </c>
      <c r="BF27" s="16">
        <v>0</v>
      </c>
      <c r="BG27" s="16">
        <v>1</v>
      </c>
      <c r="BH27" s="16">
        <v>8</v>
      </c>
      <c r="BI27" s="16">
        <v>0</v>
      </c>
      <c r="BJ27" s="16">
        <v>5</v>
      </c>
      <c r="BK27" s="16">
        <v>4</v>
      </c>
      <c r="BL27" s="16">
        <v>2</v>
      </c>
      <c r="BM27" s="16">
        <v>0</v>
      </c>
      <c r="BN27" s="16">
        <v>0</v>
      </c>
      <c r="BO27" s="16">
        <v>0</v>
      </c>
      <c r="BP27" s="16">
        <v>1</v>
      </c>
    </row>
    <row r="28" spans="1:68" s="5" customFormat="1" ht="21.9" customHeight="1" x14ac:dyDescent="0.25">
      <c r="A28" s="125" t="s">
        <v>82</v>
      </c>
      <c r="B28" s="4"/>
      <c r="C28" s="47" t="s">
        <v>75</v>
      </c>
      <c r="D28" s="48"/>
      <c r="E28" s="16">
        <v>19211</v>
      </c>
      <c r="F28" s="16">
        <v>163</v>
      </c>
      <c r="G28" s="16">
        <v>203</v>
      </c>
      <c r="H28" s="16">
        <v>41</v>
      </c>
      <c r="I28" s="16">
        <v>11</v>
      </c>
      <c r="J28" s="16">
        <v>120</v>
      </c>
      <c r="K28" s="16">
        <v>109</v>
      </c>
      <c r="L28" s="16">
        <v>102</v>
      </c>
      <c r="M28" s="16">
        <v>356</v>
      </c>
      <c r="N28" s="16">
        <v>160</v>
      </c>
      <c r="O28" s="16">
        <v>35</v>
      </c>
      <c r="P28" s="16">
        <v>28</v>
      </c>
      <c r="Q28" s="16">
        <v>0</v>
      </c>
      <c r="R28" s="16">
        <v>25</v>
      </c>
      <c r="S28" s="16">
        <v>81</v>
      </c>
      <c r="T28" s="16">
        <v>60</v>
      </c>
      <c r="U28" s="16">
        <v>43</v>
      </c>
      <c r="V28" s="16">
        <v>1180</v>
      </c>
      <c r="W28" s="16">
        <v>123</v>
      </c>
      <c r="X28" s="16">
        <v>119</v>
      </c>
      <c r="Y28" s="16">
        <v>32</v>
      </c>
      <c r="Z28" s="16">
        <v>487</v>
      </c>
      <c r="AA28" s="16">
        <v>40</v>
      </c>
      <c r="AB28" s="16">
        <v>6</v>
      </c>
      <c r="AC28" s="16">
        <v>185</v>
      </c>
      <c r="AD28" s="16">
        <v>234</v>
      </c>
      <c r="AE28" s="16">
        <v>4477</v>
      </c>
      <c r="AF28" s="16">
        <v>4500</v>
      </c>
      <c r="AG28" s="16">
        <v>577</v>
      </c>
      <c r="AH28" s="16">
        <v>655</v>
      </c>
      <c r="AI28" s="16">
        <v>43</v>
      </c>
      <c r="AJ28" s="16">
        <v>175</v>
      </c>
      <c r="AK28" s="16">
        <v>22</v>
      </c>
      <c r="AL28" s="98">
        <v>71</v>
      </c>
      <c r="AM28" s="16">
        <v>102</v>
      </c>
      <c r="AN28" s="16">
        <v>11</v>
      </c>
      <c r="AO28" s="16">
        <v>265</v>
      </c>
      <c r="AP28" s="16">
        <v>0</v>
      </c>
      <c r="AQ28" s="16">
        <v>0</v>
      </c>
      <c r="AR28" s="16">
        <v>43</v>
      </c>
      <c r="AS28" s="16">
        <v>93</v>
      </c>
      <c r="AT28" s="16">
        <v>16</v>
      </c>
      <c r="AU28" s="16">
        <v>206</v>
      </c>
      <c r="AV28" s="16">
        <v>1802</v>
      </c>
      <c r="AW28" s="16">
        <v>80</v>
      </c>
      <c r="AX28" s="16">
        <v>0</v>
      </c>
      <c r="AY28" s="16">
        <v>26</v>
      </c>
      <c r="AZ28" s="16">
        <v>11</v>
      </c>
      <c r="BA28" s="16">
        <v>0</v>
      </c>
      <c r="BB28" s="16">
        <v>240</v>
      </c>
      <c r="BC28" s="16">
        <v>139</v>
      </c>
      <c r="BD28" s="16">
        <v>21</v>
      </c>
      <c r="BE28" s="16">
        <v>78</v>
      </c>
      <c r="BF28" s="16">
        <v>154</v>
      </c>
      <c r="BG28" s="16">
        <v>385</v>
      </c>
      <c r="BH28" s="16">
        <v>26</v>
      </c>
      <c r="BI28" s="16">
        <v>327</v>
      </c>
      <c r="BJ28" s="16">
        <v>91</v>
      </c>
      <c r="BK28" s="16">
        <v>212</v>
      </c>
      <c r="BL28" s="16">
        <v>204</v>
      </c>
      <c r="BM28" s="16">
        <v>161</v>
      </c>
      <c r="BN28" s="16">
        <v>0</v>
      </c>
      <c r="BO28" s="16">
        <v>13</v>
      </c>
      <c r="BP28" s="16">
        <v>42</v>
      </c>
    </row>
    <row r="29" spans="1:68" s="5" customFormat="1" ht="21.9" customHeight="1" x14ac:dyDescent="0.25">
      <c r="A29" s="125"/>
      <c r="B29" s="4"/>
      <c r="C29" s="47" t="s">
        <v>76</v>
      </c>
      <c r="D29" s="48"/>
      <c r="E29" s="16">
        <v>112</v>
      </c>
      <c r="F29" s="16">
        <v>0</v>
      </c>
      <c r="G29" s="16">
        <v>0</v>
      </c>
      <c r="H29" s="16">
        <v>0</v>
      </c>
      <c r="I29" s="16">
        <v>0</v>
      </c>
      <c r="J29" s="16">
        <v>0</v>
      </c>
      <c r="K29" s="16">
        <v>0</v>
      </c>
      <c r="L29" s="16">
        <v>3</v>
      </c>
      <c r="M29" s="16">
        <v>2</v>
      </c>
      <c r="N29" s="16">
        <v>0</v>
      </c>
      <c r="O29" s="16">
        <v>0</v>
      </c>
      <c r="P29" s="16">
        <v>0</v>
      </c>
      <c r="Q29" s="16">
        <v>0</v>
      </c>
      <c r="R29" s="16">
        <v>0</v>
      </c>
      <c r="S29" s="16">
        <v>0</v>
      </c>
      <c r="T29" s="16">
        <v>0</v>
      </c>
      <c r="U29" s="16">
        <v>0</v>
      </c>
      <c r="V29" s="16">
        <v>3</v>
      </c>
      <c r="W29" s="16">
        <v>1</v>
      </c>
      <c r="X29" s="16">
        <v>0</v>
      </c>
      <c r="Y29" s="16">
        <v>0</v>
      </c>
      <c r="Z29" s="16">
        <v>1</v>
      </c>
      <c r="AA29" s="16">
        <v>2</v>
      </c>
      <c r="AB29" s="16">
        <v>0</v>
      </c>
      <c r="AC29" s="16">
        <v>0</v>
      </c>
      <c r="AD29" s="16">
        <v>0</v>
      </c>
      <c r="AE29" s="16">
        <v>3</v>
      </c>
      <c r="AF29" s="16">
        <v>2</v>
      </c>
      <c r="AG29" s="16">
        <v>0</v>
      </c>
      <c r="AH29" s="16">
        <v>27</v>
      </c>
      <c r="AI29" s="16">
        <v>6</v>
      </c>
      <c r="AJ29" s="16">
        <v>3</v>
      </c>
      <c r="AK29" s="16">
        <v>0</v>
      </c>
      <c r="AL29" s="98">
        <v>4</v>
      </c>
      <c r="AM29" s="16">
        <v>0</v>
      </c>
      <c r="AN29" s="16">
        <v>0</v>
      </c>
      <c r="AO29" s="16">
        <v>2</v>
      </c>
      <c r="AP29" s="16">
        <v>0</v>
      </c>
      <c r="AQ29" s="16">
        <v>0</v>
      </c>
      <c r="AR29" s="16">
        <v>1</v>
      </c>
      <c r="AS29" s="16">
        <v>11</v>
      </c>
      <c r="AT29" s="16">
        <v>3</v>
      </c>
      <c r="AU29" s="16">
        <v>0</v>
      </c>
      <c r="AV29" s="16">
        <v>2</v>
      </c>
      <c r="AW29" s="16">
        <v>1</v>
      </c>
      <c r="AX29" s="16">
        <v>0</v>
      </c>
      <c r="AY29" s="16">
        <v>0</v>
      </c>
      <c r="AZ29" s="16">
        <v>1</v>
      </c>
      <c r="BA29" s="16">
        <v>0</v>
      </c>
      <c r="BB29" s="16">
        <v>2</v>
      </c>
      <c r="BC29" s="16">
        <v>0</v>
      </c>
      <c r="BD29" s="16">
        <v>5</v>
      </c>
      <c r="BE29" s="16">
        <v>0</v>
      </c>
      <c r="BF29" s="16">
        <v>1</v>
      </c>
      <c r="BG29" s="16">
        <v>2</v>
      </c>
      <c r="BH29" s="16">
        <v>5</v>
      </c>
      <c r="BI29" s="16">
        <v>0</v>
      </c>
      <c r="BJ29" s="16">
        <v>1</v>
      </c>
      <c r="BK29" s="16">
        <v>5</v>
      </c>
      <c r="BL29" s="16">
        <v>5</v>
      </c>
      <c r="BM29" s="16">
        <v>0</v>
      </c>
      <c r="BN29" s="16">
        <v>0</v>
      </c>
      <c r="BO29" s="16">
        <v>0</v>
      </c>
      <c r="BP29" s="16">
        <v>8</v>
      </c>
    </row>
    <row r="30" spans="1:68" s="5" customFormat="1" ht="21.9" customHeight="1" x14ac:dyDescent="0.25">
      <c r="A30" s="125" t="s">
        <v>83</v>
      </c>
      <c r="B30" s="4"/>
      <c r="C30" s="47" t="s">
        <v>75</v>
      </c>
      <c r="D30" s="48"/>
      <c r="E30" s="16">
        <v>7760</v>
      </c>
      <c r="F30" s="16">
        <v>29</v>
      </c>
      <c r="G30" s="16">
        <v>20</v>
      </c>
      <c r="H30" s="16">
        <v>0</v>
      </c>
      <c r="I30" s="16">
        <v>5</v>
      </c>
      <c r="J30" s="16">
        <v>5</v>
      </c>
      <c r="K30" s="16">
        <v>68</v>
      </c>
      <c r="L30" s="16">
        <v>626</v>
      </c>
      <c r="M30" s="16">
        <v>68</v>
      </c>
      <c r="N30" s="16">
        <v>0</v>
      </c>
      <c r="O30" s="16">
        <v>147</v>
      </c>
      <c r="P30" s="16">
        <v>10</v>
      </c>
      <c r="Q30" s="16">
        <v>0</v>
      </c>
      <c r="R30" s="16">
        <v>506</v>
      </c>
      <c r="S30" s="16">
        <v>64</v>
      </c>
      <c r="T30" s="16">
        <v>1</v>
      </c>
      <c r="U30" s="16">
        <v>300</v>
      </c>
      <c r="V30" s="16">
        <v>493</v>
      </c>
      <c r="W30" s="16">
        <v>17</v>
      </c>
      <c r="X30" s="16">
        <v>20</v>
      </c>
      <c r="Y30" s="16">
        <v>56</v>
      </c>
      <c r="Z30" s="16">
        <v>160</v>
      </c>
      <c r="AA30" s="16">
        <v>85</v>
      </c>
      <c r="AB30" s="16">
        <v>3</v>
      </c>
      <c r="AC30" s="16">
        <v>24</v>
      </c>
      <c r="AD30" s="16">
        <v>9</v>
      </c>
      <c r="AE30" s="16">
        <v>374</v>
      </c>
      <c r="AF30" s="16">
        <v>295</v>
      </c>
      <c r="AG30" s="16">
        <v>250</v>
      </c>
      <c r="AH30" s="16">
        <v>1581</v>
      </c>
      <c r="AI30" s="16">
        <v>150</v>
      </c>
      <c r="AJ30" s="16">
        <v>44</v>
      </c>
      <c r="AK30" s="16">
        <v>2</v>
      </c>
      <c r="AL30" s="98">
        <v>39</v>
      </c>
      <c r="AM30" s="16">
        <v>8</v>
      </c>
      <c r="AN30" s="16">
        <v>3</v>
      </c>
      <c r="AO30" s="16">
        <v>8</v>
      </c>
      <c r="AP30" s="16">
        <v>2</v>
      </c>
      <c r="AQ30" s="16">
        <v>2</v>
      </c>
      <c r="AR30" s="16">
        <v>21</v>
      </c>
      <c r="AS30" s="16">
        <v>70</v>
      </c>
      <c r="AT30" s="16">
        <v>7</v>
      </c>
      <c r="AU30" s="16">
        <v>39</v>
      </c>
      <c r="AV30" s="16">
        <v>336</v>
      </c>
      <c r="AW30" s="16">
        <v>129</v>
      </c>
      <c r="AX30" s="16">
        <v>1</v>
      </c>
      <c r="AY30" s="16">
        <v>373</v>
      </c>
      <c r="AZ30" s="16">
        <v>81</v>
      </c>
      <c r="BA30" s="16">
        <v>9</v>
      </c>
      <c r="BB30" s="16">
        <v>54</v>
      </c>
      <c r="BC30" s="16">
        <v>61</v>
      </c>
      <c r="BD30" s="16">
        <v>16</v>
      </c>
      <c r="BE30" s="16">
        <v>116</v>
      </c>
      <c r="BF30" s="16">
        <v>36</v>
      </c>
      <c r="BG30" s="16">
        <v>310</v>
      </c>
      <c r="BH30" s="16">
        <v>12</v>
      </c>
      <c r="BI30" s="16">
        <v>34</v>
      </c>
      <c r="BJ30" s="16">
        <v>255</v>
      </c>
      <c r="BK30" s="16">
        <v>33</v>
      </c>
      <c r="BL30" s="16">
        <v>21</v>
      </c>
      <c r="BM30" s="16">
        <v>1</v>
      </c>
      <c r="BN30" s="16">
        <v>1</v>
      </c>
      <c r="BO30" s="16">
        <v>1</v>
      </c>
      <c r="BP30" s="16">
        <v>269</v>
      </c>
    </row>
    <row r="31" spans="1:68" s="5" customFormat="1" ht="21.9" customHeight="1" x14ac:dyDescent="0.25">
      <c r="A31" s="125"/>
      <c r="B31" s="4"/>
      <c r="C31" s="47" t="s">
        <v>76</v>
      </c>
      <c r="D31" s="48"/>
      <c r="E31" s="16">
        <v>98</v>
      </c>
      <c r="F31" s="16">
        <v>0</v>
      </c>
      <c r="G31" s="16">
        <v>0</v>
      </c>
      <c r="H31" s="16">
        <v>0</v>
      </c>
      <c r="I31" s="16">
        <v>0</v>
      </c>
      <c r="J31" s="16">
        <v>0</v>
      </c>
      <c r="K31" s="16">
        <v>2</v>
      </c>
      <c r="L31" s="16">
        <v>1</v>
      </c>
      <c r="M31" s="16">
        <v>0</v>
      </c>
      <c r="N31" s="16">
        <v>0</v>
      </c>
      <c r="O31" s="16">
        <v>0</v>
      </c>
      <c r="P31" s="16">
        <v>0</v>
      </c>
      <c r="Q31" s="16">
        <v>0</v>
      </c>
      <c r="R31" s="16">
        <v>2</v>
      </c>
      <c r="S31" s="16">
        <v>0</v>
      </c>
      <c r="T31" s="16">
        <v>0</v>
      </c>
      <c r="U31" s="16">
        <v>3</v>
      </c>
      <c r="V31" s="16">
        <v>3</v>
      </c>
      <c r="W31" s="16">
        <v>0</v>
      </c>
      <c r="X31" s="16">
        <v>0</v>
      </c>
      <c r="Y31" s="16">
        <v>1</v>
      </c>
      <c r="Z31" s="16">
        <v>8</v>
      </c>
      <c r="AA31" s="16">
        <v>0</v>
      </c>
      <c r="AB31" s="16">
        <v>0</v>
      </c>
      <c r="AC31" s="16">
        <v>4</v>
      </c>
      <c r="AD31" s="16">
        <v>2</v>
      </c>
      <c r="AE31" s="16">
        <v>9</v>
      </c>
      <c r="AF31" s="16">
        <v>7</v>
      </c>
      <c r="AG31" s="16">
        <v>0</v>
      </c>
      <c r="AH31" s="16">
        <v>29</v>
      </c>
      <c r="AI31" s="16">
        <v>3</v>
      </c>
      <c r="AJ31" s="16">
        <v>1</v>
      </c>
      <c r="AK31" s="16">
        <v>0</v>
      </c>
      <c r="AL31" s="98">
        <v>1</v>
      </c>
      <c r="AM31" s="16">
        <v>1</v>
      </c>
      <c r="AN31" s="16">
        <v>0</v>
      </c>
      <c r="AO31" s="16">
        <v>0</v>
      </c>
      <c r="AP31" s="16">
        <v>0</v>
      </c>
      <c r="AQ31" s="16">
        <v>0</v>
      </c>
      <c r="AR31" s="16">
        <v>0</v>
      </c>
      <c r="AS31" s="16">
        <v>1</v>
      </c>
      <c r="AT31" s="16">
        <v>0</v>
      </c>
      <c r="AU31" s="16">
        <v>0</v>
      </c>
      <c r="AV31" s="16">
        <v>4</v>
      </c>
      <c r="AW31" s="16">
        <v>0</v>
      </c>
      <c r="AX31" s="16">
        <v>0</v>
      </c>
      <c r="AY31" s="16">
        <v>3</v>
      </c>
      <c r="AZ31" s="16">
        <v>0</v>
      </c>
      <c r="BA31" s="16">
        <v>0</v>
      </c>
      <c r="BB31" s="16">
        <v>0</v>
      </c>
      <c r="BC31" s="16">
        <v>0</v>
      </c>
      <c r="BD31" s="16">
        <v>0</v>
      </c>
      <c r="BE31" s="16">
        <v>0</v>
      </c>
      <c r="BF31" s="16">
        <v>3</v>
      </c>
      <c r="BG31" s="16">
        <v>9</v>
      </c>
      <c r="BH31" s="16">
        <v>1</v>
      </c>
      <c r="BI31" s="16">
        <v>0</v>
      </c>
      <c r="BJ31" s="16">
        <v>0</v>
      </c>
      <c r="BK31" s="16">
        <v>0</v>
      </c>
      <c r="BL31" s="16">
        <v>0</v>
      </c>
      <c r="BM31" s="16">
        <v>0</v>
      </c>
      <c r="BN31" s="16">
        <v>0</v>
      </c>
      <c r="BO31" s="16">
        <v>0</v>
      </c>
      <c r="BP31" s="16">
        <v>0</v>
      </c>
    </row>
    <row r="32" spans="1:68" s="5" customFormat="1" ht="21.9" customHeight="1" x14ac:dyDescent="0.25">
      <c r="A32" s="125" t="s">
        <v>261</v>
      </c>
      <c r="B32" s="4"/>
      <c r="C32" s="47" t="s">
        <v>142</v>
      </c>
      <c r="D32" s="48"/>
      <c r="E32" s="16">
        <v>21692</v>
      </c>
      <c r="F32" s="16">
        <v>86</v>
      </c>
      <c r="G32" s="16">
        <v>54</v>
      </c>
      <c r="H32" s="16">
        <v>16</v>
      </c>
      <c r="I32" s="16">
        <v>2</v>
      </c>
      <c r="J32" s="16">
        <v>10</v>
      </c>
      <c r="K32" s="16">
        <v>178</v>
      </c>
      <c r="L32" s="16">
        <v>1783</v>
      </c>
      <c r="M32" s="16">
        <v>381</v>
      </c>
      <c r="N32" s="16">
        <v>0</v>
      </c>
      <c r="O32" s="16">
        <v>271</v>
      </c>
      <c r="P32" s="16">
        <v>153</v>
      </c>
      <c r="Q32" s="16">
        <v>0</v>
      </c>
      <c r="R32" s="16">
        <v>274</v>
      </c>
      <c r="S32" s="16">
        <v>251</v>
      </c>
      <c r="T32" s="16">
        <v>457</v>
      </c>
      <c r="U32" s="16">
        <v>441</v>
      </c>
      <c r="V32" s="16">
        <v>1834</v>
      </c>
      <c r="W32" s="16">
        <v>75</v>
      </c>
      <c r="X32" s="16">
        <v>395</v>
      </c>
      <c r="Y32" s="16">
        <v>105</v>
      </c>
      <c r="Z32" s="16">
        <v>272</v>
      </c>
      <c r="AA32" s="16">
        <v>304</v>
      </c>
      <c r="AB32" s="16">
        <v>346</v>
      </c>
      <c r="AC32" s="16">
        <v>63</v>
      </c>
      <c r="AD32" s="16">
        <v>390</v>
      </c>
      <c r="AE32" s="16">
        <v>475</v>
      </c>
      <c r="AF32" s="16">
        <v>422</v>
      </c>
      <c r="AG32" s="16">
        <v>209</v>
      </c>
      <c r="AH32" s="16">
        <v>1059</v>
      </c>
      <c r="AI32" s="16">
        <v>442</v>
      </c>
      <c r="AJ32" s="16">
        <v>259</v>
      </c>
      <c r="AK32" s="16">
        <v>19</v>
      </c>
      <c r="AL32" s="98">
        <v>175</v>
      </c>
      <c r="AM32" s="16">
        <v>22</v>
      </c>
      <c r="AN32" s="16">
        <v>4</v>
      </c>
      <c r="AO32" s="16">
        <v>402</v>
      </c>
      <c r="AP32" s="16">
        <v>163</v>
      </c>
      <c r="AQ32" s="16">
        <v>23</v>
      </c>
      <c r="AR32" s="16">
        <v>222</v>
      </c>
      <c r="AS32" s="16">
        <v>80</v>
      </c>
      <c r="AT32" s="16">
        <v>3</v>
      </c>
      <c r="AU32" s="16">
        <v>64</v>
      </c>
      <c r="AV32" s="16">
        <v>949</v>
      </c>
      <c r="AW32" s="16">
        <v>569</v>
      </c>
      <c r="AX32" s="16">
        <v>50</v>
      </c>
      <c r="AY32" s="16">
        <v>1727</v>
      </c>
      <c r="AZ32" s="16">
        <v>1735</v>
      </c>
      <c r="BA32" s="16">
        <v>608</v>
      </c>
      <c r="BB32" s="16">
        <v>148</v>
      </c>
      <c r="BC32" s="16">
        <v>181</v>
      </c>
      <c r="BD32" s="16">
        <v>90</v>
      </c>
      <c r="BE32" s="16">
        <v>460</v>
      </c>
      <c r="BF32" s="16">
        <v>222</v>
      </c>
      <c r="BG32" s="16">
        <v>550</v>
      </c>
      <c r="BH32" s="16">
        <v>915</v>
      </c>
      <c r="BI32" s="16">
        <v>474</v>
      </c>
      <c r="BJ32" s="16">
        <v>231</v>
      </c>
      <c r="BK32" s="16">
        <v>247</v>
      </c>
      <c r="BL32" s="16">
        <v>60</v>
      </c>
      <c r="BM32" s="16">
        <v>105</v>
      </c>
      <c r="BN32" s="16">
        <v>1</v>
      </c>
      <c r="BO32" s="16">
        <v>24</v>
      </c>
      <c r="BP32" s="16">
        <v>162</v>
      </c>
    </row>
    <row r="33" spans="1:68" s="5" customFormat="1" ht="21.9" customHeight="1" x14ac:dyDescent="0.25">
      <c r="A33" s="125"/>
      <c r="B33" s="4"/>
      <c r="C33" s="47" t="s">
        <v>76</v>
      </c>
      <c r="D33" s="48"/>
      <c r="E33" s="16">
        <v>261</v>
      </c>
      <c r="F33" s="16">
        <v>0</v>
      </c>
      <c r="G33" s="16">
        <v>0</v>
      </c>
      <c r="H33" s="16">
        <v>0</v>
      </c>
      <c r="I33" s="16">
        <v>0</v>
      </c>
      <c r="J33" s="16">
        <v>0</v>
      </c>
      <c r="K33" s="16">
        <v>0</v>
      </c>
      <c r="L33" s="16">
        <v>1</v>
      </c>
      <c r="M33" s="16">
        <v>4</v>
      </c>
      <c r="N33" s="16">
        <v>0</v>
      </c>
      <c r="O33" s="16">
        <v>3</v>
      </c>
      <c r="P33" s="16">
        <v>4</v>
      </c>
      <c r="Q33" s="16">
        <v>0</v>
      </c>
      <c r="R33" s="16">
        <v>10</v>
      </c>
      <c r="S33" s="16">
        <v>2</v>
      </c>
      <c r="T33" s="16">
        <v>1</v>
      </c>
      <c r="U33" s="16">
        <v>1</v>
      </c>
      <c r="V33" s="16">
        <v>6</v>
      </c>
      <c r="W33" s="16">
        <v>1</v>
      </c>
      <c r="X33" s="16">
        <v>13</v>
      </c>
      <c r="Y33" s="16">
        <v>0</v>
      </c>
      <c r="Z33" s="16">
        <v>5</v>
      </c>
      <c r="AA33" s="16">
        <v>3</v>
      </c>
      <c r="AB33" s="16">
        <v>0</v>
      </c>
      <c r="AC33" s="16">
        <v>1</v>
      </c>
      <c r="AD33" s="16">
        <v>1</v>
      </c>
      <c r="AE33" s="16">
        <v>13</v>
      </c>
      <c r="AF33" s="16">
        <v>10</v>
      </c>
      <c r="AG33" s="16">
        <v>4</v>
      </c>
      <c r="AH33" s="16">
        <v>43</v>
      </c>
      <c r="AI33" s="16">
        <v>25</v>
      </c>
      <c r="AJ33" s="16">
        <v>5</v>
      </c>
      <c r="AK33" s="16">
        <v>0</v>
      </c>
      <c r="AL33" s="98">
        <v>6</v>
      </c>
      <c r="AM33" s="16">
        <v>0</v>
      </c>
      <c r="AN33" s="16">
        <v>0</v>
      </c>
      <c r="AO33" s="16">
        <v>9</v>
      </c>
      <c r="AP33" s="16">
        <v>0</v>
      </c>
      <c r="AQ33" s="16">
        <v>0</v>
      </c>
      <c r="AR33" s="16">
        <v>3</v>
      </c>
      <c r="AS33" s="16">
        <v>7</v>
      </c>
      <c r="AT33" s="16">
        <v>0</v>
      </c>
      <c r="AU33" s="16">
        <v>0</v>
      </c>
      <c r="AV33" s="16">
        <v>5</v>
      </c>
      <c r="AW33" s="16">
        <v>25</v>
      </c>
      <c r="AX33" s="16">
        <v>0</v>
      </c>
      <c r="AY33" s="16">
        <v>0</v>
      </c>
      <c r="AZ33" s="16">
        <v>1</v>
      </c>
      <c r="BA33" s="16">
        <v>4</v>
      </c>
      <c r="BB33" s="16">
        <v>0</v>
      </c>
      <c r="BC33" s="16">
        <v>4</v>
      </c>
      <c r="BD33" s="16">
        <v>0</v>
      </c>
      <c r="BE33" s="16">
        <v>2</v>
      </c>
      <c r="BF33" s="16">
        <v>1</v>
      </c>
      <c r="BG33" s="16">
        <v>0</v>
      </c>
      <c r="BH33" s="16">
        <v>5</v>
      </c>
      <c r="BI33" s="16">
        <v>0</v>
      </c>
      <c r="BJ33" s="16">
        <v>7</v>
      </c>
      <c r="BK33" s="16">
        <v>22</v>
      </c>
      <c r="BL33" s="16">
        <v>4</v>
      </c>
      <c r="BM33" s="16">
        <v>0</v>
      </c>
      <c r="BN33" s="16">
        <v>0</v>
      </c>
      <c r="BO33" s="16">
        <v>0</v>
      </c>
      <c r="BP33" s="16">
        <v>0</v>
      </c>
    </row>
    <row r="34" spans="1:68" s="5" customFormat="1" ht="21.9" customHeight="1" x14ac:dyDescent="0.25">
      <c r="A34" s="125" t="s">
        <v>262</v>
      </c>
      <c r="C34" s="47" t="s">
        <v>75</v>
      </c>
      <c r="D34" s="48"/>
      <c r="E34" s="16">
        <v>12073</v>
      </c>
      <c r="F34" s="16">
        <v>59</v>
      </c>
      <c r="G34" s="16">
        <v>129</v>
      </c>
      <c r="H34" s="16">
        <v>9</v>
      </c>
      <c r="I34" s="16">
        <v>4</v>
      </c>
      <c r="J34" s="16">
        <v>22</v>
      </c>
      <c r="K34" s="16">
        <v>25</v>
      </c>
      <c r="L34" s="16">
        <v>287</v>
      </c>
      <c r="M34" s="16">
        <v>164</v>
      </c>
      <c r="N34" s="16">
        <v>20</v>
      </c>
      <c r="O34" s="16">
        <v>60</v>
      </c>
      <c r="P34" s="16">
        <v>7</v>
      </c>
      <c r="Q34" s="16">
        <v>0</v>
      </c>
      <c r="R34" s="16">
        <v>66</v>
      </c>
      <c r="S34" s="16">
        <v>87</v>
      </c>
      <c r="T34" s="16">
        <v>29</v>
      </c>
      <c r="U34" s="16">
        <v>128</v>
      </c>
      <c r="V34" s="16">
        <v>655</v>
      </c>
      <c r="W34" s="16">
        <v>54</v>
      </c>
      <c r="X34" s="16">
        <v>109</v>
      </c>
      <c r="Y34" s="16">
        <v>55</v>
      </c>
      <c r="Z34" s="16">
        <v>472</v>
      </c>
      <c r="AA34" s="16">
        <v>85</v>
      </c>
      <c r="AB34" s="16">
        <v>154</v>
      </c>
      <c r="AC34" s="16">
        <v>44</v>
      </c>
      <c r="AD34" s="16">
        <v>89</v>
      </c>
      <c r="AE34" s="16">
        <v>2112</v>
      </c>
      <c r="AF34" s="16">
        <v>464</v>
      </c>
      <c r="AG34" s="16">
        <v>273</v>
      </c>
      <c r="AH34" s="16">
        <v>681</v>
      </c>
      <c r="AI34" s="16">
        <v>256</v>
      </c>
      <c r="AJ34" s="16">
        <v>169</v>
      </c>
      <c r="AK34" s="16">
        <v>7</v>
      </c>
      <c r="AL34" s="98">
        <v>141</v>
      </c>
      <c r="AM34" s="16">
        <v>31</v>
      </c>
      <c r="AN34" s="16">
        <v>5</v>
      </c>
      <c r="AO34" s="16">
        <v>752</v>
      </c>
      <c r="AP34" s="16">
        <v>2</v>
      </c>
      <c r="AQ34" s="16">
        <v>3</v>
      </c>
      <c r="AR34" s="16">
        <v>29</v>
      </c>
      <c r="AS34" s="16">
        <v>46</v>
      </c>
      <c r="AT34" s="16">
        <v>23</v>
      </c>
      <c r="AU34" s="16">
        <v>74</v>
      </c>
      <c r="AV34" s="16">
        <v>984</v>
      </c>
      <c r="AW34" s="16">
        <v>230</v>
      </c>
      <c r="AX34" s="16">
        <v>7</v>
      </c>
      <c r="AY34" s="16">
        <v>538</v>
      </c>
      <c r="AZ34" s="16">
        <v>100</v>
      </c>
      <c r="BA34" s="16">
        <v>3</v>
      </c>
      <c r="BB34" s="16">
        <v>31</v>
      </c>
      <c r="BC34" s="16">
        <v>15</v>
      </c>
      <c r="BD34" s="16">
        <v>5</v>
      </c>
      <c r="BE34" s="16">
        <v>380</v>
      </c>
      <c r="BF34" s="16">
        <v>166</v>
      </c>
      <c r="BG34" s="16">
        <v>381</v>
      </c>
      <c r="BH34" s="16">
        <v>333</v>
      </c>
      <c r="BI34" s="16">
        <v>40</v>
      </c>
      <c r="BJ34" s="16">
        <v>472</v>
      </c>
      <c r="BK34" s="16">
        <v>84</v>
      </c>
      <c r="BL34" s="16">
        <v>278</v>
      </c>
      <c r="BM34" s="16">
        <v>83</v>
      </c>
      <c r="BN34" s="16">
        <v>2</v>
      </c>
      <c r="BO34" s="16">
        <v>42</v>
      </c>
      <c r="BP34" s="16">
        <v>18</v>
      </c>
    </row>
    <row r="35" spans="1:68" s="5" customFormat="1" ht="21.9" customHeight="1" x14ac:dyDescent="0.25">
      <c r="A35" s="125"/>
      <c r="C35" s="47" t="s">
        <v>76</v>
      </c>
      <c r="D35" s="48"/>
      <c r="E35" s="16">
        <v>237</v>
      </c>
      <c r="F35" s="16">
        <v>1</v>
      </c>
      <c r="G35" s="16">
        <v>0</v>
      </c>
      <c r="H35" s="16">
        <v>0</v>
      </c>
      <c r="I35" s="16">
        <v>0</v>
      </c>
      <c r="J35" s="16">
        <v>0</v>
      </c>
      <c r="K35" s="16">
        <v>1</v>
      </c>
      <c r="L35" s="16">
        <v>4</v>
      </c>
      <c r="M35" s="16">
        <v>3</v>
      </c>
      <c r="N35" s="16">
        <v>0</v>
      </c>
      <c r="O35" s="16">
        <v>0</v>
      </c>
      <c r="P35" s="16">
        <v>0</v>
      </c>
      <c r="Q35" s="16">
        <v>0</v>
      </c>
      <c r="R35" s="16">
        <v>0</v>
      </c>
      <c r="S35" s="16">
        <v>0</v>
      </c>
      <c r="T35" s="16">
        <v>0</v>
      </c>
      <c r="U35" s="16">
        <v>5</v>
      </c>
      <c r="V35" s="16">
        <v>13</v>
      </c>
      <c r="W35" s="16">
        <v>4</v>
      </c>
      <c r="X35" s="16">
        <v>1</v>
      </c>
      <c r="Y35" s="16">
        <v>0</v>
      </c>
      <c r="Z35" s="16">
        <v>4</v>
      </c>
      <c r="AA35" s="16">
        <v>1</v>
      </c>
      <c r="AB35" s="16">
        <v>1</v>
      </c>
      <c r="AC35" s="16">
        <v>7</v>
      </c>
      <c r="AD35" s="16">
        <v>1</v>
      </c>
      <c r="AE35" s="16">
        <v>10</v>
      </c>
      <c r="AF35" s="16">
        <v>10</v>
      </c>
      <c r="AG35" s="16">
        <v>11</v>
      </c>
      <c r="AH35" s="16">
        <v>52</v>
      </c>
      <c r="AI35" s="16">
        <v>6</v>
      </c>
      <c r="AJ35" s="16">
        <v>6</v>
      </c>
      <c r="AK35" s="16">
        <v>0</v>
      </c>
      <c r="AL35" s="98">
        <v>1</v>
      </c>
      <c r="AM35" s="16">
        <v>0</v>
      </c>
      <c r="AN35" s="16">
        <v>0</v>
      </c>
      <c r="AO35" s="16">
        <v>16</v>
      </c>
      <c r="AP35" s="16">
        <v>0</v>
      </c>
      <c r="AQ35" s="16">
        <v>0</v>
      </c>
      <c r="AR35" s="16">
        <v>0</v>
      </c>
      <c r="AS35" s="16">
        <v>1</v>
      </c>
      <c r="AT35" s="16">
        <v>1</v>
      </c>
      <c r="AU35" s="16">
        <v>0</v>
      </c>
      <c r="AV35" s="16">
        <v>7</v>
      </c>
      <c r="AW35" s="16">
        <v>26</v>
      </c>
      <c r="AX35" s="16">
        <v>0</v>
      </c>
      <c r="AY35" s="16">
        <v>5</v>
      </c>
      <c r="AZ35" s="16">
        <v>0</v>
      </c>
      <c r="BA35" s="16">
        <v>0</v>
      </c>
      <c r="BB35" s="16">
        <v>1</v>
      </c>
      <c r="BC35" s="16">
        <v>0</v>
      </c>
      <c r="BD35" s="16">
        <v>0</v>
      </c>
      <c r="BE35" s="16">
        <v>0</v>
      </c>
      <c r="BF35" s="16">
        <v>3</v>
      </c>
      <c r="BG35" s="16">
        <v>11</v>
      </c>
      <c r="BH35" s="16">
        <v>13</v>
      </c>
      <c r="BI35" s="16">
        <v>1</v>
      </c>
      <c r="BJ35" s="16">
        <v>8</v>
      </c>
      <c r="BK35" s="16">
        <v>0</v>
      </c>
      <c r="BL35" s="16">
        <v>1</v>
      </c>
      <c r="BM35" s="16">
        <v>0</v>
      </c>
      <c r="BN35" s="16">
        <v>0</v>
      </c>
      <c r="BO35" s="16">
        <v>0</v>
      </c>
      <c r="BP35" s="16">
        <v>1</v>
      </c>
    </row>
    <row r="36" spans="1:68" s="5" customFormat="1" ht="21.9" customHeight="1" x14ac:dyDescent="0.25">
      <c r="A36" s="125" t="s">
        <v>86</v>
      </c>
      <c r="B36" s="4"/>
      <c r="C36" s="47" t="s">
        <v>75</v>
      </c>
      <c r="D36" s="48"/>
      <c r="E36" s="16">
        <v>14276</v>
      </c>
      <c r="F36" s="16">
        <v>169</v>
      </c>
      <c r="G36" s="16">
        <v>114</v>
      </c>
      <c r="H36" s="16">
        <v>19</v>
      </c>
      <c r="I36" s="16">
        <v>4</v>
      </c>
      <c r="J36" s="16">
        <v>40</v>
      </c>
      <c r="K36" s="16">
        <v>3</v>
      </c>
      <c r="L36" s="16">
        <v>555</v>
      </c>
      <c r="M36" s="16">
        <v>267</v>
      </c>
      <c r="N36" s="16">
        <v>36</v>
      </c>
      <c r="O36" s="16">
        <v>50</v>
      </c>
      <c r="P36" s="16">
        <v>43</v>
      </c>
      <c r="Q36" s="16">
        <v>0</v>
      </c>
      <c r="R36" s="16">
        <v>101</v>
      </c>
      <c r="S36" s="16">
        <v>94</v>
      </c>
      <c r="T36" s="16">
        <v>48</v>
      </c>
      <c r="U36" s="16">
        <v>340</v>
      </c>
      <c r="V36" s="16">
        <v>846</v>
      </c>
      <c r="W36" s="16">
        <v>164</v>
      </c>
      <c r="X36" s="16">
        <v>71</v>
      </c>
      <c r="Y36" s="16">
        <v>29</v>
      </c>
      <c r="Z36" s="16">
        <v>270</v>
      </c>
      <c r="AA36" s="16">
        <v>86</v>
      </c>
      <c r="AB36" s="16">
        <v>79</v>
      </c>
      <c r="AC36" s="16">
        <v>64</v>
      </c>
      <c r="AD36" s="16">
        <v>56</v>
      </c>
      <c r="AE36" s="16">
        <v>1681</v>
      </c>
      <c r="AF36" s="16">
        <v>597</v>
      </c>
      <c r="AG36" s="16">
        <v>322</v>
      </c>
      <c r="AH36" s="16">
        <v>502</v>
      </c>
      <c r="AI36" s="16">
        <v>62</v>
      </c>
      <c r="AJ36" s="16">
        <v>110</v>
      </c>
      <c r="AK36" s="16">
        <v>3</v>
      </c>
      <c r="AL36" s="98">
        <v>116</v>
      </c>
      <c r="AM36" s="16">
        <v>7</v>
      </c>
      <c r="AN36" s="16">
        <v>12</v>
      </c>
      <c r="AO36" s="16">
        <v>79</v>
      </c>
      <c r="AP36" s="16">
        <v>253</v>
      </c>
      <c r="AQ36" s="16">
        <v>91</v>
      </c>
      <c r="AR36" s="16">
        <v>720</v>
      </c>
      <c r="AS36" s="16">
        <v>23</v>
      </c>
      <c r="AT36" s="16">
        <v>9</v>
      </c>
      <c r="AU36" s="16">
        <v>48</v>
      </c>
      <c r="AV36" s="16">
        <v>1204</v>
      </c>
      <c r="AW36" s="16">
        <v>348</v>
      </c>
      <c r="AX36" s="16">
        <v>3</v>
      </c>
      <c r="AY36" s="16">
        <v>376</v>
      </c>
      <c r="AZ36" s="16">
        <v>406</v>
      </c>
      <c r="BA36" s="16">
        <v>2</v>
      </c>
      <c r="BB36" s="16">
        <v>218</v>
      </c>
      <c r="BC36" s="16">
        <v>25</v>
      </c>
      <c r="BD36" s="16">
        <v>218</v>
      </c>
      <c r="BE36" s="16">
        <v>176</v>
      </c>
      <c r="BF36" s="16">
        <v>69</v>
      </c>
      <c r="BG36" s="16">
        <v>230</v>
      </c>
      <c r="BH36" s="16">
        <v>240</v>
      </c>
      <c r="BI36" s="16">
        <v>772</v>
      </c>
      <c r="BJ36" s="16">
        <v>389</v>
      </c>
      <c r="BK36" s="16">
        <v>126</v>
      </c>
      <c r="BL36" s="16">
        <v>21</v>
      </c>
      <c r="BM36" s="16">
        <v>263</v>
      </c>
      <c r="BN36" s="16">
        <v>0</v>
      </c>
      <c r="BO36" s="16">
        <v>69</v>
      </c>
      <c r="BP36" s="16">
        <v>938</v>
      </c>
    </row>
    <row r="37" spans="1:68" s="5" customFormat="1" ht="21.9" customHeight="1" x14ac:dyDescent="0.25">
      <c r="A37" s="125"/>
      <c r="B37" s="4"/>
      <c r="C37" s="47" t="s">
        <v>76</v>
      </c>
      <c r="D37" s="48"/>
      <c r="E37" s="16">
        <v>128</v>
      </c>
      <c r="F37" s="16">
        <v>0</v>
      </c>
      <c r="G37" s="16">
        <v>0</v>
      </c>
      <c r="H37" s="16">
        <v>0</v>
      </c>
      <c r="I37" s="16">
        <v>0</v>
      </c>
      <c r="J37" s="16">
        <v>0</v>
      </c>
      <c r="K37" s="16">
        <v>0</v>
      </c>
      <c r="L37" s="16">
        <v>6</v>
      </c>
      <c r="M37" s="16">
        <v>2</v>
      </c>
      <c r="N37" s="16">
        <v>0</v>
      </c>
      <c r="O37" s="16">
        <v>2</v>
      </c>
      <c r="P37" s="16">
        <v>0</v>
      </c>
      <c r="Q37" s="16">
        <v>0</v>
      </c>
      <c r="R37" s="16">
        <v>0</v>
      </c>
      <c r="S37" s="16">
        <v>4</v>
      </c>
      <c r="T37" s="16">
        <v>0</v>
      </c>
      <c r="U37" s="16">
        <v>2</v>
      </c>
      <c r="V37" s="16">
        <v>6</v>
      </c>
      <c r="W37" s="16">
        <v>0</v>
      </c>
      <c r="X37" s="16">
        <v>0</v>
      </c>
      <c r="Y37" s="16">
        <v>0</v>
      </c>
      <c r="Z37" s="16">
        <v>2</v>
      </c>
      <c r="AA37" s="16">
        <v>2</v>
      </c>
      <c r="AB37" s="16">
        <v>0</v>
      </c>
      <c r="AC37" s="16">
        <v>2</v>
      </c>
      <c r="AD37" s="16">
        <v>1</v>
      </c>
      <c r="AE37" s="16">
        <v>12</v>
      </c>
      <c r="AF37" s="16">
        <v>5</v>
      </c>
      <c r="AG37" s="16">
        <v>1</v>
      </c>
      <c r="AH37" s="16">
        <v>14</v>
      </c>
      <c r="AI37" s="16">
        <v>5</v>
      </c>
      <c r="AJ37" s="16">
        <v>4</v>
      </c>
      <c r="AK37" s="16">
        <v>0</v>
      </c>
      <c r="AL37" s="98">
        <v>12</v>
      </c>
      <c r="AM37" s="16">
        <v>0</v>
      </c>
      <c r="AN37" s="16">
        <v>0</v>
      </c>
      <c r="AO37" s="16">
        <v>1</v>
      </c>
      <c r="AP37" s="16">
        <v>0</v>
      </c>
      <c r="AQ37" s="16">
        <v>0</v>
      </c>
      <c r="AR37" s="16">
        <v>0</v>
      </c>
      <c r="AS37" s="16">
        <v>2</v>
      </c>
      <c r="AT37" s="16">
        <v>0</v>
      </c>
      <c r="AU37" s="16">
        <v>0</v>
      </c>
      <c r="AV37" s="16">
        <v>16</v>
      </c>
      <c r="AW37" s="16">
        <v>0</v>
      </c>
      <c r="AX37" s="16">
        <v>0</v>
      </c>
      <c r="AY37" s="16">
        <v>0</v>
      </c>
      <c r="AZ37" s="16">
        <v>0</v>
      </c>
      <c r="BA37" s="16">
        <v>0</v>
      </c>
      <c r="BB37" s="16">
        <v>0</v>
      </c>
      <c r="BC37" s="16">
        <v>1</v>
      </c>
      <c r="BD37" s="16">
        <v>2</v>
      </c>
      <c r="BE37" s="16">
        <v>0</v>
      </c>
      <c r="BF37" s="16">
        <v>4</v>
      </c>
      <c r="BG37" s="16">
        <v>3</v>
      </c>
      <c r="BH37" s="16">
        <v>3</v>
      </c>
      <c r="BI37" s="16">
        <v>0</v>
      </c>
      <c r="BJ37" s="16">
        <v>8</v>
      </c>
      <c r="BK37" s="16">
        <v>0</v>
      </c>
      <c r="BL37" s="16">
        <v>0</v>
      </c>
      <c r="BM37" s="16">
        <v>0</v>
      </c>
      <c r="BN37" s="16">
        <v>0</v>
      </c>
      <c r="BO37" s="16">
        <v>0</v>
      </c>
      <c r="BP37" s="16">
        <v>6</v>
      </c>
    </row>
    <row r="38" spans="1:68" s="5" customFormat="1" ht="21.9" customHeight="1" x14ac:dyDescent="0.25">
      <c r="A38" s="125" t="s">
        <v>87</v>
      </c>
      <c r="B38" s="4"/>
      <c r="C38" s="47" t="s">
        <v>75</v>
      </c>
      <c r="D38" s="48"/>
      <c r="E38" s="16">
        <v>17197</v>
      </c>
      <c r="F38" s="16">
        <v>88</v>
      </c>
      <c r="G38" s="16">
        <v>138</v>
      </c>
      <c r="H38" s="16">
        <v>6</v>
      </c>
      <c r="I38" s="16">
        <v>1</v>
      </c>
      <c r="J38" s="16">
        <v>19</v>
      </c>
      <c r="K38" s="16">
        <v>23</v>
      </c>
      <c r="L38" s="16">
        <v>1296</v>
      </c>
      <c r="M38" s="16">
        <v>285</v>
      </c>
      <c r="N38" s="16">
        <v>30</v>
      </c>
      <c r="O38" s="16">
        <v>255</v>
      </c>
      <c r="P38" s="16">
        <v>96</v>
      </c>
      <c r="Q38" s="16">
        <v>4</v>
      </c>
      <c r="R38" s="16">
        <v>199</v>
      </c>
      <c r="S38" s="16">
        <v>160</v>
      </c>
      <c r="T38" s="16">
        <v>75</v>
      </c>
      <c r="U38" s="16">
        <v>177</v>
      </c>
      <c r="V38" s="16">
        <v>862</v>
      </c>
      <c r="W38" s="16">
        <v>43</v>
      </c>
      <c r="X38" s="16">
        <v>344</v>
      </c>
      <c r="Y38" s="16">
        <v>41</v>
      </c>
      <c r="Z38" s="16">
        <v>231</v>
      </c>
      <c r="AA38" s="16">
        <v>211</v>
      </c>
      <c r="AB38" s="16">
        <v>102</v>
      </c>
      <c r="AC38" s="16">
        <v>74</v>
      </c>
      <c r="AD38" s="16">
        <v>176</v>
      </c>
      <c r="AE38" s="16">
        <v>2225</v>
      </c>
      <c r="AF38" s="16">
        <v>806</v>
      </c>
      <c r="AG38" s="16">
        <v>263</v>
      </c>
      <c r="AH38" s="16">
        <v>770</v>
      </c>
      <c r="AI38" s="16">
        <v>443</v>
      </c>
      <c r="AJ38" s="16">
        <v>220</v>
      </c>
      <c r="AK38" s="16">
        <v>4</v>
      </c>
      <c r="AL38" s="98">
        <v>107</v>
      </c>
      <c r="AM38" s="16">
        <v>4</v>
      </c>
      <c r="AN38" s="16">
        <v>10</v>
      </c>
      <c r="AO38" s="16">
        <v>186</v>
      </c>
      <c r="AP38" s="16">
        <v>100</v>
      </c>
      <c r="AQ38" s="16">
        <v>62</v>
      </c>
      <c r="AR38" s="16">
        <v>250</v>
      </c>
      <c r="AS38" s="16">
        <v>139</v>
      </c>
      <c r="AT38" s="16">
        <v>22</v>
      </c>
      <c r="AU38" s="16">
        <v>33</v>
      </c>
      <c r="AV38" s="16">
        <v>1204</v>
      </c>
      <c r="AW38" s="16">
        <v>1083</v>
      </c>
      <c r="AX38" s="16">
        <v>3</v>
      </c>
      <c r="AY38" s="16">
        <v>710</v>
      </c>
      <c r="AZ38" s="16">
        <v>342</v>
      </c>
      <c r="BA38" s="16">
        <v>0</v>
      </c>
      <c r="BB38" s="16">
        <v>82</v>
      </c>
      <c r="BC38" s="16">
        <v>98</v>
      </c>
      <c r="BD38" s="16">
        <v>35</v>
      </c>
      <c r="BE38" s="16">
        <v>446</v>
      </c>
      <c r="BF38" s="16">
        <v>70</v>
      </c>
      <c r="BG38" s="16">
        <v>173</v>
      </c>
      <c r="BH38" s="16">
        <v>145</v>
      </c>
      <c r="BI38" s="16">
        <v>328</v>
      </c>
      <c r="BJ38" s="16">
        <v>848</v>
      </c>
      <c r="BK38" s="16">
        <v>221</v>
      </c>
      <c r="BL38" s="16">
        <v>240</v>
      </c>
      <c r="BM38" s="16">
        <v>314</v>
      </c>
      <c r="BN38" s="16">
        <v>2</v>
      </c>
      <c r="BO38" s="16">
        <v>10</v>
      </c>
      <c r="BP38" s="16">
        <v>263</v>
      </c>
    </row>
    <row r="39" spans="1:68" s="5" customFormat="1" ht="21.9" customHeight="1" x14ac:dyDescent="0.25">
      <c r="A39" s="125"/>
      <c r="B39" s="4"/>
      <c r="C39" s="47" t="s">
        <v>76</v>
      </c>
      <c r="D39" s="48"/>
      <c r="E39" s="16">
        <v>232</v>
      </c>
      <c r="F39" s="16">
        <v>0</v>
      </c>
      <c r="G39" s="16">
        <v>0</v>
      </c>
      <c r="H39" s="16">
        <v>0</v>
      </c>
      <c r="I39" s="16">
        <v>0</v>
      </c>
      <c r="J39" s="16">
        <v>0</v>
      </c>
      <c r="K39" s="16">
        <v>0</v>
      </c>
      <c r="L39" s="16">
        <v>0</v>
      </c>
      <c r="M39" s="16">
        <v>1</v>
      </c>
      <c r="N39" s="16">
        <v>1</v>
      </c>
      <c r="O39" s="16">
        <v>0</v>
      </c>
      <c r="P39" s="16">
        <v>1</v>
      </c>
      <c r="Q39" s="16">
        <v>0</v>
      </c>
      <c r="R39" s="16">
        <v>6</v>
      </c>
      <c r="S39" s="16">
        <v>6</v>
      </c>
      <c r="T39" s="16">
        <v>2</v>
      </c>
      <c r="U39" s="16">
        <v>1</v>
      </c>
      <c r="V39" s="16">
        <v>12</v>
      </c>
      <c r="W39" s="16">
        <v>1</v>
      </c>
      <c r="X39" s="16">
        <v>3</v>
      </c>
      <c r="Y39" s="16">
        <v>1</v>
      </c>
      <c r="Z39" s="16">
        <v>8</v>
      </c>
      <c r="AA39" s="16">
        <v>2</v>
      </c>
      <c r="AB39" s="16">
        <v>2</v>
      </c>
      <c r="AC39" s="16">
        <v>2</v>
      </c>
      <c r="AD39" s="16">
        <v>5</v>
      </c>
      <c r="AE39" s="16">
        <v>26</v>
      </c>
      <c r="AF39" s="16">
        <v>17</v>
      </c>
      <c r="AG39" s="16">
        <v>2</v>
      </c>
      <c r="AH39" s="16">
        <v>16</v>
      </c>
      <c r="AI39" s="16">
        <v>9</v>
      </c>
      <c r="AJ39" s="16">
        <v>14</v>
      </c>
      <c r="AK39" s="16">
        <v>0</v>
      </c>
      <c r="AL39" s="98">
        <v>5</v>
      </c>
      <c r="AM39" s="16">
        <v>0</v>
      </c>
      <c r="AN39" s="16">
        <v>1</v>
      </c>
      <c r="AO39" s="16">
        <v>4</v>
      </c>
      <c r="AP39" s="16">
        <v>0</v>
      </c>
      <c r="AQ39" s="16">
        <v>0</v>
      </c>
      <c r="AR39" s="16">
        <v>2</v>
      </c>
      <c r="AS39" s="16">
        <v>11</v>
      </c>
      <c r="AT39" s="16">
        <v>2</v>
      </c>
      <c r="AU39" s="16">
        <v>1</v>
      </c>
      <c r="AV39" s="16">
        <v>5</v>
      </c>
      <c r="AW39" s="16">
        <v>0</v>
      </c>
      <c r="AX39" s="16">
        <v>0</v>
      </c>
      <c r="AY39" s="16">
        <v>3</v>
      </c>
      <c r="AZ39" s="16">
        <v>1</v>
      </c>
      <c r="BA39" s="16">
        <v>0</v>
      </c>
      <c r="BB39" s="16">
        <v>1</v>
      </c>
      <c r="BC39" s="16">
        <v>1</v>
      </c>
      <c r="BD39" s="16">
        <v>2</v>
      </c>
      <c r="BE39" s="16">
        <v>2</v>
      </c>
      <c r="BF39" s="16">
        <v>2</v>
      </c>
      <c r="BG39" s="16">
        <v>11</v>
      </c>
      <c r="BH39" s="16">
        <v>2</v>
      </c>
      <c r="BI39" s="16">
        <v>6</v>
      </c>
      <c r="BJ39" s="16">
        <v>9</v>
      </c>
      <c r="BK39" s="16">
        <v>12</v>
      </c>
      <c r="BL39" s="16">
        <v>2</v>
      </c>
      <c r="BM39" s="16">
        <v>0</v>
      </c>
      <c r="BN39" s="16">
        <v>0</v>
      </c>
      <c r="BO39" s="16">
        <v>0</v>
      </c>
      <c r="BP39" s="16">
        <v>9</v>
      </c>
    </row>
    <row r="40" spans="1:68" s="5" customFormat="1" ht="21.9" customHeight="1" x14ac:dyDescent="0.25">
      <c r="A40" s="125" t="s">
        <v>88</v>
      </c>
      <c r="C40" s="47" t="s">
        <v>143</v>
      </c>
      <c r="D40" s="48"/>
      <c r="E40" s="16">
        <v>11791</v>
      </c>
      <c r="F40" s="16">
        <v>229</v>
      </c>
      <c r="G40" s="16">
        <v>38</v>
      </c>
      <c r="H40" s="16">
        <v>37</v>
      </c>
      <c r="I40" s="16">
        <v>6</v>
      </c>
      <c r="J40" s="16">
        <v>32</v>
      </c>
      <c r="K40" s="16">
        <v>63</v>
      </c>
      <c r="L40" s="16">
        <v>777</v>
      </c>
      <c r="M40" s="16">
        <v>272</v>
      </c>
      <c r="N40" s="16">
        <v>3</v>
      </c>
      <c r="O40" s="16">
        <v>347</v>
      </c>
      <c r="P40" s="16">
        <v>36</v>
      </c>
      <c r="Q40" s="16">
        <v>0</v>
      </c>
      <c r="R40" s="16">
        <v>180</v>
      </c>
      <c r="S40" s="16">
        <v>105</v>
      </c>
      <c r="T40" s="16">
        <v>31</v>
      </c>
      <c r="U40" s="16">
        <v>169</v>
      </c>
      <c r="V40" s="16">
        <v>1215</v>
      </c>
      <c r="W40" s="16">
        <v>14</v>
      </c>
      <c r="X40" s="16">
        <v>121</v>
      </c>
      <c r="Y40" s="16">
        <v>9</v>
      </c>
      <c r="Z40" s="16">
        <v>265</v>
      </c>
      <c r="AA40" s="16">
        <v>127</v>
      </c>
      <c r="AB40" s="16">
        <v>47</v>
      </c>
      <c r="AC40" s="16">
        <v>54</v>
      </c>
      <c r="AD40" s="16">
        <v>23</v>
      </c>
      <c r="AE40" s="16">
        <v>843</v>
      </c>
      <c r="AF40" s="16">
        <v>420</v>
      </c>
      <c r="AG40" s="16">
        <v>145</v>
      </c>
      <c r="AH40" s="16">
        <v>512</v>
      </c>
      <c r="AI40" s="16">
        <v>31</v>
      </c>
      <c r="AJ40" s="16">
        <v>159</v>
      </c>
      <c r="AK40" s="16">
        <v>9</v>
      </c>
      <c r="AL40" s="98">
        <v>65</v>
      </c>
      <c r="AM40" s="16">
        <v>12</v>
      </c>
      <c r="AN40" s="16">
        <v>1</v>
      </c>
      <c r="AO40" s="16">
        <v>91</v>
      </c>
      <c r="AP40" s="16">
        <v>15</v>
      </c>
      <c r="AQ40" s="16">
        <v>1</v>
      </c>
      <c r="AR40" s="16">
        <v>28</v>
      </c>
      <c r="AS40" s="16">
        <v>180</v>
      </c>
      <c r="AT40" s="16">
        <v>11</v>
      </c>
      <c r="AU40" s="16">
        <v>76</v>
      </c>
      <c r="AV40" s="16">
        <v>591</v>
      </c>
      <c r="AW40" s="16">
        <v>169</v>
      </c>
      <c r="AX40" s="16">
        <v>26</v>
      </c>
      <c r="AY40" s="16">
        <v>876</v>
      </c>
      <c r="AZ40" s="16">
        <v>382</v>
      </c>
      <c r="BA40" s="16">
        <v>2</v>
      </c>
      <c r="BB40" s="16">
        <v>50</v>
      </c>
      <c r="BC40" s="16">
        <v>56</v>
      </c>
      <c r="BD40" s="16">
        <v>22</v>
      </c>
      <c r="BE40" s="16">
        <v>777</v>
      </c>
      <c r="BF40" s="16">
        <v>156</v>
      </c>
      <c r="BG40" s="16">
        <v>155</v>
      </c>
      <c r="BH40" s="16">
        <v>7</v>
      </c>
      <c r="BI40" s="16">
        <v>703</v>
      </c>
      <c r="BJ40" s="16">
        <v>108</v>
      </c>
      <c r="BK40" s="16">
        <v>272</v>
      </c>
      <c r="BL40" s="16">
        <v>43</v>
      </c>
      <c r="BM40" s="16">
        <v>4</v>
      </c>
      <c r="BN40" s="16">
        <v>417</v>
      </c>
      <c r="BO40" s="16">
        <v>20</v>
      </c>
      <c r="BP40" s="16">
        <v>156</v>
      </c>
    </row>
    <row r="41" spans="1:68" s="5" customFormat="1" ht="21.9" customHeight="1" x14ac:dyDescent="0.25">
      <c r="A41" s="125"/>
      <c r="C41" s="47" t="s">
        <v>76</v>
      </c>
      <c r="D41" s="48"/>
      <c r="E41" s="16">
        <v>141</v>
      </c>
      <c r="F41" s="16">
        <v>0</v>
      </c>
      <c r="G41" s="16">
        <v>0</v>
      </c>
      <c r="H41" s="16">
        <v>0</v>
      </c>
      <c r="I41" s="16">
        <v>0</v>
      </c>
      <c r="J41" s="16">
        <v>1</v>
      </c>
      <c r="K41" s="16">
        <v>0</v>
      </c>
      <c r="L41" s="16">
        <v>4</v>
      </c>
      <c r="M41" s="16">
        <v>4</v>
      </c>
      <c r="N41" s="16">
        <v>0</v>
      </c>
      <c r="O41" s="16">
        <v>0</v>
      </c>
      <c r="P41" s="16">
        <v>1</v>
      </c>
      <c r="Q41" s="16">
        <v>0</v>
      </c>
      <c r="R41" s="16">
        <v>6</v>
      </c>
      <c r="S41" s="16">
        <v>0</v>
      </c>
      <c r="T41" s="16">
        <v>0</v>
      </c>
      <c r="U41" s="16">
        <v>1</v>
      </c>
      <c r="V41" s="16">
        <v>1</v>
      </c>
      <c r="W41" s="16">
        <v>0</v>
      </c>
      <c r="X41" s="16">
        <v>1</v>
      </c>
      <c r="Y41" s="16">
        <v>1</v>
      </c>
      <c r="Z41" s="16">
        <v>3</v>
      </c>
      <c r="AA41" s="16">
        <v>0</v>
      </c>
      <c r="AB41" s="16">
        <v>0</v>
      </c>
      <c r="AC41" s="16">
        <v>0</v>
      </c>
      <c r="AD41" s="16">
        <v>0</v>
      </c>
      <c r="AE41" s="16">
        <v>4</v>
      </c>
      <c r="AF41" s="16">
        <v>2</v>
      </c>
      <c r="AG41" s="16">
        <v>5</v>
      </c>
      <c r="AH41" s="16">
        <v>40</v>
      </c>
      <c r="AI41" s="16">
        <v>2</v>
      </c>
      <c r="AJ41" s="16">
        <v>3</v>
      </c>
      <c r="AK41" s="16">
        <v>1</v>
      </c>
      <c r="AL41" s="98">
        <v>1</v>
      </c>
      <c r="AM41" s="16">
        <v>0</v>
      </c>
      <c r="AN41" s="16">
        <v>1</v>
      </c>
      <c r="AO41" s="16">
        <v>0</v>
      </c>
      <c r="AP41" s="16">
        <v>0</v>
      </c>
      <c r="AQ41" s="16">
        <v>0</v>
      </c>
      <c r="AR41" s="16">
        <v>0</v>
      </c>
      <c r="AS41" s="16">
        <v>7</v>
      </c>
      <c r="AT41" s="16">
        <v>1</v>
      </c>
      <c r="AU41" s="16">
        <v>1</v>
      </c>
      <c r="AV41" s="16">
        <v>12</v>
      </c>
      <c r="AW41" s="16">
        <v>0</v>
      </c>
      <c r="AX41" s="16">
        <v>0</v>
      </c>
      <c r="AY41" s="16">
        <v>1</v>
      </c>
      <c r="AZ41" s="16">
        <v>0</v>
      </c>
      <c r="BA41" s="16">
        <v>0</v>
      </c>
      <c r="BB41" s="16">
        <v>2</v>
      </c>
      <c r="BC41" s="16">
        <v>0</v>
      </c>
      <c r="BD41" s="16">
        <v>4</v>
      </c>
      <c r="BE41" s="16">
        <v>0</v>
      </c>
      <c r="BF41" s="16">
        <v>0</v>
      </c>
      <c r="BG41" s="16">
        <v>0</v>
      </c>
      <c r="BH41" s="16">
        <v>2</v>
      </c>
      <c r="BI41" s="16">
        <v>1</v>
      </c>
      <c r="BJ41" s="16">
        <v>9</v>
      </c>
      <c r="BK41" s="16">
        <v>14</v>
      </c>
      <c r="BL41" s="16">
        <v>0</v>
      </c>
      <c r="BM41" s="16">
        <v>0</v>
      </c>
      <c r="BN41" s="16">
        <v>0</v>
      </c>
      <c r="BO41" s="16">
        <v>0</v>
      </c>
      <c r="BP41" s="16">
        <v>5</v>
      </c>
    </row>
    <row r="42" spans="1:68" s="5" customFormat="1" ht="21.9" customHeight="1" x14ac:dyDescent="0.25">
      <c r="A42" s="125" t="s">
        <v>89</v>
      </c>
      <c r="B42" s="4"/>
      <c r="C42" s="47" t="s">
        <v>75</v>
      </c>
      <c r="D42" s="48"/>
      <c r="E42" s="16">
        <v>15186</v>
      </c>
      <c r="F42" s="16">
        <v>14</v>
      </c>
      <c r="G42" s="16">
        <v>39</v>
      </c>
      <c r="H42" s="16">
        <v>4</v>
      </c>
      <c r="I42" s="16">
        <v>8</v>
      </c>
      <c r="J42" s="16">
        <v>1</v>
      </c>
      <c r="K42" s="16">
        <v>36</v>
      </c>
      <c r="L42" s="16">
        <v>1361</v>
      </c>
      <c r="M42" s="16">
        <v>176</v>
      </c>
      <c r="N42" s="16">
        <v>15</v>
      </c>
      <c r="O42" s="16">
        <v>44</v>
      </c>
      <c r="P42" s="16">
        <v>12</v>
      </c>
      <c r="Q42" s="16">
        <v>0</v>
      </c>
      <c r="R42" s="16">
        <v>147</v>
      </c>
      <c r="S42" s="16">
        <v>190</v>
      </c>
      <c r="T42" s="16">
        <v>20</v>
      </c>
      <c r="U42" s="16">
        <v>776</v>
      </c>
      <c r="V42" s="16">
        <v>2218</v>
      </c>
      <c r="W42" s="16">
        <v>47</v>
      </c>
      <c r="X42" s="16">
        <v>82</v>
      </c>
      <c r="Y42" s="16">
        <v>101</v>
      </c>
      <c r="Z42" s="16">
        <v>204</v>
      </c>
      <c r="AA42" s="16">
        <v>64</v>
      </c>
      <c r="AB42" s="16">
        <v>42</v>
      </c>
      <c r="AC42" s="16">
        <v>25</v>
      </c>
      <c r="AD42" s="16">
        <v>86</v>
      </c>
      <c r="AE42" s="16">
        <v>1338</v>
      </c>
      <c r="AF42" s="16">
        <v>518</v>
      </c>
      <c r="AG42" s="16">
        <v>138</v>
      </c>
      <c r="AH42" s="16">
        <v>889</v>
      </c>
      <c r="AI42" s="16">
        <v>61</v>
      </c>
      <c r="AJ42" s="16">
        <v>123</v>
      </c>
      <c r="AK42" s="16">
        <v>4</v>
      </c>
      <c r="AL42" s="98">
        <v>183</v>
      </c>
      <c r="AM42" s="16">
        <v>42</v>
      </c>
      <c r="AN42" s="16">
        <v>14</v>
      </c>
      <c r="AO42" s="16">
        <v>83</v>
      </c>
      <c r="AP42" s="16">
        <v>0</v>
      </c>
      <c r="AQ42" s="16">
        <v>0</v>
      </c>
      <c r="AR42" s="16">
        <v>0</v>
      </c>
      <c r="AS42" s="16">
        <v>407</v>
      </c>
      <c r="AT42" s="16">
        <v>67</v>
      </c>
      <c r="AU42" s="16">
        <v>33</v>
      </c>
      <c r="AV42" s="16">
        <v>751</v>
      </c>
      <c r="AW42" s="16">
        <v>370</v>
      </c>
      <c r="AX42" s="16">
        <v>6</v>
      </c>
      <c r="AY42" s="16">
        <v>223</v>
      </c>
      <c r="AZ42" s="16">
        <v>543</v>
      </c>
      <c r="BA42" s="16">
        <v>25</v>
      </c>
      <c r="BB42" s="16">
        <v>348</v>
      </c>
      <c r="BC42" s="16">
        <v>80</v>
      </c>
      <c r="BD42" s="16">
        <v>743</v>
      </c>
      <c r="BE42" s="16">
        <v>258</v>
      </c>
      <c r="BF42" s="16">
        <v>222</v>
      </c>
      <c r="BG42" s="16">
        <v>154</v>
      </c>
      <c r="BH42" s="16">
        <v>132</v>
      </c>
      <c r="BI42" s="16">
        <v>39</v>
      </c>
      <c r="BJ42" s="16">
        <v>180</v>
      </c>
      <c r="BK42" s="16">
        <v>28</v>
      </c>
      <c r="BL42" s="16">
        <v>29</v>
      </c>
      <c r="BM42" s="16">
        <v>25</v>
      </c>
      <c r="BN42" s="16">
        <v>42</v>
      </c>
      <c r="BO42" s="16">
        <v>392</v>
      </c>
      <c r="BP42" s="16">
        <v>984</v>
      </c>
    </row>
    <row r="43" spans="1:68" s="5" customFormat="1" ht="21.9" customHeight="1" x14ac:dyDescent="0.25">
      <c r="A43" s="125"/>
      <c r="B43" s="4"/>
      <c r="C43" s="47" t="s">
        <v>76</v>
      </c>
      <c r="D43" s="48"/>
      <c r="E43" s="16">
        <v>302</v>
      </c>
      <c r="F43" s="16">
        <v>2</v>
      </c>
      <c r="G43" s="16">
        <v>0</v>
      </c>
      <c r="H43" s="16">
        <v>0</v>
      </c>
      <c r="I43" s="16">
        <v>0</v>
      </c>
      <c r="J43" s="16">
        <v>0</v>
      </c>
      <c r="K43" s="16">
        <v>0</v>
      </c>
      <c r="L43" s="16">
        <v>3</v>
      </c>
      <c r="M43" s="16">
        <v>1</v>
      </c>
      <c r="N43" s="16">
        <v>0</v>
      </c>
      <c r="O43" s="16">
        <v>1</v>
      </c>
      <c r="P43" s="16">
        <v>1</v>
      </c>
      <c r="Q43" s="16">
        <v>0</v>
      </c>
      <c r="R43" s="16">
        <v>2</v>
      </c>
      <c r="S43" s="16">
        <v>2</v>
      </c>
      <c r="T43" s="16">
        <v>1</v>
      </c>
      <c r="U43" s="16">
        <v>27</v>
      </c>
      <c r="V43" s="16">
        <v>22</v>
      </c>
      <c r="W43" s="16">
        <v>2</v>
      </c>
      <c r="X43" s="16">
        <v>2</v>
      </c>
      <c r="Y43" s="16">
        <v>1</v>
      </c>
      <c r="Z43" s="16">
        <v>13</v>
      </c>
      <c r="AA43" s="16">
        <v>0</v>
      </c>
      <c r="AB43" s="16">
        <v>0</v>
      </c>
      <c r="AC43" s="16">
        <v>1</v>
      </c>
      <c r="AD43" s="16">
        <v>3</v>
      </c>
      <c r="AE43" s="16">
        <v>56</v>
      </c>
      <c r="AF43" s="16">
        <v>19</v>
      </c>
      <c r="AG43" s="16">
        <v>0</v>
      </c>
      <c r="AH43" s="16">
        <v>56</v>
      </c>
      <c r="AI43" s="16">
        <v>0</v>
      </c>
      <c r="AJ43" s="16">
        <v>9</v>
      </c>
      <c r="AK43" s="16">
        <v>0</v>
      </c>
      <c r="AL43" s="98">
        <v>3</v>
      </c>
      <c r="AM43" s="16">
        <v>1</v>
      </c>
      <c r="AN43" s="16">
        <v>1</v>
      </c>
      <c r="AO43" s="16">
        <v>3</v>
      </c>
      <c r="AP43" s="16">
        <v>0</v>
      </c>
      <c r="AQ43" s="16">
        <v>0</v>
      </c>
      <c r="AR43" s="16">
        <v>0</v>
      </c>
      <c r="AS43" s="16">
        <v>11</v>
      </c>
      <c r="AT43" s="16">
        <v>0</v>
      </c>
      <c r="AU43" s="16">
        <v>0</v>
      </c>
      <c r="AV43" s="16">
        <v>4</v>
      </c>
      <c r="AW43" s="16">
        <v>1</v>
      </c>
      <c r="AX43" s="16">
        <v>0</v>
      </c>
      <c r="AY43" s="16">
        <v>0</v>
      </c>
      <c r="AZ43" s="16">
        <v>1</v>
      </c>
      <c r="BA43" s="16">
        <v>0</v>
      </c>
      <c r="BB43" s="16">
        <v>7</v>
      </c>
      <c r="BC43" s="16">
        <v>0</v>
      </c>
      <c r="BD43" s="16">
        <v>10</v>
      </c>
      <c r="BE43" s="16">
        <v>2</v>
      </c>
      <c r="BF43" s="16">
        <v>5</v>
      </c>
      <c r="BG43" s="16">
        <v>3</v>
      </c>
      <c r="BH43" s="16">
        <v>7</v>
      </c>
      <c r="BI43" s="16">
        <v>1</v>
      </c>
      <c r="BJ43" s="16">
        <v>4</v>
      </c>
      <c r="BK43" s="16">
        <v>0</v>
      </c>
      <c r="BL43" s="16">
        <v>0</v>
      </c>
      <c r="BM43" s="16">
        <v>0</v>
      </c>
      <c r="BN43" s="16">
        <v>0</v>
      </c>
      <c r="BO43" s="16">
        <v>0</v>
      </c>
      <c r="BP43" s="16">
        <v>14</v>
      </c>
    </row>
    <row r="44" spans="1:68" s="5" customFormat="1" ht="21.9" customHeight="1" x14ac:dyDescent="0.25">
      <c r="A44" s="125" t="s">
        <v>90</v>
      </c>
      <c r="B44" s="4"/>
      <c r="C44" s="47" t="s">
        <v>75</v>
      </c>
      <c r="D44" s="48"/>
      <c r="E44" s="16">
        <v>8893</v>
      </c>
      <c r="F44" s="16">
        <v>33</v>
      </c>
      <c r="G44" s="16">
        <v>0</v>
      </c>
      <c r="H44" s="16">
        <v>6</v>
      </c>
      <c r="I44" s="16">
        <v>0</v>
      </c>
      <c r="J44" s="16">
        <v>110</v>
      </c>
      <c r="K44" s="16">
        <v>37</v>
      </c>
      <c r="L44" s="16">
        <v>789</v>
      </c>
      <c r="M44" s="16">
        <v>99</v>
      </c>
      <c r="N44" s="16">
        <v>12</v>
      </c>
      <c r="O44" s="16">
        <v>36</v>
      </c>
      <c r="P44" s="16">
        <v>19</v>
      </c>
      <c r="Q44" s="16">
        <v>0</v>
      </c>
      <c r="R44" s="16">
        <v>85</v>
      </c>
      <c r="S44" s="16">
        <v>95</v>
      </c>
      <c r="T44" s="16">
        <v>24</v>
      </c>
      <c r="U44" s="16">
        <v>170</v>
      </c>
      <c r="V44" s="16">
        <v>451</v>
      </c>
      <c r="W44" s="16">
        <v>15</v>
      </c>
      <c r="X44" s="16">
        <v>137</v>
      </c>
      <c r="Y44" s="16">
        <v>12</v>
      </c>
      <c r="Z44" s="16">
        <v>320</v>
      </c>
      <c r="AA44" s="16">
        <v>97</v>
      </c>
      <c r="AB44" s="16">
        <v>23</v>
      </c>
      <c r="AC44" s="16">
        <v>52</v>
      </c>
      <c r="AD44" s="16">
        <v>51</v>
      </c>
      <c r="AE44" s="16">
        <v>2303</v>
      </c>
      <c r="AF44" s="16">
        <v>851</v>
      </c>
      <c r="AG44" s="16">
        <v>157</v>
      </c>
      <c r="AH44" s="16">
        <v>430</v>
      </c>
      <c r="AI44" s="16">
        <v>50</v>
      </c>
      <c r="AJ44" s="16">
        <v>335</v>
      </c>
      <c r="AK44" s="16">
        <v>0</v>
      </c>
      <c r="AL44" s="98">
        <v>75</v>
      </c>
      <c r="AM44" s="16">
        <v>0</v>
      </c>
      <c r="AN44" s="16">
        <v>26</v>
      </c>
      <c r="AO44" s="16">
        <v>130</v>
      </c>
      <c r="AP44" s="16">
        <v>1</v>
      </c>
      <c r="AQ44" s="16">
        <v>0</v>
      </c>
      <c r="AR44" s="16">
        <v>0</v>
      </c>
      <c r="AS44" s="16">
        <v>71</v>
      </c>
      <c r="AT44" s="16">
        <v>1</v>
      </c>
      <c r="AU44" s="16">
        <v>32</v>
      </c>
      <c r="AV44" s="16">
        <v>521</v>
      </c>
      <c r="AW44" s="16">
        <v>145</v>
      </c>
      <c r="AX44" s="16">
        <v>10</v>
      </c>
      <c r="AY44" s="16">
        <v>347</v>
      </c>
      <c r="AZ44" s="16">
        <v>14</v>
      </c>
      <c r="BA44" s="16">
        <v>23</v>
      </c>
      <c r="BB44" s="16">
        <v>52</v>
      </c>
      <c r="BC44" s="16">
        <v>17</v>
      </c>
      <c r="BD44" s="16">
        <v>14</v>
      </c>
      <c r="BE44" s="16">
        <v>46</v>
      </c>
      <c r="BF44" s="16">
        <v>54</v>
      </c>
      <c r="BG44" s="16">
        <v>143</v>
      </c>
      <c r="BH44" s="16">
        <v>49</v>
      </c>
      <c r="BI44" s="16">
        <v>50</v>
      </c>
      <c r="BJ44" s="16">
        <v>97</v>
      </c>
      <c r="BK44" s="16">
        <v>28</v>
      </c>
      <c r="BL44" s="16">
        <v>31</v>
      </c>
      <c r="BM44" s="16">
        <v>81</v>
      </c>
      <c r="BN44" s="16">
        <v>1</v>
      </c>
      <c r="BO44" s="16">
        <v>0</v>
      </c>
      <c r="BP44" s="16">
        <v>35</v>
      </c>
    </row>
    <row r="45" spans="1:68" s="5" customFormat="1" ht="21.9" customHeight="1" x14ac:dyDescent="0.25">
      <c r="A45" s="125"/>
      <c r="B45" s="4"/>
      <c r="C45" s="47" t="s">
        <v>76</v>
      </c>
      <c r="D45" s="48"/>
      <c r="E45" s="16">
        <v>165</v>
      </c>
      <c r="F45" s="16">
        <v>1</v>
      </c>
      <c r="G45" s="16">
        <v>0</v>
      </c>
      <c r="H45" s="16">
        <v>0</v>
      </c>
      <c r="I45" s="16">
        <v>0</v>
      </c>
      <c r="J45" s="16">
        <v>0</v>
      </c>
      <c r="K45" s="16">
        <v>2</v>
      </c>
      <c r="L45" s="16">
        <v>8</v>
      </c>
      <c r="M45" s="16">
        <v>1</v>
      </c>
      <c r="N45" s="16">
        <v>0</v>
      </c>
      <c r="O45" s="16">
        <v>1</v>
      </c>
      <c r="P45" s="16">
        <v>1</v>
      </c>
      <c r="Q45" s="16">
        <v>0</v>
      </c>
      <c r="R45" s="16">
        <v>0</v>
      </c>
      <c r="S45" s="16">
        <v>1</v>
      </c>
      <c r="T45" s="16">
        <v>0</v>
      </c>
      <c r="U45" s="16">
        <v>0</v>
      </c>
      <c r="V45" s="16">
        <v>6</v>
      </c>
      <c r="W45" s="16">
        <v>0</v>
      </c>
      <c r="X45" s="16">
        <v>0</v>
      </c>
      <c r="Y45" s="16">
        <v>1</v>
      </c>
      <c r="Z45" s="16">
        <v>1</v>
      </c>
      <c r="AA45" s="16">
        <v>1</v>
      </c>
      <c r="AB45" s="16">
        <v>0</v>
      </c>
      <c r="AC45" s="16">
        <v>0</v>
      </c>
      <c r="AD45" s="16">
        <v>0</v>
      </c>
      <c r="AE45" s="16">
        <v>18</v>
      </c>
      <c r="AF45" s="16">
        <v>13</v>
      </c>
      <c r="AG45" s="16">
        <v>1</v>
      </c>
      <c r="AH45" s="16">
        <v>25</v>
      </c>
      <c r="AI45" s="16">
        <v>1</v>
      </c>
      <c r="AJ45" s="16">
        <v>2</v>
      </c>
      <c r="AK45" s="16">
        <v>0</v>
      </c>
      <c r="AL45" s="98">
        <v>6</v>
      </c>
      <c r="AM45" s="16">
        <v>0</v>
      </c>
      <c r="AN45" s="16">
        <v>0</v>
      </c>
      <c r="AO45" s="16">
        <v>7</v>
      </c>
      <c r="AP45" s="16">
        <v>0</v>
      </c>
      <c r="AQ45" s="16">
        <v>0</v>
      </c>
      <c r="AR45" s="16">
        <v>0</v>
      </c>
      <c r="AS45" s="16">
        <v>15</v>
      </c>
      <c r="AT45" s="16">
        <v>0</v>
      </c>
      <c r="AU45" s="16">
        <v>2</v>
      </c>
      <c r="AV45" s="16">
        <v>25</v>
      </c>
      <c r="AW45" s="16">
        <v>0</v>
      </c>
      <c r="AX45" s="16">
        <v>0</v>
      </c>
      <c r="AY45" s="16">
        <v>0</v>
      </c>
      <c r="AZ45" s="16">
        <v>1</v>
      </c>
      <c r="BA45" s="16">
        <v>0</v>
      </c>
      <c r="BB45" s="16">
        <v>0</v>
      </c>
      <c r="BC45" s="16">
        <v>1</v>
      </c>
      <c r="BD45" s="16">
        <v>2</v>
      </c>
      <c r="BE45" s="16">
        <v>1</v>
      </c>
      <c r="BF45" s="16">
        <v>2</v>
      </c>
      <c r="BG45" s="16">
        <v>9</v>
      </c>
      <c r="BH45" s="16">
        <v>1</v>
      </c>
      <c r="BI45" s="16">
        <v>0</v>
      </c>
      <c r="BJ45" s="16">
        <v>2</v>
      </c>
      <c r="BK45" s="16">
        <v>0</v>
      </c>
      <c r="BL45" s="16">
        <v>0</v>
      </c>
      <c r="BM45" s="16">
        <v>0</v>
      </c>
      <c r="BN45" s="16">
        <v>0</v>
      </c>
      <c r="BO45" s="16">
        <v>0</v>
      </c>
      <c r="BP45" s="16">
        <v>7</v>
      </c>
    </row>
    <row r="46" spans="1:68" s="5" customFormat="1" ht="21.9" customHeight="1" x14ac:dyDescent="0.25">
      <c r="A46" s="125" t="s">
        <v>91</v>
      </c>
      <c r="B46" s="4"/>
      <c r="C46" s="47" t="s">
        <v>75</v>
      </c>
      <c r="D46" s="48"/>
      <c r="E46" s="16">
        <v>15058</v>
      </c>
      <c r="F46" s="16">
        <v>224</v>
      </c>
      <c r="G46" s="16">
        <v>238</v>
      </c>
      <c r="H46" s="16">
        <v>0</v>
      </c>
      <c r="I46" s="16">
        <v>2</v>
      </c>
      <c r="J46" s="16">
        <v>65</v>
      </c>
      <c r="K46" s="16">
        <v>10</v>
      </c>
      <c r="L46" s="16">
        <v>401</v>
      </c>
      <c r="M46" s="16">
        <v>14</v>
      </c>
      <c r="N46" s="16">
        <v>139</v>
      </c>
      <c r="O46" s="16">
        <v>123</v>
      </c>
      <c r="P46" s="16">
        <v>5</v>
      </c>
      <c r="Q46" s="16">
        <v>4</v>
      </c>
      <c r="R46" s="16">
        <v>159</v>
      </c>
      <c r="S46" s="16">
        <v>62</v>
      </c>
      <c r="T46" s="16">
        <v>524</v>
      </c>
      <c r="U46" s="16">
        <v>82</v>
      </c>
      <c r="V46" s="16">
        <v>216</v>
      </c>
      <c r="W46" s="16">
        <v>241</v>
      </c>
      <c r="X46" s="16">
        <v>110</v>
      </c>
      <c r="Y46" s="16">
        <v>8</v>
      </c>
      <c r="Z46" s="16">
        <v>910</v>
      </c>
      <c r="AA46" s="16">
        <v>194</v>
      </c>
      <c r="AB46" s="16">
        <v>187</v>
      </c>
      <c r="AC46" s="16">
        <v>27</v>
      </c>
      <c r="AD46" s="16">
        <v>14</v>
      </c>
      <c r="AE46" s="16">
        <v>2291</v>
      </c>
      <c r="AF46" s="16">
        <v>723</v>
      </c>
      <c r="AG46" s="16">
        <v>105</v>
      </c>
      <c r="AH46" s="16">
        <v>288</v>
      </c>
      <c r="AI46" s="16">
        <v>15</v>
      </c>
      <c r="AJ46" s="16">
        <v>654</v>
      </c>
      <c r="AK46" s="16">
        <v>22</v>
      </c>
      <c r="AL46" s="98">
        <v>3</v>
      </c>
      <c r="AM46" s="16">
        <v>51</v>
      </c>
      <c r="AN46" s="16">
        <v>0</v>
      </c>
      <c r="AO46" s="16">
        <v>372</v>
      </c>
      <c r="AP46" s="16">
        <v>0</v>
      </c>
      <c r="AQ46" s="16">
        <v>0</v>
      </c>
      <c r="AR46" s="16">
        <v>0</v>
      </c>
      <c r="AS46" s="16">
        <v>23</v>
      </c>
      <c r="AT46" s="16">
        <v>85</v>
      </c>
      <c r="AU46" s="16">
        <v>1305</v>
      </c>
      <c r="AV46" s="16">
        <v>1974</v>
      </c>
      <c r="AW46" s="16">
        <v>606</v>
      </c>
      <c r="AX46" s="16">
        <v>15</v>
      </c>
      <c r="AY46" s="16">
        <v>705</v>
      </c>
      <c r="AZ46" s="16">
        <v>80</v>
      </c>
      <c r="BA46" s="16">
        <v>6</v>
      </c>
      <c r="BB46" s="16">
        <v>21</v>
      </c>
      <c r="BC46" s="16">
        <v>4</v>
      </c>
      <c r="BD46" s="16">
        <v>67</v>
      </c>
      <c r="BE46" s="16">
        <v>360</v>
      </c>
      <c r="BF46" s="16">
        <v>357</v>
      </c>
      <c r="BG46" s="16">
        <v>89</v>
      </c>
      <c r="BH46" s="16">
        <v>0</v>
      </c>
      <c r="BI46" s="16">
        <v>57</v>
      </c>
      <c r="BJ46" s="16">
        <v>393</v>
      </c>
      <c r="BK46" s="16">
        <v>267</v>
      </c>
      <c r="BL46" s="16">
        <v>40</v>
      </c>
      <c r="BM46" s="16">
        <v>43</v>
      </c>
      <c r="BN46" s="16">
        <v>58</v>
      </c>
      <c r="BO46" s="16">
        <v>20</v>
      </c>
      <c r="BP46" s="16">
        <v>0</v>
      </c>
    </row>
    <row r="47" spans="1:68" s="5" customFormat="1" ht="21.9" customHeight="1" x14ac:dyDescent="0.25">
      <c r="A47" s="125"/>
      <c r="B47" s="4"/>
      <c r="C47" s="47" t="s">
        <v>76</v>
      </c>
      <c r="D47" s="48"/>
      <c r="E47" s="16">
        <v>185</v>
      </c>
      <c r="F47" s="16">
        <v>0</v>
      </c>
      <c r="G47" s="16">
        <v>0</v>
      </c>
      <c r="H47" s="16">
        <v>0</v>
      </c>
      <c r="I47" s="16">
        <v>0</v>
      </c>
      <c r="J47" s="16">
        <v>1</v>
      </c>
      <c r="K47" s="16">
        <v>2</v>
      </c>
      <c r="L47" s="16">
        <v>1</v>
      </c>
      <c r="M47" s="16">
        <v>0</v>
      </c>
      <c r="N47" s="16">
        <v>1</v>
      </c>
      <c r="O47" s="16">
        <v>0</v>
      </c>
      <c r="P47" s="16">
        <v>0</v>
      </c>
      <c r="Q47" s="16">
        <v>1</v>
      </c>
      <c r="R47" s="16">
        <v>58</v>
      </c>
      <c r="S47" s="16">
        <v>20</v>
      </c>
      <c r="T47" s="16">
        <v>10</v>
      </c>
      <c r="U47" s="16">
        <v>1</v>
      </c>
      <c r="V47" s="16">
        <v>3</v>
      </c>
      <c r="W47" s="16">
        <v>0</v>
      </c>
      <c r="X47" s="16">
        <v>0</v>
      </c>
      <c r="Y47" s="16">
        <v>0</v>
      </c>
      <c r="Z47" s="16">
        <v>0</v>
      </c>
      <c r="AA47" s="16">
        <v>0</v>
      </c>
      <c r="AB47" s="16">
        <v>1</v>
      </c>
      <c r="AC47" s="16">
        <v>2</v>
      </c>
      <c r="AD47" s="16">
        <v>2</v>
      </c>
      <c r="AE47" s="16">
        <v>11</v>
      </c>
      <c r="AF47" s="16">
        <v>11</v>
      </c>
      <c r="AG47" s="16">
        <v>3</v>
      </c>
      <c r="AH47" s="16">
        <v>32</v>
      </c>
      <c r="AI47" s="16">
        <v>1</v>
      </c>
      <c r="AJ47" s="16">
        <v>4</v>
      </c>
      <c r="AK47" s="16">
        <v>0</v>
      </c>
      <c r="AL47" s="98">
        <v>0</v>
      </c>
      <c r="AM47" s="16">
        <v>0</v>
      </c>
      <c r="AN47" s="16">
        <v>0</v>
      </c>
      <c r="AO47" s="16">
        <v>0</v>
      </c>
      <c r="AP47" s="16">
        <v>0</v>
      </c>
      <c r="AQ47" s="16">
        <v>0</v>
      </c>
      <c r="AR47" s="16">
        <v>0</v>
      </c>
      <c r="AS47" s="16">
        <v>1</v>
      </c>
      <c r="AT47" s="16">
        <v>1</v>
      </c>
      <c r="AU47" s="16">
        <v>0</v>
      </c>
      <c r="AV47" s="16">
        <v>7</v>
      </c>
      <c r="AW47" s="16">
        <v>0</v>
      </c>
      <c r="AX47" s="16">
        <v>0</v>
      </c>
      <c r="AY47" s="16">
        <v>1</v>
      </c>
      <c r="AZ47" s="16">
        <v>0</v>
      </c>
      <c r="BA47" s="16">
        <v>0</v>
      </c>
      <c r="BB47" s="16">
        <v>0</v>
      </c>
      <c r="BC47" s="16">
        <v>0</v>
      </c>
      <c r="BD47" s="16">
        <v>0</v>
      </c>
      <c r="BE47" s="16">
        <v>1</v>
      </c>
      <c r="BF47" s="16">
        <v>4</v>
      </c>
      <c r="BG47" s="16">
        <v>3</v>
      </c>
      <c r="BH47" s="16">
        <v>0</v>
      </c>
      <c r="BI47" s="16">
        <v>0</v>
      </c>
      <c r="BJ47" s="16">
        <v>1</v>
      </c>
      <c r="BK47" s="16">
        <v>0</v>
      </c>
      <c r="BL47" s="16">
        <v>1</v>
      </c>
      <c r="BM47" s="16">
        <v>0</v>
      </c>
      <c r="BN47" s="16">
        <v>0</v>
      </c>
      <c r="BO47" s="16">
        <v>0</v>
      </c>
      <c r="BP47" s="16">
        <v>0</v>
      </c>
    </row>
    <row r="48" spans="1:68" s="5" customFormat="1" ht="21.9" customHeight="1" x14ac:dyDescent="0.25">
      <c r="A48" s="125" t="s">
        <v>92</v>
      </c>
      <c r="B48" s="4"/>
      <c r="C48" s="47" t="s">
        <v>75</v>
      </c>
      <c r="D48" s="48"/>
      <c r="E48" s="16">
        <v>10267</v>
      </c>
      <c r="F48" s="16">
        <v>77</v>
      </c>
      <c r="G48" s="16">
        <v>122</v>
      </c>
      <c r="H48" s="16">
        <v>34</v>
      </c>
      <c r="I48" s="16">
        <v>1</v>
      </c>
      <c r="J48" s="16">
        <v>45</v>
      </c>
      <c r="K48" s="16">
        <v>18</v>
      </c>
      <c r="L48" s="16">
        <v>397</v>
      </c>
      <c r="M48" s="16">
        <v>64</v>
      </c>
      <c r="N48" s="16">
        <v>3</v>
      </c>
      <c r="O48" s="16">
        <v>78</v>
      </c>
      <c r="P48" s="16">
        <v>9</v>
      </c>
      <c r="Q48" s="16">
        <v>0</v>
      </c>
      <c r="R48" s="16">
        <v>121</v>
      </c>
      <c r="S48" s="16">
        <v>151</v>
      </c>
      <c r="T48" s="16">
        <v>43</v>
      </c>
      <c r="U48" s="16">
        <v>159</v>
      </c>
      <c r="V48" s="16">
        <v>494</v>
      </c>
      <c r="W48" s="16">
        <v>10</v>
      </c>
      <c r="X48" s="16">
        <v>184</v>
      </c>
      <c r="Y48" s="16">
        <v>74</v>
      </c>
      <c r="Z48" s="16">
        <v>114</v>
      </c>
      <c r="AA48" s="16">
        <v>140</v>
      </c>
      <c r="AB48" s="16">
        <v>33</v>
      </c>
      <c r="AC48" s="16">
        <v>28</v>
      </c>
      <c r="AD48" s="16">
        <v>114</v>
      </c>
      <c r="AE48" s="16">
        <v>2285</v>
      </c>
      <c r="AF48" s="16">
        <v>460</v>
      </c>
      <c r="AG48" s="16">
        <v>216</v>
      </c>
      <c r="AH48" s="16">
        <v>530</v>
      </c>
      <c r="AI48" s="16">
        <v>54</v>
      </c>
      <c r="AJ48" s="16">
        <v>180</v>
      </c>
      <c r="AK48" s="16">
        <v>3</v>
      </c>
      <c r="AL48" s="98">
        <v>72</v>
      </c>
      <c r="AM48" s="16">
        <v>2</v>
      </c>
      <c r="AN48" s="16">
        <v>20</v>
      </c>
      <c r="AO48" s="16">
        <v>136</v>
      </c>
      <c r="AP48" s="16">
        <v>6</v>
      </c>
      <c r="AQ48" s="16">
        <v>29</v>
      </c>
      <c r="AR48" s="16">
        <v>109</v>
      </c>
      <c r="AS48" s="16">
        <v>42</v>
      </c>
      <c r="AT48" s="16">
        <v>23</v>
      </c>
      <c r="AU48" s="16">
        <v>36</v>
      </c>
      <c r="AV48" s="16">
        <v>601</v>
      </c>
      <c r="AW48" s="16">
        <v>41</v>
      </c>
      <c r="AX48" s="16">
        <v>2</v>
      </c>
      <c r="AY48" s="16">
        <v>227</v>
      </c>
      <c r="AZ48" s="16">
        <v>96</v>
      </c>
      <c r="BA48" s="16">
        <v>2</v>
      </c>
      <c r="BB48" s="16">
        <v>133</v>
      </c>
      <c r="BC48" s="16">
        <v>25</v>
      </c>
      <c r="BD48" s="16">
        <v>14</v>
      </c>
      <c r="BE48" s="16">
        <v>64</v>
      </c>
      <c r="BF48" s="16">
        <v>59</v>
      </c>
      <c r="BG48" s="16">
        <v>57</v>
      </c>
      <c r="BH48" s="16">
        <v>249</v>
      </c>
      <c r="BI48" s="16">
        <v>145</v>
      </c>
      <c r="BJ48" s="16">
        <v>690</v>
      </c>
      <c r="BK48" s="16">
        <v>351</v>
      </c>
      <c r="BL48" s="16">
        <v>436</v>
      </c>
      <c r="BM48" s="16">
        <v>336</v>
      </c>
      <c r="BN48" s="16">
        <v>8</v>
      </c>
      <c r="BO48" s="16">
        <v>1</v>
      </c>
      <c r="BP48" s="16">
        <v>14</v>
      </c>
    </row>
    <row r="49" spans="1:192" s="5" customFormat="1" ht="21.9" customHeight="1" x14ac:dyDescent="0.25">
      <c r="A49" s="125"/>
      <c r="B49" s="4"/>
      <c r="C49" s="47" t="s">
        <v>76</v>
      </c>
      <c r="D49" s="48"/>
      <c r="E49" s="16">
        <v>250</v>
      </c>
      <c r="F49" s="16">
        <v>1</v>
      </c>
      <c r="G49" s="16">
        <v>0</v>
      </c>
      <c r="H49" s="16">
        <v>0</v>
      </c>
      <c r="I49" s="16">
        <v>0</v>
      </c>
      <c r="J49" s="16">
        <v>0</v>
      </c>
      <c r="K49" s="16">
        <v>2</v>
      </c>
      <c r="L49" s="16">
        <v>4</v>
      </c>
      <c r="M49" s="16">
        <v>1</v>
      </c>
      <c r="N49" s="16">
        <v>0</v>
      </c>
      <c r="O49" s="16">
        <v>0</v>
      </c>
      <c r="P49" s="16">
        <v>0</v>
      </c>
      <c r="Q49" s="16">
        <v>0</v>
      </c>
      <c r="R49" s="16">
        <v>8</v>
      </c>
      <c r="S49" s="16">
        <v>21</v>
      </c>
      <c r="T49" s="16">
        <v>0</v>
      </c>
      <c r="U49" s="16">
        <v>6</v>
      </c>
      <c r="V49" s="16">
        <v>1</v>
      </c>
      <c r="W49" s="16">
        <v>0</v>
      </c>
      <c r="X49" s="16">
        <v>5</v>
      </c>
      <c r="Y49" s="16">
        <v>1</v>
      </c>
      <c r="Z49" s="16">
        <v>5</v>
      </c>
      <c r="AA49" s="16">
        <v>1</v>
      </c>
      <c r="AB49" s="16">
        <v>0</v>
      </c>
      <c r="AC49" s="16">
        <v>2</v>
      </c>
      <c r="AD49" s="16">
        <v>4</v>
      </c>
      <c r="AE49" s="16">
        <v>13</v>
      </c>
      <c r="AF49" s="16">
        <v>17</v>
      </c>
      <c r="AG49" s="16">
        <v>4</v>
      </c>
      <c r="AH49" s="16">
        <v>25</v>
      </c>
      <c r="AI49" s="16">
        <v>5</v>
      </c>
      <c r="AJ49" s="16">
        <v>0</v>
      </c>
      <c r="AK49" s="16">
        <v>1</v>
      </c>
      <c r="AL49" s="98">
        <v>5</v>
      </c>
      <c r="AM49" s="16">
        <v>0</v>
      </c>
      <c r="AN49" s="16">
        <v>0</v>
      </c>
      <c r="AO49" s="16">
        <v>4</v>
      </c>
      <c r="AP49" s="16">
        <v>0</v>
      </c>
      <c r="AQ49" s="16">
        <v>0</v>
      </c>
      <c r="AR49" s="16">
        <v>0</v>
      </c>
      <c r="AS49" s="16">
        <v>6</v>
      </c>
      <c r="AT49" s="16">
        <v>6</v>
      </c>
      <c r="AU49" s="16">
        <v>0</v>
      </c>
      <c r="AV49" s="16">
        <v>13</v>
      </c>
      <c r="AW49" s="16">
        <v>1</v>
      </c>
      <c r="AX49" s="16">
        <v>0</v>
      </c>
      <c r="AY49" s="16">
        <v>1</v>
      </c>
      <c r="AZ49" s="16">
        <v>3</v>
      </c>
      <c r="BA49" s="16">
        <v>2</v>
      </c>
      <c r="BB49" s="16">
        <v>2</v>
      </c>
      <c r="BC49" s="16">
        <v>2</v>
      </c>
      <c r="BD49" s="16">
        <v>3</v>
      </c>
      <c r="BE49" s="16">
        <v>0</v>
      </c>
      <c r="BF49" s="16">
        <v>0</v>
      </c>
      <c r="BG49" s="16">
        <v>12</v>
      </c>
      <c r="BH49" s="16">
        <v>25</v>
      </c>
      <c r="BI49" s="16">
        <v>4</v>
      </c>
      <c r="BJ49" s="16">
        <v>18</v>
      </c>
      <c r="BK49" s="16">
        <v>7</v>
      </c>
      <c r="BL49" s="16">
        <v>6</v>
      </c>
      <c r="BM49" s="16">
        <v>2</v>
      </c>
      <c r="BN49" s="16">
        <v>0</v>
      </c>
      <c r="BO49" s="16">
        <v>0</v>
      </c>
      <c r="BP49" s="16">
        <v>1</v>
      </c>
    </row>
    <row r="50" spans="1:192" s="5" customFormat="1" ht="21.9" customHeight="1" x14ac:dyDescent="0.25">
      <c r="A50" s="125" t="s">
        <v>263</v>
      </c>
      <c r="C50" s="47" t="s">
        <v>75</v>
      </c>
      <c r="D50" s="48"/>
      <c r="E50" s="16">
        <v>8781</v>
      </c>
      <c r="F50" s="16">
        <v>73</v>
      </c>
      <c r="G50" s="16">
        <v>10</v>
      </c>
      <c r="H50" s="16">
        <v>11</v>
      </c>
      <c r="I50" s="16">
        <v>0</v>
      </c>
      <c r="J50" s="16">
        <v>0</v>
      </c>
      <c r="K50" s="16">
        <v>80</v>
      </c>
      <c r="L50" s="16">
        <v>428</v>
      </c>
      <c r="M50" s="16">
        <v>226</v>
      </c>
      <c r="N50" s="16">
        <v>9</v>
      </c>
      <c r="O50" s="16">
        <v>1084</v>
      </c>
      <c r="P50" s="16">
        <v>23</v>
      </c>
      <c r="Q50" s="16">
        <v>0</v>
      </c>
      <c r="R50" s="16">
        <v>92</v>
      </c>
      <c r="S50" s="16">
        <v>158</v>
      </c>
      <c r="T50" s="16">
        <v>12</v>
      </c>
      <c r="U50" s="16">
        <v>86</v>
      </c>
      <c r="V50" s="16">
        <v>700</v>
      </c>
      <c r="W50" s="16">
        <v>61</v>
      </c>
      <c r="X50" s="16">
        <v>247</v>
      </c>
      <c r="Y50" s="16">
        <v>42</v>
      </c>
      <c r="Z50" s="16">
        <v>20</v>
      </c>
      <c r="AA50" s="16">
        <v>71</v>
      </c>
      <c r="AB50" s="16">
        <v>103</v>
      </c>
      <c r="AC50" s="16">
        <v>17</v>
      </c>
      <c r="AD50" s="16">
        <v>30</v>
      </c>
      <c r="AE50" s="16">
        <v>631</v>
      </c>
      <c r="AF50" s="16">
        <v>321</v>
      </c>
      <c r="AG50" s="16">
        <v>118</v>
      </c>
      <c r="AH50" s="16">
        <v>1242</v>
      </c>
      <c r="AI50" s="16">
        <v>25</v>
      </c>
      <c r="AJ50" s="16">
        <v>100</v>
      </c>
      <c r="AK50" s="16">
        <v>3</v>
      </c>
      <c r="AL50" s="98">
        <v>199</v>
      </c>
      <c r="AM50" s="16">
        <v>9</v>
      </c>
      <c r="AN50" s="16">
        <v>0</v>
      </c>
      <c r="AO50" s="16">
        <v>92</v>
      </c>
      <c r="AP50" s="16">
        <v>18</v>
      </c>
      <c r="AQ50" s="16">
        <v>7</v>
      </c>
      <c r="AR50" s="16">
        <v>114</v>
      </c>
      <c r="AS50" s="16">
        <v>7</v>
      </c>
      <c r="AT50" s="16">
        <v>0</v>
      </c>
      <c r="AU50" s="16">
        <v>3</v>
      </c>
      <c r="AV50" s="16">
        <v>169</v>
      </c>
      <c r="AW50" s="16">
        <v>89</v>
      </c>
      <c r="AX50" s="16">
        <v>0</v>
      </c>
      <c r="AY50" s="16">
        <v>77</v>
      </c>
      <c r="AZ50" s="16">
        <v>736</v>
      </c>
      <c r="BA50" s="16">
        <v>1</v>
      </c>
      <c r="BB50" s="16">
        <v>13</v>
      </c>
      <c r="BC50" s="16">
        <v>24</v>
      </c>
      <c r="BD50" s="16">
        <v>16</v>
      </c>
      <c r="BE50" s="16">
        <v>46</v>
      </c>
      <c r="BF50" s="16">
        <v>92</v>
      </c>
      <c r="BG50" s="16">
        <v>49</v>
      </c>
      <c r="BH50" s="16">
        <v>27</v>
      </c>
      <c r="BI50" s="16">
        <v>364</v>
      </c>
      <c r="BJ50" s="16">
        <v>175</v>
      </c>
      <c r="BK50" s="16">
        <v>55</v>
      </c>
      <c r="BL50" s="16">
        <v>253</v>
      </c>
      <c r="BM50" s="16">
        <v>103</v>
      </c>
      <c r="BN50" s="16">
        <v>0</v>
      </c>
      <c r="BO50" s="16">
        <v>0</v>
      </c>
      <c r="BP50" s="16">
        <v>20</v>
      </c>
    </row>
    <row r="51" spans="1:192" s="5" customFormat="1" ht="21.9" customHeight="1" x14ac:dyDescent="0.25">
      <c r="A51" s="125"/>
      <c r="C51" s="47" t="s">
        <v>76</v>
      </c>
      <c r="D51" s="48"/>
      <c r="E51" s="16">
        <v>80</v>
      </c>
      <c r="F51" s="16">
        <v>0</v>
      </c>
      <c r="G51" s="16">
        <v>0</v>
      </c>
      <c r="H51" s="16">
        <v>1</v>
      </c>
      <c r="I51" s="16">
        <v>0</v>
      </c>
      <c r="J51" s="16">
        <v>0</v>
      </c>
      <c r="K51" s="16">
        <v>5</v>
      </c>
      <c r="L51" s="16">
        <v>1</v>
      </c>
      <c r="M51" s="16">
        <v>1</v>
      </c>
      <c r="N51" s="16">
        <v>0</v>
      </c>
      <c r="O51" s="16">
        <v>0</v>
      </c>
      <c r="P51" s="16">
        <v>1</v>
      </c>
      <c r="Q51" s="16">
        <v>0</v>
      </c>
      <c r="R51" s="16">
        <v>1</v>
      </c>
      <c r="S51" s="16">
        <v>1</v>
      </c>
      <c r="T51" s="16">
        <v>2</v>
      </c>
      <c r="U51" s="16">
        <v>3</v>
      </c>
      <c r="V51" s="16">
        <v>3</v>
      </c>
      <c r="W51" s="16">
        <v>0</v>
      </c>
      <c r="X51" s="16">
        <v>1</v>
      </c>
      <c r="Y51" s="16">
        <v>0</v>
      </c>
      <c r="Z51" s="16">
        <v>1</v>
      </c>
      <c r="AA51" s="16">
        <v>0</v>
      </c>
      <c r="AB51" s="16">
        <v>0</v>
      </c>
      <c r="AC51" s="16">
        <v>2</v>
      </c>
      <c r="AD51" s="16">
        <v>1</v>
      </c>
      <c r="AE51" s="16">
        <v>4</v>
      </c>
      <c r="AF51" s="16">
        <v>5</v>
      </c>
      <c r="AG51" s="16">
        <v>0</v>
      </c>
      <c r="AH51" s="16">
        <v>17</v>
      </c>
      <c r="AI51" s="16">
        <v>0</v>
      </c>
      <c r="AJ51" s="16">
        <v>2</v>
      </c>
      <c r="AK51" s="16">
        <v>0</v>
      </c>
      <c r="AL51" s="98">
        <v>1</v>
      </c>
      <c r="AM51" s="16">
        <v>5</v>
      </c>
      <c r="AN51" s="16">
        <v>0</v>
      </c>
      <c r="AO51" s="16">
        <v>0</v>
      </c>
      <c r="AP51" s="16">
        <v>0</v>
      </c>
      <c r="AQ51" s="16">
        <v>0</v>
      </c>
      <c r="AR51" s="16">
        <v>0</v>
      </c>
      <c r="AS51" s="16">
        <v>0</v>
      </c>
      <c r="AT51" s="16">
        <v>0</v>
      </c>
      <c r="AU51" s="16">
        <v>0</v>
      </c>
      <c r="AV51" s="16">
        <v>1</v>
      </c>
      <c r="AW51" s="16">
        <v>0</v>
      </c>
      <c r="AX51" s="16">
        <v>0</v>
      </c>
      <c r="AY51" s="16">
        <v>0</v>
      </c>
      <c r="AZ51" s="16">
        <v>0</v>
      </c>
      <c r="BA51" s="16">
        <v>1</v>
      </c>
      <c r="BB51" s="16">
        <v>0</v>
      </c>
      <c r="BC51" s="16">
        <v>1</v>
      </c>
      <c r="BD51" s="16">
        <v>3</v>
      </c>
      <c r="BE51" s="16">
        <v>0</v>
      </c>
      <c r="BF51" s="16">
        <v>0</v>
      </c>
      <c r="BG51" s="16">
        <v>2</v>
      </c>
      <c r="BH51" s="16">
        <v>8</v>
      </c>
      <c r="BI51" s="16">
        <v>0</v>
      </c>
      <c r="BJ51" s="16">
        <v>3</v>
      </c>
      <c r="BK51" s="16">
        <v>0</v>
      </c>
      <c r="BL51" s="16">
        <v>2</v>
      </c>
      <c r="BM51" s="16">
        <v>1</v>
      </c>
      <c r="BN51" s="16">
        <v>0</v>
      </c>
      <c r="BO51" s="16">
        <v>0</v>
      </c>
      <c r="BP51" s="16">
        <v>0</v>
      </c>
    </row>
    <row r="52" spans="1:192" s="5" customFormat="1" ht="21.9" customHeight="1" x14ac:dyDescent="0.25">
      <c r="A52" s="125" t="s">
        <v>94</v>
      </c>
      <c r="B52" s="4"/>
      <c r="C52" s="47" t="s">
        <v>75</v>
      </c>
      <c r="D52" s="48"/>
      <c r="E52" s="16">
        <v>40926</v>
      </c>
      <c r="F52" s="16">
        <v>333</v>
      </c>
      <c r="G52" s="16">
        <v>371</v>
      </c>
      <c r="H52" s="16">
        <v>204</v>
      </c>
      <c r="I52" s="16">
        <v>6</v>
      </c>
      <c r="J52" s="16">
        <v>215</v>
      </c>
      <c r="K52" s="16">
        <v>160</v>
      </c>
      <c r="L52" s="16">
        <v>591</v>
      </c>
      <c r="M52" s="16">
        <v>1574</v>
      </c>
      <c r="N52" s="16">
        <v>108</v>
      </c>
      <c r="O52" s="16">
        <v>130</v>
      </c>
      <c r="P52" s="16">
        <v>241</v>
      </c>
      <c r="Q52" s="16">
        <v>0</v>
      </c>
      <c r="R52" s="16">
        <v>309</v>
      </c>
      <c r="S52" s="16">
        <v>1242</v>
      </c>
      <c r="T52" s="16">
        <v>316</v>
      </c>
      <c r="U52" s="16">
        <v>771</v>
      </c>
      <c r="V52" s="16">
        <v>2423</v>
      </c>
      <c r="W52" s="16">
        <v>395</v>
      </c>
      <c r="X52" s="16">
        <v>881</v>
      </c>
      <c r="Y52" s="16">
        <v>203</v>
      </c>
      <c r="Z52" s="16">
        <v>2109</v>
      </c>
      <c r="AA52" s="16">
        <v>322</v>
      </c>
      <c r="AB52" s="16">
        <v>176</v>
      </c>
      <c r="AC52" s="16">
        <v>259</v>
      </c>
      <c r="AD52" s="16">
        <v>344</v>
      </c>
      <c r="AE52" s="16">
        <v>6661</v>
      </c>
      <c r="AF52" s="16">
        <v>3575</v>
      </c>
      <c r="AG52" s="16">
        <v>2120</v>
      </c>
      <c r="AH52" s="16">
        <v>1861</v>
      </c>
      <c r="AI52" s="16">
        <v>478</v>
      </c>
      <c r="AJ52" s="16">
        <v>413</v>
      </c>
      <c r="AK52" s="16">
        <v>35</v>
      </c>
      <c r="AL52" s="98">
        <v>457</v>
      </c>
      <c r="AM52" s="16">
        <v>307</v>
      </c>
      <c r="AN52" s="16">
        <v>89</v>
      </c>
      <c r="AO52" s="16">
        <v>405</v>
      </c>
      <c r="AP52" s="16">
        <v>10</v>
      </c>
      <c r="AQ52" s="16">
        <v>3</v>
      </c>
      <c r="AR52" s="16">
        <v>85</v>
      </c>
      <c r="AS52" s="16">
        <v>195</v>
      </c>
      <c r="AT52" s="16">
        <v>90</v>
      </c>
      <c r="AU52" s="16">
        <v>377</v>
      </c>
      <c r="AV52" s="16">
        <v>3915</v>
      </c>
      <c r="AW52" s="16">
        <v>493</v>
      </c>
      <c r="AX52" s="16">
        <v>22</v>
      </c>
      <c r="AY52" s="16">
        <v>653</v>
      </c>
      <c r="AZ52" s="16">
        <v>132</v>
      </c>
      <c r="BA52" s="16">
        <v>0</v>
      </c>
      <c r="BB52" s="16">
        <v>23</v>
      </c>
      <c r="BC52" s="16">
        <v>70</v>
      </c>
      <c r="BD52" s="16">
        <v>27</v>
      </c>
      <c r="BE52" s="16">
        <v>643</v>
      </c>
      <c r="BF52" s="16">
        <v>522</v>
      </c>
      <c r="BG52" s="16">
        <v>1330</v>
      </c>
      <c r="BH52" s="16">
        <v>47</v>
      </c>
      <c r="BI52" s="16">
        <v>186</v>
      </c>
      <c r="BJ52" s="16">
        <v>260</v>
      </c>
      <c r="BK52" s="16">
        <v>96</v>
      </c>
      <c r="BL52" s="16">
        <v>420</v>
      </c>
      <c r="BM52" s="16">
        <v>526</v>
      </c>
      <c r="BN52" s="16">
        <v>297</v>
      </c>
      <c r="BO52" s="16">
        <v>4</v>
      </c>
      <c r="BP52" s="16">
        <v>416</v>
      </c>
    </row>
    <row r="53" spans="1:192" s="5" customFormat="1" ht="21.9" customHeight="1" x14ac:dyDescent="0.25">
      <c r="A53" s="125"/>
      <c r="B53" s="4"/>
      <c r="C53" s="47" t="s">
        <v>76</v>
      </c>
      <c r="D53" s="48"/>
      <c r="E53" s="16">
        <v>137</v>
      </c>
      <c r="F53" s="16">
        <v>0</v>
      </c>
      <c r="G53" s="16">
        <v>0</v>
      </c>
      <c r="H53" s="16">
        <v>0</v>
      </c>
      <c r="I53" s="16">
        <v>0</v>
      </c>
      <c r="J53" s="16">
        <v>0</v>
      </c>
      <c r="K53" s="16">
        <v>0</v>
      </c>
      <c r="L53" s="16">
        <v>0</v>
      </c>
      <c r="M53" s="16">
        <v>0</v>
      </c>
      <c r="N53" s="16">
        <v>0</v>
      </c>
      <c r="O53" s="16">
        <v>0</v>
      </c>
      <c r="P53" s="16">
        <v>1</v>
      </c>
      <c r="Q53" s="16">
        <v>0</v>
      </c>
      <c r="R53" s="16">
        <v>5</v>
      </c>
      <c r="S53" s="16">
        <v>6</v>
      </c>
      <c r="T53" s="16">
        <v>0</v>
      </c>
      <c r="U53" s="16">
        <v>1</v>
      </c>
      <c r="V53" s="16">
        <v>9</v>
      </c>
      <c r="W53" s="16">
        <v>1</v>
      </c>
      <c r="X53" s="16">
        <v>0</v>
      </c>
      <c r="Y53" s="16">
        <v>0</v>
      </c>
      <c r="Z53" s="16">
        <v>10</v>
      </c>
      <c r="AA53" s="16">
        <v>2</v>
      </c>
      <c r="AB53" s="16">
        <v>0</v>
      </c>
      <c r="AC53" s="16">
        <v>3</v>
      </c>
      <c r="AD53" s="16">
        <v>3</v>
      </c>
      <c r="AE53" s="16">
        <v>4</v>
      </c>
      <c r="AF53" s="16">
        <v>1</v>
      </c>
      <c r="AG53" s="16">
        <v>2</v>
      </c>
      <c r="AH53" s="16">
        <v>24</v>
      </c>
      <c r="AI53" s="16">
        <v>1</v>
      </c>
      <c r="AJ53" s="16">
        <v>4</v>
      </c>
      <c r="AK53" s="16">
        <v>0</v>
      </c>
      <c r="AL53" s="98">
        <v>4</v>
      </c>
      <c r="AM53" s="16">
        <v>0</v>
      </c>
      <c r="AN53" s="16">
        <v>0</v>
      </c>
      <c r="AO53" s="16">
        <v>0</v>
      </c>
      <c r="AP53" s="16">
        <v>0</v>
      </c>
      <c r="AQ53" s="16">
        <v>0</v>
      </c>
      <c r="AR53" s="16">
        <v>0</v>
      </c>
      <c r="AS53" s="16">
        <v>14</v>
      </c>
      <c r="AT53" s="16">
        <v>3</v>
      </c>
      <c r="AU53" s="16">
        <v>0</v>
      </c>
      <c r="AV53" s="16">
        <v>8</v>
      </c>
      <c r="AW53" s="16">
        <v>0</v>
      </c>
      <c r="AX53" s="16">
        <v>0</v>
      </c>
      <c r="AY53" s="16">
        <v>0</v>
      </c>
      <c r="AZ53" s="16">
        <v>0</v>
      </c>
      <c r="BA53" s="16">
        <v>0</v>
      </c>
      <c r="BB53" s="16">
        <v>1</v>
      </c>
      <c r="BC53" s="16">
        <v>1</v>
      </c>
      <c r="BD53" s="16">
        <v>5</v>
      </c>
      <c r="BE53" s="16">
        <v>0</v>
      </c>
      <c r="BF53" s="16">
        <v>1</v>
      </c>
      <c r="BG53" s="16">
        <v>5</v>
      </c>
      <c r="BH53" s="16">
        <v>3</v>
      </c>
      <c r="BI53" s="16">
        <v>0</v>
      </c>
      <c r="BJ53" s="16">
        <v>0</v>
      </c>
      <c r="BK53" s="16">
        <v>7</v>
      </c>
      <c r="BL53" s="16">
        <v>3</v>
      </c>
      <c r="BM53" s="16">
        <v>0</v>
      </c>
      <c r="BN53" s="16">
        <v>0</v>
      </c>
      <c r="BO53" s="16">
        <v>0</v>
      </c>
      <c r="BP53" s="16">
        <v>5</v>
      </c>
    </row>
    <row r="54" spans="1:192" s="5" customFormat="1" ht="21.9" customHeight="1" x14ac:dyDescent="0.25">
      <c r="A54" s="125" t="s">
        <v>95</v>
      </c>
      <c r="B54" s="4"/>
      <c r="C54" s="47" t="s">
        <v>75</v>
      </c>
      <c r="D54" s="48"/>
      <c r="E54" s="16">
        <v>2374</v>
      </c>
      <c r="F54" s="16">
        <v>6</v>
      </c>
      <c r="G54" s="16">
        <v>0</v>
      </c>
      <c r="H54" s="16">
        <v>0</v>
      </c>
      <c r="I54" s="16">
        <v>0</v>
      </c>
      <c r="J54" s="16">
        <v>0</v>
      </c>
      <c r="K54" s="16">
        <v>2</v>
      </c>
      <c r="L54" s="16">
        <v>36</v>
      </c>
      <c r="M54" s="16">
        <v>42</v>
      </c>
      <c r="N54" s="16">
        <v>1</v>
      </c>
      <c r="O54" s="16">
        <v>9</v>
      </c>
      <c r="P54" s="16">
        <v>18</v>
      </c>
      <c r="Q54" s="16">
        <v>0</v>
      </c>
      <c r="R54" s="16">
        <v>47</v>
      </c>
      <c r="S54" s="16">
        <v>20</v>
      </c>
      <c r="T54" s="16">
        <v>0</v>
      </c>
      <c r="U54" s="16">
        <v>24</v>
      </c>
      <c r="V54" s="16">
        <v>144</v>
      </c>
      <c r="W54" s="16">
        <v>0</v>
      </c>
      <c r="X54" s="16">
        <v>32</v>
      </c>
      <c r="Y54" s="16">
        <v>4</v>
      </c>
      <c r="Z54" s="16">
        <v>50</v>
      </c>
      <c r="AA54" s="16">
        <v>46</v>
      </c>
      <c r="AB54" s="16">
        <v>0</v>
      </c>
      <c r="AC54" s="16">
        <v>217</v>
      </c>
      <c r="AD54" s="16">
        <v>2</v>
      </c>
      <c r="AE54" s="16">
        <v>181</v>
      </c>
      <c r="AF54" s="16">
        <v>1</v>
      </c>
      <c r="AG54" s="16">
        <v>0</v>
      </c>
      <c r="AH54" s="16">
        <v>268</v>
      </c>
      <c r="AI54" s="16">
        <v>53</v>
      </c>
      <c r="AJ54" s="16">
        <v>34</v>
      </c>
      <c r="AK54" s="16">
        <v>0</v>
      </c>
      <c r="AL54" s="98">
        <v>3</v>
      </c>
      <c r="AM54" s="16">
        <v>0</v>
      </c>
      <c r="AN54" s="16">
        <v>0</v>
      </c>
      <c r="AO54" s="16">
        <v>5</v>
      </c>
      <c r="AP54" s="16">
        <v>0</v>
      </c>
      <c r="AQ54" s="16">
        <v>0</v>
      </c>
      <c r="AR54" s="16">
        <v>0</v>
      </c>
      <c r="AS54" s="16">
        <v>6</v>
      </c>
      <c r="AT54" s="16">
        <v>0</v>
      </c>
      <c r="AU54" s="16">
        <v>0</v>
      </c>
      <c r="AV54" s="16">
        <v>155</v>
      </c>
      <c r="AW54" s="16">
        <v>84</v>
      </c>
      <c r="AX54" s="16">
        <v>595</v>
      </c>
      <c r="AY54" s="16">
        <v>22</v>
      </c>
      <c r="AZ54" s="16">
        <v>4</v>
      </c>
      <c r="BA54" s="16">
        <v>0</v>
      </c>
      <c r="BB54" s="16">
        <v>0</v>
      </c>
      <c r="BC54" s="16">
        <v>10</v>
      </c>
      <c r="BD54" s="16">
        <v>8</v>
      </c>
      <c r="BE54" s="16">
        <v>4</v>
      </c>
      <c r="BF54" s="16">
        <v>0</v>
      </c>
      <c r="BG54" s="16">
        <v>4</v>
      </c>
      <c r="BH54" s="16">
        <v>0</v>
      </c>
      <c r="BI54" s="16">
        <v>0</v>
      </c>
      <c r="BJ54" s="16">
        <v>224</v>
      </c>
      <c r="BK54" s="16">
        <v>9</v>
      </c>
      <c r="BL54" s="16">
        <v>0</v>
      </c>
      <c r="BM54" s="16">
        <v>0</v>
      </c>
      <c r="BN54" s="16">
        <v>0</v>
      </c>
      <c r="BO54" s="16">
        <v>0</v>
      </c>
      <c r="BP54" s="16">
        <v>4</v>
      </c>
    </row>
    <row r="55" spans="1:192" s="5" customFormat="1" ht="21.9" customHeight="1" x14ac:dyDescent="0.25">
      <c r="A55" s="125"/>
      <c r="B55" s="4"/>
      <c r="C55" s="47" t="s">
        <v>76</v>
      </c>
      <c r="D55" s="48"/>
      <c r="E55" s="16">
        <v>33</v>
      </c>
      <c r="F55" s="16">
        <v>1</v>
      </c>
      <c r="G55" s="16">
        <v>0</v>
      </c>
      <c r="H55" s="16">
        <v>0</v>
      </c>
      <c r="I55" s="16">
        <v>0</v>
      </c>
      <c r="J55" s="16">
        <v>0</v>
      </c>
      <c r="K55" s="16">
        <v>0</v>
      </c>
      <c r="L55" s="16">
        <v>0</v>
      </c>
      <c r="M55" s="16">
        <v>0</v>
      </c>
      <c r="N55" s="16">
        <v>0</v>
      </c>
      <c r="O55" s="16">
        <v>0</v>
      </c>
      <c r="P55" s="16">
        <v>0</v>
      </c>
      <c r="Q55" s="16">
        <v>0</v>
      </c>
      <c r="R55" s="16">
        <v>0</v>
      </c>
      <c r="S55" s="16">
        <v>1</v>
      </c>
      <c r="T55" s="16">
        <v>0</v>
      </c>
      <c r="U55" s="16">
        <v>0</v>
      </c>
      <c r="V55" s="16">
        <v>1</v>
      </c>
      <c r="W55" s="16">
        <v>0</v>
      </c>
      <c r="X55" s="16">
        <v>2</v>
      </c>
      <c r="Y55" s="16">
        <v>0</v>
      </c>
      <c r="Z55" s="16">
        <v>0</v>
      </c>
      <c r="AA55" s="16">
        <v>0</v>
      </c>
      <c r="AB55" s="16">
        <v>0</v>
      </c>
      <c r="AC55" s="16">
        <v>1</v>
      </c>
      <c r="AD55" s="16">
        <v>0</v>
      </c>
      <c r="AE55" s="16">
        <v>4</v>
      </c>
      <c r="AF55" s="16">
        <v>0</v>
      </c>
      <c r="AG55" s="16">
        <v>0</v>
      </c>
      <c r="AH55" s="16">
        <v>12</v>
      </c>
      <c r="AI55" s="16">
        <v>0</v>
      </c>
      <c r="AJ55" s="16">
        <v>0</v>
      </c>
      <c r="AK55" s="16">
        <v>0</v>
      </c>
      <c r="AL55" s="98">
        <v>0</v>
      </c>
      <c r="AM55" s="16">
        <v>0</v>
      </c>
      <c r="AN55" s="16">
        <v>0</v>
      </c>
      <c r="AO55" s="16">
        <v>0</v>
      </c>
      <c r="AP55" s="16">
        <v>0</v>
      </c>
      <c r="AQ55" s="16">
        <v>0</v>
      </c>
      <c r="AR55" s="16">
        <v>0</v>
      </c>
      <c r="AS55" s="16">
        <v>1</v>
      </c>
      <c r="AT55" s="16">
        <v>0</v>
      </c>
      <c r="AU55" s="16">
        <v>0</v>
      </c>
      <c r="AV55" s="16">
        <v>9</v>
      </c>
      <c r="AW55" s="16">
        <v>0</v>
      </c>
      <c r="AX55" s="16">
        <v>0</v>
      </c>
      <c r="AY55" s="16">
        <v>0</v>
      </c>
      <c r="AZ55" s="16">
        <v>0</v>
      </c>
      <c r="BA55" s="16">
        <v>0</v>
      </c>
      <c r="BB55" s="16">
        <v>0</v>
      </c>
      <c r="BC55" s="16">
        <v>0</v>
      </c>
      <c r="BD55" s="16">
        <v>0</v>
      </c>
      <c r="BE55" s="16">
        <v>0</v>
      </c>
      <c r="BF55" s="16">
        <v>0</v>
      </c>
      <c r="BG55" s="16">
        <v>0</v>
      </c>
      <c r="BH55" s="16">
        <v>0</v>
      </c>
      <c r="BI55" s="16">
        <v>0</v>
      </c>
      <c r="BJ55" s="16">
        <v>1</v>
      </c>
      <c r="BK55" s="16">
        <v>0</v>
      </c>
      <c r="BL55" s="16">
        <v>0</v>
      </c>
      <c r="BM55" s="16">
        <v>0</v>
      </c>
      <c r="BN55" s="16">
        <v>0</v>
      </c>
      <c r="BO55" s="16">
        <v>0</v>
      </c>
      <c r="BP55" s="16">
        <v>0</v>
      </c>
    </row>
    <row r="56" spans="1:192" s="5" customFormat="1" ht="21.9" customHeight="1" x14ac:dyDescent="0.25">
      <c r="A56" s="125" t="s">
        <v>264</v>
      </c>
      <c r="B56" s="4"/>
      <c r="C56" s="47" t="s">
        <v>75</v>
      </c>
      <c r="D56" s="48"/>
      <c r="E56" s="16">
        <v>770</v>
      </c>
      <c r="F56" s="16">
        <v>0</v>
      </c>
      <c r="G56" s="16">
        <v>0</v>
      </c>
      <c r="H56" s="16">
        <v>0</v>
      </c>
      <c r="I56" s="16">
        <v>0</v>
      </c>
      <c r="J56" s="16">
        <v>0</v>
      </c>
      <c r="K56" s="16">
        <v>0</v>
      </c>
      <c r="L56" s="16">
        <v>13</v>
      </c>
      <c r="M56" s="16">
        <v>13</v>
      </c>
      <c r="N56" s="16">
        <v>0</v>
      </c>
      <c r="O56" s="16">
        <v>0</v>
      </c>
      <c r="P56" s="16">
        <v>0</v>
      </c>
      <c r="Q56" s="16">
        <v>0</v>
      </c>
      <c r="R56" s="16">
        <v>49</v>
      </c>
      <c r="S56" s="16">
        <v>22</v>
      </c>
      <c r="T56" s="16">
        <v>2</v>
      </c>
      <c r="U56" s="16">
        <v>16</v>
      </c>
      <c r="V56" s="16">
        <v>126</v>
      </c>
      <c r="W56" s="16">
        <v>0</v>
      </c>
      <c r="X56" s="16">
        <v>25</v>
      </c>
      <c r="Y56" s="16">
        <v>5</v>
      </c>
      <c r="Z56" s="16">
        <v>8</v>
      </c>
      <c r="AA56" s="16">
        <v>2</v>
      </c>
      <c r="AB56" s="16">
        <v>0</v>
      </c>
      <c r="AC56" s="16">
        <v>0</v>
      </c>
      <c r="AD56" s="16">
        <v>6</v>
      </c>
      <c r="AE56" s="16">
        <v>14</v>
      </c>
      <c r="AF56" s="16">
        <v>4</v>
      </c>
      <c r="AG56" s="16">
        <v>9</v>
      </c>
      <c r="AH56" s="16">
        <v>332</v>
      </c>
      <c r="AI56" s="16">
        <v>1</v>
      </c>
      <c r="AJ56" s="16">
        <v>0</v>
      </c>
      <c r="AK56" s="16">
        <v>0</v>
      </c>
      <c r="AL56" s="98">
        <v>9</v>
      </c>
      <c r="AM56" s="16">
        <v>0</v>
      </c>
      <c r="AN56" s="16">
        <v>0</v>
      </c>
      <c r="AO56" s="16">
        <v>6</v>
      </c>
      <c r="AP56" s="16">
        <v>0</v>
      </c>
      <c r="AQ56" s="16">
        <v>0</v>
      </c>
      <c r="AR56" s="16">
        <v>0</v>
      </c>
      <c r="AS56" s="16">
        <v>8</v>
      </c>
      <c r="AT56" s="16">
        <v>0</v>
      </c>
      <c r="AU56" s="16">
        <v>0</v>
      </c>
      <c r="AV56" s="16">
        <v>2</v>
      </c>
      <c r="AW56" s="16">
        <v>2</v>
      </c>
      <c r="AX56" s="16">
        <v>0</v>
      </c>
      <c r="AY56" s="16">
        <v>0</v>
      </c>
      <c r="AZ56" s="16">
        <v>0</v>
      </c>
      <c r="BA56" s="16">
        <v>0</v>
      </c>
      <c r="BB56" s="16">
        <v>0</v>
      </c>
      <c r="BC56" s="16">
        <v>0</v>
      </c>
      <c r="BD56" s="16">
        <v>0</v>
      </c>
      <c r="BE56" s="16">
        <v>50</v>
      </c>
      <c r="BF56" s="16">
        <v>24</v>
      </c>
      <c r="BG56" s="16">
        <v>0</v>
      </c>
      <c r="BH56" s="16">
        <v>0</v>
      </c>
      <c r="BI56" s="16">
        <v>0</v>
      </c>
      <c r="BJ56" s="16">
        <v>18</v>
      </c>
      <c r="BK56" s="16">
        <v>0</v>
      </c>
      <c r="BL56" s="16">
        <v>0</v>
      </c>
      <c r="BM56" s="16">
        <v>4</v>
      </c>
      <c r="BN56" s="16">
        <v>0</v>
      </c>
      <c r="BO56" s="16">
        <v>0</v>
      </c>
      <c r="BP56" s="16">
        <v>0</v>
      </c>
    </row>
    <row r="57" spans="1:192" s="5" customFormat="1" ht="21.9" customHeight="1" x14ac:dyDescent="0.25">
      <c r="A57" s="134"/>
      <c r="B57" s="6"/>
      <c r="C57" s="49" t="s">
        <v>76</v>
      </c>
      <c r="D57" s="50"/>
      <c r="E57" s="55">
        <v>4</v>
      </c>
      <c r="F57" s="57">
        <v>0</v>
      </c>
      <c r="G57" s="57">
        <v>0</v>
      </c>
      <c r="H57" s="57">
        <v>0</v>
      </c>
      <c r="I57" s="57">
        <v>0</v>
      </c>
      <c r="J57" s="57">
        <v>0</v>
      </c>
      <c r="K57" s="57">
        <v>0</v>
      </c>
      <c r="L57" s="57">
        <v>0</v>
      </c>
      <c r="M57" s="57">
        <v>0</v>
      </c>
      <c r="N57" s="57">
        <v>0</v>
      </c>
      <c r="O57" s="57">
        <v>0</v>
      </c>
      <c r="P57" s="57">
        <v>0</v>
      </c>
      <c r="Q57" s="57">
        <v>0</v>
      </c>
      <c r="R57" s="57">
        <v>0</v>
      </c>
      <c r="S57" s="57">
        <v>0</v>
      </c>
      <c r="T57" s="57">
        <v>0</v>
      </c>
      <c r="U57" s="57">
        <v>1</v>
      </c>
      <c r="V57" s="57">
        <v>0</v>
      </c>
      <c r="W57" s="57">
        <v>0</v>
      </c>
      <c r="X57" s="57">
        <v>0</v>
      </c>
      <c r="Y57" s="57">
        <v>0</v>
      </c>
      <c r="Z57" s="57">
        <v>0</v>
      </c>
      <c r="AA57" s="57">
        <v>0</v>
      </c>
      <c r="AB57" s="57">
        <v>0</v>
      </c>
      <c r="AC57" s="57">
        <v>0</v>
      </c>
      <c r="AD57" s="57">
        <v>0</v>
      </c>
      <c r="AE57" s="57">
        <v>0</v>
      </c>
      <c r="AF57" s="57">
        <v>0</v>
      </c>
      <c r="AG57" s="57">
        <v>0</v>
      </c>
      <c r="AH57" s="57">
        <v>3</v>
      </c>
      <c r="AI57" s="57">
        <v>0</v>
      </c>
      <c r="AJ57" s="57">
        <v>0</v>
      </c>
      <c r="AK57" s="57">
        <v>0</v>
      </c>
      <c r="AL57" s="55">
        <v>0</v>
      </c>
      <c r="AM57" s="57">
        <v>0</v>
      </c>
      <c r="AN57" s="57">
        <v>0</v>
      </c>
      <c r="AO57" s="57">
        <v>0</v>
      </c>
      <c r="AP57" s="57">
        <v>0</v>
      </c>
      <c r="AQ57" s="57">
        <v>0</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row>
    <row r="58" spans="1:192" s="58" customFormat="1" ht="21.9" customHeight="1" x14ac:dyDescent="0.3">
      <c r="AA58" s="59"/>
      <c r="AC58" s="60"/>
      <c r="AG58" s="61"/>
      <c r="AI58" s="62"/>
      <c r="AJ58" s="62"/>
      <c r="AK58" s="62"/>
      <c r="AL58" s="63" t="s">
        <v>191</v>
      </c>
      <c r="AM58" s="63"/>
      <c r="AN58" s="63"/>
      <c r="AO58" s="64"/>
      <c r="AP58" s="64"/>
      <c r="AQ58" s="63" t="s">
        <v>178</v>
      </c>
      <c r="AR58" s="63"/>
      <c r="AS58" s="5"/>
      <c r="AT58" s="63"/>
      <c r="AU58" s="5"/>
      <c r="AW58" s="63"/>
      <c r="AX58" s="5" t="s">
        <v>179</v>
      </c>
      <c r="AY58" s="64"/>
      <c r="AZ58" s="64"/>
      <c r="BA58" s="5"/>
      <c r="BC58" s="63"/>
      <c r="BD58" s="5"/>
      <c r="BE58" s="65"/>
      <c r="BF58" s="64"/>
      <c r="BG58" s="5" t="s">
        <v>180</v>
      </c>
      <c r="BI58" s="76"/>
      <c r="BJ58" s="5"/>
      <c r="BK58" s="5"/>
      <c r="BL58" s="5"/>
      <c r="BM58" s="5"/>
      <c r="BN58" s="5"/>
      <c r="BO58" s="5"/>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row>
    <row r="59" spans="1:192" s="58" customFormat="1" ht="21.9" customHeight="1" x14ac:dyDescent="0.3">
      <c r="AG59" s="61"/>
      <c r="AI59" s="62"/>
      <c r="AJ59" s="62"/>
      <c r="AK59" s="62"/>
      <c r="AL59" s="63"/>
      <c r="AM59" s="63"/>
      <c r="AN59" s="63"/>
      <c r="AO59" s="64"/>
      <c r="AP59" s="64"/>
      <c r="AQ59" s="64"/>
      <c r="AR59" s="65"/>
      <c r="AS59" s="63"/>
      <c r="AT59" s="63"/>
      <c r="AU59" s="63"/>
      <c r="AW59" s="63"/>
      <c r="AX59" s="65" t="s">
        <v>181</v>
      </c>
      <c r="AY59" s="63"/>
      <c r="AZ59" s="63"/>
      <c r="BA59" s="5"/>
      <c r="BB59" s="63"/>
      <c r="BC59" s="63"/>
      <c r="BD59" s="5"/>
      <c r="BE59" s="65"/>
      <c r="BF59" s="63"/>
      <c r="BG59" s="5"/>
      <c r="BH59" s="59"/>
      <c r="BJ59" s="5"/>
      <c r="BK59" s="5"/>
      <c r="BL59" s="5"/>
      <c r="BM59" s="5"/>
      <c r="BN59" s="5"/>
      <c r="BO59" s="5"/>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row>
    <row r="60" spans="1:192" s="58" customFormat="1" ht="21.9" customHeight="1" x14ac:dyDescent="0.3">
      <c r="AG60" s="61"/>
      <c r="AI60" s="62"/>
      <c r="AJ60" s="62"/>
      <c r="AK60" s="62"/>
      <c r="AL60" s="76" t="s">
        <v>192</v>
      </c>
      <c r="AM60" s="5"/>
      <c r="AO60" s="76"/>
      <c r="AP60" s="76"/>
      <c r="AQ60" s="77"/>
      <c r="AR60" s="76"/>
      <c r="AS60" s="104"/>
      <c r="AT60" s="76"/>
      <c r="AU60" s="76"/>
      <c r="AV60" s="76"/>
      <c r="AW60" s="76"/>
      <c r="AX60" s="76"/>
      <c r="AY60" s="77"/>
      <c r="AZ60" s="76"/>
      <c r="BA60" s="76"/>
      <c r="BB60" s="76"/>
      <c r="BC60" s="76"/>
      <c r="BD60" s="59"/>
      <c r="BE60" s="59"/>
      <c r="BF60" s="59"/>
      <c r="BG60" s="75"/>
      <c r="BH60" s="59"/>
      <c r="BJ60" s="5"/>
      <c r="BK60" s="5"/>
      <c r="BL60" s="5"/>
      <c r="BM60" s="5"/>
      <c r="BN60" s="5"/>
      <c r="BO60" s="5"/>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row>
    <row r="61" spans="1:192" s="58" customFormat="1" ht="21.9" customHeight="1" x14ac:dyDescent="0.3">
      <c r="Z61" s="73"/>
      <c r="AA61" s="74"/>
      <c r="AB61" s="73"/>
      <c r="AC61" s="75"/>
      <c r="AD61" s="75"/>
      <c r="AE61" s="75"/>
      <c r="AF61" s="75"/>
      <c r="AI61" s="62"/>
      <c r="AJ61" s="62"/>
      <c r="AK61" s="62"/>
      <c r="AL61" s="5" t="s">
        <v>195</v>
      </c>
      <c r="AM61" s="5"/>
      <c r="AO61" s="76"/>
      <c r="AP61" s="76"/>
      <c r="AQ61" s="77"/>
      <c r="AR61" s="76"/>
      <c r="AS61" s="104"/>
      <c r="AT61" s="76"/>
      <c r="AU61" s="76"/>
      <c r="AV61" s="76"/>
      <c r="AW61" s="76"/>
      <c r="AX61" s="76"/>
      <c r="AY61" s="77"/>
      <c r="AZ61" s="76"/>
      <c r="BA61" s="76"/>
      <c r="BB61" s="76"/>
      <c r="BC61" s="76"/>
      <c r="BD61" s="59"/>
      <c r="BE61" s="59"/>
      <c r="BF61" s="59"/>
      <c r="BG61" s="75"/>
      <c r="BH61" s="78"/>
      <c r="BI61" s="78"/>
      <c r="BJ61" s="5"/>
      <c r="BK61" s="5"/>
      <c r="BL61" s="5"/>
      <c r="BM61" s="5"/>
      <c r="BN61" s="5"/>
      <c r="BO61" s="5"/>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row>
    <row r="62" spans="1:192" s="58" customFormat="1" ht="21.9" customHeight="1" x14ac:dyDescent="0.3">
      <c r="Z62" s="73"/>
      <c r="AA62" s="74"/>
      <c r="AB62" s="73"/>
      <c r="AC62" s="75"/>
      <c r="AD62" s="75"/>
      <c r="AE62" s="75"/>
      <c r="AF62" s="75"/>
      <c r="AI62" s="62"/>
      <c r="AJ62" s="62"/>
      <c r="AK62" s="62"/>
      <c r="AL62" s="76" t="s">
        <v>193</v>
      </c>
      <c r="AM62" s="76"/>
      <c r="AN62" s="76"/>
      <c r="AO62" s="77"/>
      <c r="AP62" s="76"/>
      <c r="AQ62" s="74"/>
      <c r="AR62" s="74"/>
      <c r="AS62" s="74"/>
      <c r="AT62" s="76"/>
      <c r="AU62" s="76"/>
      <c r="AV62" s="76"/>
      <c r="AW62" s="76"/>
      <c r="AX62" s="76"/>
      <c r="AY62" s="77"/>
      <c r="AZ62" s="76"/>
      <c r="BA62" s="76"/>
      <c r="BB62" s="76"/>
      <c r="BC62" s="76"/>
      <c r="BD62" s="59"/>
      <c r="BE62" s="59"/>
      <c r="BF62" s="59"/>
      <c r="BG62" s="75"/>
      <c r="BH62" s="78"/>
      <c r="BI62" s="78"/>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row>
    <row r="63" spans="1:192" s="5" customFormat="1" ht="21.9" customHeight="1" x14ac:dyDescent="0.25"/>
    <row r="64" spans="1:192" s="5" customFormat="1" ht="21.9" customHeight="1" x14ac:dyDescent="0.25"/>
    <row r="65" s="5" customFormat="1" ht="21.9" customHeight="1" x14ac:dyDescent="0.25"/>
  </sheetData>
  <mergeCells count="120">
    <mergeCell ref="A3:AK3"/>
    <mergeCell ref="AL3:BP3"/>
    <mergeCell ref="A4:AK4"/>
    <mergeCell ref="AL4:BP4"/>
    <mergeCell ref="AG1:AH1"/>
    <mergeCell ref="AI1:AK1"/>
    <mergeCell ref="BL1:BM1"/>
    <mergeCell ref="BN1:BP1"/>
    <mergeCell ref="AG2:AH2"/>
    <mergeCell ref="AI2:AK2"/>
    <mergeCell ref="A1:B1"/>
    <mergeCell ref="A2:B2"/>
    <mergeCell ref="BL2:BM2"/>
    <mergeCell ref="BN2:BP2"/>
    <mergeCell ref="AL1:AM1"/>
    <mergeCell ref="AL2:AM2"/>
    <mergeCell ref="A6:D11"/>
    <mergeCell ref="E6:E11"/>
    <mergeCell ref="F6:K6"/>
    <mergeCell ref="L6:N6"/>
    <mergeCell ref="O6:Q6"/>
    <mergeCell ref="R6:T6"/>
    <mergeCell ref="M7:M11"/>
    <mergeCell ref="N7:N11"/>
    <mergeCell ref="O7:O11"/>
    <mergeCell ref="P7:P11"/>
    <mergeCell ref="BD6:BD11"/>
    <mergeCell ref="BE6:BG6"/>
    <mergeCell ref="Z7:Z11"/>
    <mergeCell ref="AA7:AA11"/>
    <mergeCell ref="AB7:AB11"/>
    <mergeCell ref="AC7:AC11"/>
    <mergeCell ref="AD7:AD11"/>
    <mergeCell ref="AE7:AE11"/>
    <mergeCell ref="AF7:AF11"/>
    <mergeCell ref="AG7:AG11"/>
    <mergeCell ref="AH7:AH11"/>
    <mergeCell ref="AI7:AI11"/>
    <mergeCell ref="AJ7:AJ11"/>
    <mergeCell ref="AK7:AK11"/>
    <mergeCell ref="AL7:AL11"/>
    <mergeCell ref="AM7:AM11"/>
    <mergeCell ref="AN7:AN11"/>
    <mergeCell ref="X7:X11"/>
    <mergeCell ref="Y7:Y11"/>
    <mergeCell ref="U6:AG6"/>
    <mergeCell ref="AH6:AK6"/>
    <mergeCell ref="AL6:AO6"/>
    <mergeCell ref="AP6:AR6"/>
    <mergeCell ref="AS6:AT6"/>
    <mergeCell ref="AU6:AW6"/>
    <mergeCell ref="BB6:BC6"/>
    <mergeCell ref="BI6:BI11"/>
    <mergeCell ref="BJ6:BM6"/>
    <mergeCell ref="BH6:BH11"/>
    <mergeCell ref="BA7:BA11"/>
    <mergeCell ref="BB7:BB11"/>
    <mergeCell ref="BC7:BC11"/>
    <mergeCell ref="BE7:BE11"/>
    <mergeCell ref="BN6:BP6"/>
    <mergeCell ref="F7:F11"/>
    <mergeCell ref="G7:G11"/>
    <mergeCell ref="H7:H11"/>
    <mergeCell ref="I7:I11"/>
    <mergeCell ref="J7:J11"/>
    <mergeCell ref="K7:K11"/>
    <mergeCell ref="L7:L11"/>
    <mergeCell ref="AX6:AY6"/>
    <mergeCell ref="AZ6:BA6"/>
    <mergeCell ref="Q7:Q11"/>
    <mergeCell ref="R7:R11"/>
    <mergeCell ref="S7:S11"/>
    <mergeCell ref="T7:T11"/>
    <mergeCell ref="U7:U11"/>
    <mergeCell ref="V7:V11"/>
    <mergeCell ref="W7:W11"/>
    <mergeCell ref="BN7:BN11"/>
    <mergeCell ref="BO7:BO11"/>
    <mergeCell ref="BP7:BP11"/>
    <mergeCell ref="A12:A13"/>
    <mergeCell ref="A14:A15"/>
    <mergeCell ref="A16:A17"/>
    <mergeCell ref="BF7:BF11"/>
    <mergeCell ref="BG7:BG11"/>
    <mergeCell ref="BJ7:BJ11"/>
    <mergeCell ref="BK7:BK11"/>
    <mergeCell ref="AO7:AO11"/>
    <mergeCell ref="AP7:AP11"/>
    <mergeCell ref="AQ7:AQ11"/>
    <mergeCell ref="AR7:AR11"/>
    <mergeCell ref="AS7:AS11"/>
    <mergeCell ref="AT7:AT11"/>
    <mergeCell ref="BL7:BL11"/>
    <mergeCell ref="BM7:BM11"/>
    <mergeCell ref="AU7:AU11"/>
    <mergeCell ref="AV7:AV11"/>
    <mergeCell ref="AW7:AW11"/>
    <mergeCell ref="AX7:AX11"/>
    <mergeCell ref="AY7:AY11"/>
    <mergeCell ref="AZ7:AZ11"/>
    <mergeCell ref="A18:A19"/>
    <mergeCell ref="A20:A21"/>
    <mergeCell ref="A22:A23"/>
    <mergeCell ref="A24:A25"/>
    <mergeCell ref="A26:A27"/>
    <mergeCell ref="A28:A29"/>
    <mergeCell ref="A30:A31"/>
    <mergeCell ref="A32:A33"/>
    <mergeCell ref="A34:A35"/>
    <mergeCell ref="A36:A37"/>
    <mergeCell ref="A38:A39"/>
    <mergeCell ref="A40:A41"/>
    <mergeCell ref="A54:A55"/>
    <mergeCell ref="A56:A57"/>
    <mergeCell ref="A42:A43"/>
    <mergeCell ref="A44:A45"/>
    <mergeCell ref="A46:A47"/>
    <mergeCell ref="A48:A49"/>
    <mergeCell ref="A50:A51"/>
    <mergeCell ref="A52:A53"/>
  </mergeCells>
  <phoneticPr fontId="5"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J65"/>
  <sheetViews>
    <sheetView zoomScale="80" zoomScaleNormal="80" workbookViewId="0">
      <selection activeCell="A4" sqref="A4:AK4"/>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8" width="16" style="1" customWidth="1"/>
    <col min="69" max="16384" width="9.6640625" style="1"/>
  </cols>
  <sheetData>
    <row r="1" spans="1:74"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F1" s="70"/>
      <c r="AG1" s="183" t="s">
        <v>45</v>
      </c>
      <c r="AH1" s="171"/>
      <c r="AI1" s="172" t="s">
        <v>46</v>
      </c>
      <c r="AJ1" s="173"/>
      <c r="AK1" s="174"/>
      <c r="AL1" s="161" t="s">
        <v>44</v>
      </c>
      <c r="AM1" s="162"/>
      <c r="AN1" s="35"/>
      <c r="AO1" s="5"/>
      <c r="AP1" s="5"/>
      <c r="AQ1" s="5"/>
      <c r="AR1" s="5"/>
      <c r="AS1" s="5"/>
      <c r="AT1" s="5"/>
      <c r="AU1" s="5"/>
      <c r="AV1" s="5"/>
      <c r="AW1" s="5"/>
      <c r="AX1" s="5"/>
      <c r="AY1" s="5"/>
      <c r="AZ1" s="5"/>
      <c r="BA1" s="5"/>
      <c r="BB1" s="5"/>
      <c r="BC1" s="5"/>
      <c r="BD1" s="5"/>
      <c r="BE1" s="5"/>
      <c r="BF1" s="5"/>
      <c r="BG1" s="5"/>
      <c r="BH1" s="5"/>
      <c r="BI1" s="38"/>
      <c r="BK1" s="69"/>
      <c r="BL1" s="170" t="s">
        <v>45</v>
      </c>
      <c r="BM1" s="171"/>
      <c r="BN1" s="172" t="s">
        <v>46</v>
      </c>
      <c r="BO1" s="173"/>
      <c r="BP1" s="174"/>
      <c r="BQ1" s="38"/>
      <c r="BR1" s="38"/>
    </row>
    <row r="2" spans="1:74"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41"/>
      <c r="AF2" s="71"/>
      <c r="AG2" s="184" t="s">
        <v>187</v>
      </c>
      <c r="AH2" s="166"/>
      <c r="AI2" s="167" t="s">
        <v>10</v>
      </c>
      <c r="AJ2" s="168"/>
      <c r="AK2" s="169"/>
      <c r="AL2" s="163" t="s">
        <v>279</v>
      </c>
      <c r="AM2" s="164"/>
      <c r="AN2" s="7" t="s">
        <v>290</v>
      </c>
      <c r="AO2" s="33"/>
      <c r="AP2" s="33"/>
      <c r="AQ2" s="33"/>
      <c r="AR2" s="33"/>
      <c r="AS2" s="33"/>
      <c r="AT2" s="33"/>
      <c r="AU2" s="33"/>
      <c r="AV2" s="33"/>
      <c r="AW2" s="33"/>
      <c r="AX2" s="33"/>
      <c r="AY2" s="33"/>
      <c r="AZ2" s="33"/>
      <c r="BA2" s="33"/>
      <c r="BB2" s="33"/>
      <c r="BC2" s="33"/>
      <c r="BD2" s="33"/>
      <c r="BE2" s="33"/>
      <c r="BF2" s="33"/>
      <c r="BG2" s="33"/>
      <c r="BH2" s="33"/>
      <c r="BI2" s="42"/>
      <c r="BJ2" s="41"/>
      <c r="BK2" s="72"/>
      <c r="BL2" s="165" t="s">
        <v>187</v>
      </c>
      <c r="BM2" s="166"/>
      <c r="BN2" s="167" t="s">
        <v>10</v>
      </c>
      <c r="BO2" s="168"/>
      <c r="BP2" s="169"/>
      <c r="BQ2" s="43"/>
      <c r="BR2" s="43"/>
    </row>
    <row r="3" spans="1:74" s="53" customFormat="1" ht="30" customHeight="1" x14ac:dyDescent="0.25">
      <c r="A3" s="159" t="s">
        <v>384</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t="s">
        <v>387</v>
      </c>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96"/>
      <c r="BR3" s="96"/>
      <c r="BS3" s="96"/>
      <c r="BT3" s="96"/>
      <c r="BU3" s="96"/>
      <c r="BV3" s="96"/>
    </row>
    <row r="4" spans="1:74" s="37" customFormat="1" ht="26.1" customHeight="1" x14ac:dyDescent="0.25">
      <c r="A4" s="160" t="s">
        <v>286</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t="s">
        <v>287</v>
      </c>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row>
    <row r="5" spans="1:74" s="37" customFormat="1" ht="20.100000000000001" customHeight="1" x14ac:dyDescent="0.25">
      <c r="A5" s="40"/>
      <c r="B5" s="41"/>
      <c r="C5" s="41"/>
      <c r="D5" s="67"/>
      <c r="E5" s="67"/>
      <c r="F5" s="67"/>
      <c r="G5" s="67"/>
      <c r="H5" s="67"/>
      <c r="I5" s="67"/>
      <c r="J5" s="67"/>
      <c r="K5" s="67"/>
      <c r="L5" s="67"/>
      <c r="M5" s="67"/>
      <c r="N5" s="67"/>
      <c r="O5" s="41"/>
      <c r="P5" s="67"/>
      <c r="Q5" s="41"/>
      <c r="R5" s="67"/>
      <c r="S5" s="44"/>
      <c r="T5" s="67"/>
      <c r="U5" s="33"/>
      <c r="V5" s="33"/>
      <c r="W5" s="33"/>
      <c r="X5" s="68"/>
      <c r="Y5" s="5"/>
      <c r="Z5" s="33"/>
      <c r="AA5" s="33"/>
      <c r="AB5" s="33"/>
      <c r="AC5" s="33"/>
      <c r="AD5" s="33"/>
      <c r="AE5" s="33"/>
      <c r="AF5" s="33"/>
      <c r="AH5" s="33"/>
      <c r="AI5" s="33"/>
      <c r="AJ5" s="45"/>
      <c r="AK5" s="45" t="s">
        <v>48</v>
      </c>
      <c r="AL5" s="33"/>
      <c r="AM5" s="33"/>
      <c r="AN5" s="33"/>
      <c r="AO5" s="5"/>
      <c r="AP5" s="33"/>
      <c r="AQ5" s="33"/>
      <c r="AR5" s="33"/>
      <c r="AS5" s="33"/>
      <c r="AT5" s="33"/>
      <c r="AU5" s="33"/>
      <c r="AV5" s="33"/>
      <c r="AW5" s="33"/>
      <c r="AX5" s="44"/>
      <c r="AY5" s="45"/>
      <c r="AZ5" s="45"/>
      <c r="BA5" s="45"/>
      <c r="BB5" s="45"/>
      <c r="BC5" s="5"/>
      <c r="BD5" s="33"/>
      <c r="BE5" s="33"/>
      <c r="BF5" s="33"/>
      <c r="BG5" s="33"/>
      <c r="BH5" s="33"/>
      <c r="BI5" s="33"/>
      <c r="BJ5" s="5"/>
      <c r="BK5" s="5"/>
      <c r="BL5" s="5"/>
      <c r="BM5" s="5"/>
      <c r="BN5" s="5"/>
      <c r="BP5" s="45" t="s">
        <v>48</v>
      </c>
    </row>
    <row r="6" spans="1:74" s="5" customFormat="1" ht="27.9" customHeight="1" x14ac:dyDescent="0.25">
      <c r="A6" s="125" t="s">
        <v>144</v>
      </c>
      <c r="B6" s="125"/>
      <c r="C6" s="125"/>
      <c r="D6" s="125"/>
      <c r="E6" s="136" t="s">
        <v>50</v>
      </c>
      <c r="F6" s="138" t="s">
        <v>145</v>
      </c>
      <c r="G6" s="138"/>
      <c r="H6" s="138"/>
      <c r="I6" s="138"/>
      <c r="J6" s="138"/>
      <c r="K6" s="138"/>
      <c r="L6" s="138" t="s">
        <v>52</v>
      </c>
      <c r="M6" s="138"/>
      <c r="N6" s="138"/>
      <c r="O6" s="138" t="s">
        <v>197</v>
      </c>
      <c r="P6" s="138"/>
      <c r="Q6" s="138"/>
      <c r="R6" s="138" t="s">
        <v>146</v>
      </c>
      <c r="S6" s="138"/>
      <c r="T6" s="138"/>
      <c r="U6" s="145" t="s">
        <v>55</v>
      </c>
      <c r="V6" s="146"/>
      <c r="W6" s="146"/>
      <c r="X6" s="146"/>
      <c r="Y6" s="146"/>
      <c r="Z6" s="146"/>
      <c r="AA6" s="146"/>
      <c r="AB6" s="146"/>
      <c r="AC6" s="146"/>
      <c r="AD6" s="146"/>
      <c r="AE6" s="146"/>
      <c r="AF6" s="146"/>
      <c r="AG6" s="147"/>
      <c r="AH6" s="131" t="s">
        <v>276</v>
      </c>
      <c r="AI6" s="146"/>
      <c r="AJ6" s="146"/>
      <c r="AK6" s="146"/>
      <c r="AL6" s="131" t="s">
        <v>9</v>
      </c>
      <c r="AM6" s="146"/>
      <c r="AN6" s="146"/>
      <c r="AO6" s="146"/>
      <c r="AP6" s="141" t="s">
        <v>149</v>
      </c>
      <c r="AQ6" s="141"/>
      <c r="AR6" s="141"/>
      <c r="AS6" s="141" t="s">
        <v>277</v>
      </c>
      <c r="AT6" s="141"/>
      <c r="AU6" s="141" t="s">
        <v>58</v>
      </c>
      <c r="AV6" s="141"/>
      <c r="AW6" s="141"/>
      <c r="AX6" s="141" t="s">
        <v>127</v>
      </c>
      <c r="AY6" s="141"/>
      <c r="AZ6" s="141" t="s">
        <v>278</v>
      </c>
      <c r="BA6" s="141"/>
      <c r="BB6" s="141" t="s">
        <v>61</v>
      </c>
      <c r="BC6" s="141"/>
      <c r="BD6" s="176" t="s">
        <v>2</v>
      </c>
      <c r="BE6" s="141" t="s">
        <v>63</v>
      </c>
      <c r="BF6" s="141"/>
      <c r="BG6" s="141"/>
      <c r="BH6" s="176" t="s">
        <v>36</v>
      </c>
      <c r="BI6" s="180" t="s">
        <v>64</v>
      </c>
      <c r="BJ6" s="175" t="s">
        <v>97</v>
      </c>
      <c r="BK6" s="181"/>
      <c r="BL6" s="181"/>
      <c r="BM6" s="182"/>
      <c r="BN6" s="141" t="s">
        <v>65</v>
      </c>
      <c r="BO6" s="141"/>
      <c r="BP6" s="175"/>
    </row>
    <row r="7" spans="1:74" s="5" customFormat="1" ht="30" customHeight="1" x14ac:dyDescent="0.25">
      <c r="A7" s="125"/>
      <c r="B7" s="125"/>
      <c r="C7" s="125"/>
      <c r="D7" s="125"/>
      <c r="E7" s="136"/>
      <c r="F7" s="139" t="s">
        <v>154</v>
      </c>
      <c r="G7" s="139" t="s">
        <v>155</v>
      </c>
      <c r="H7" s="139" t="s">
        <v>230</v>
      </c>
      <c r="I7" s="139" t="s">
        <v>199</v>
      </c>
      <c r="J7" s="139" t="s">
        <v>106</v>
      </c>
      <c r="K7" s="139" t="s">
        <v>200</v>
      </c>
      <c r="L7" s="139" t="s">
        <v>156</v>
      </c>
      <c r="M7" s="130" t="s">
        <v>333</v>
      </c>
      <c r="N7" s="139" t="s">
        <v>68</v>
      </c>
      <c r="O7" s="139" t="s">
        <v>69</v>
      </c>
      <c r="P7" s="139" t="s">
        <v>70</v>
      </c>
      <c r="Q7" s="139" t="s">
        <v>71</v>
      </c>
      <c r="R7" s="139" t="s">
        <v>201</v>
      </c>
      <c r="S7" s="139" t="s">
        <v>157</v>
      </c>
      <c r="T7" s="139" t="s">
        <v>158</v>
      </c>
      <c r="U7" s="139" t="s">
        <v>202</v>
      </c>
      <c r="V7" s="139" t="s">
        <v>203</v>
      </c>
      <c r="W7" s="139" t="s">
        <v>159</v>
      </c>
      <c r="X7" s="139" t="s">
        <v>231</v>
      </c>
      <c r="Y7" s="139" t="s">
        <v>107</v>
      </c>
      <c r="Z7" s="139" t="s">
        <v>160</v>
      </c>
      <c r="AA7" s="139" t="s">
        <v>161</v>
      </c>
      <c r="AB7" s="132" t="s">
        <v>268</v>
      </c>
      <c r="AC7" s="139" t="s">
        <v>99</v>
      </c>
      <c r="AD7" s="139" t="s">
        <v>114</v>
      </c>
      <c r="AE7" s="139" t="s">
        <v>162</v>
      </c>
      <c r="AF7" s="139" t="s">
        <v>137</v>
      </c>
      <c r="AG7" s="139" t="s">
        <v>100</v>
      </c>
      <c r="AH7" s="139" t="s">
        <v>122</v>
      </c>
      <c r="AI7" s="139" t="s">
        <v>101</v>
      </c>
      <c r="AJ7" s="139" t="s">
        <v>222</v>
      </c>
      <c r="AK7" s="139" t="s">
        <v>223</v>
      </c>
      <c r="AL7" s="139" t="s">
        <v>115</v>
      </c>
      <c r="AM7" s="139" t="s">
        <v>102</v>
      </c>
      <c r="AN7" s="139" t="s">
        <v>109</v>
      </c>
      <c r="AO7" s="139" t="s">
        <v>123</v>
      </c>
      <c r="AP7" s="130" t="s">
        <v>274</v>
      </c>
      <c r="AQ7" s="157" t="s">
        <v>233</v>
      </c>
      <c r="AR7" s="139" t="s">
        <v>183</v>
      </c>
      <c r="AS7" s="139" t="s">
        <v>124</v>
      </c>
      <c r="AT7" s="139" t="s">
        <v>269</v>
      </c>
      <c r="AU7" s="139" t="s">
        <v>103</v>
      </c>
      <c r="AV7" s="139" t="s">
        <v>270</v>
      </c>
      <c r="AW7" s="139" t="s">
        <v>104</v>
      </c>
      <c r="AX7" s="139" t="s">
        <v>105</v>
      </c>
      <c r="AY7" s="139" t="s">
        <v>125</v>
      </c>
      <c r="AZ7" s="139" t="s">
        <v>224</v>
      </c>
      <c r="BA7" s="139" t="s">
        <v>225</v>
      </c>
      <c r="BB7" s="139" t="s">
        <v>110</v>
      </c>
      <c r="BC7" s="139" t="s">
        <v>111</v>
      </c>
      <c r="BD7" s="177"/>
      <c r="BE7" s="139" t="s">
        <v>116</v>
      </c>
      <c r="BF7" s="139" t="s">
        <v>73</v>
      </c>
      <c r="BG7" s="130" t="s">
        <v>273</v>
      </c>
      <c r="BH7" s="177"/>
      <c r="BI7" s="177"/>
      <c r="BJ7" s="139" t="s">
        <v>119</v>
      </c>
      <c r="BK7" s="139" t="s">
        <v>74</v>
      </c>
      <c r="BL7" s="132" t="s">
        <v>272</v>
      </c>
      <c r="BM7" s="139" t="s">
        <v>126</v>
      </c>
      <c r="BN7" s="139" t="s">
        <v>271</v>
      </c>
      <c r="BO7" s="139" t="s">
        <v>117</v>
      </c>
      <c r="BP7" s="179" t="s">
        <v>205</v>
      </c>
    </row>
    <row r="8" spans="1:74"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58"/>
      <c r="AR8" s="139"/>
      <c r="AS8" s="139"/>
      <c r="AT8" s="139"/>
      <c r="AU8" s="139"/>
      <c r="AV8" s="139"/>
      <c r="AW8" s="139"/>
      <c r="AX8" s="139"/>
      <c r="AY8" s="139"/>
      <c r="AZ8" s="139"/>
      <c r="BA8" s="139"/>
      <c r="BB8" s="139"/>
      <c r="BC8" s="139"/>
      <c r="BD8" s="177"/>
      <c r="BE8" s="139"/>
      <c r="BF8" s="139"/>
      <c r="BG8" s="139"/>
      <c r="BH8" s="177"/>
      <c r="BI8" s="177"/>
      <c r="BJ8" s="139"/>
      <c r="BK8" s="139"/>
      <c r="BL8" s="139"/>
      <c r="BM8" s="139"/>
      <c r="BN8" s="139"/>
      <c r="BO8" s="139"/>
      <c r="BP8" s="179"/>
    </row>
    <row r="9" spans="1:74"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58"/>
      <c r="AR9" s="139"/>
      <c r="AS9" s="139"/>
      <c r="AT9" s="139"/>
      <c r="AU9" s="139"/>
      <c r="AV9" s="139"/>
      <c r="AW9" s="139"/>
      <c r="AX9" s="139"/>
      <c r="AY9" s="139"/>
      <c r="AZ9" s="139"/>
      <c r="BA9" s="139"/>
      <c r="BB9" s="139"/>
      <c r="BC9" s="139"/>
      <c r="BD9" s="177"/>
      <c r="BE9" s="139"/>
      <c r="BF9" s="139"/>
      <c r="BG9" s="139"/>
      <c r="BH9" s="177"/>
      <c r="BI9" s="177"/>
      <c r="BJ9" s="139"/>
      <c r="BK9" s="139"/>
      <c r="BL9" s="139"/>
      <c r="BM9" s="139"/>
      <c r="BN9" s="139"/>
      <c r="BO9" s="139"/>
      <c r="BP9" s="179"/>
    </row>
    <row r="10" spans="1:74"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39"/>
      <c r="AQ10" s="158"/>
      <c r="AR10" s="139"/>
      <c r="AS10" s="139"/>
      <c r="AT10" s="139"/>
      <c r="AU10" s="139"/>
      <c r="AV10" s="139"/>
      <c r="AW10" s="139"/>
      <c r="AX10" s="139"/>
      <c r="AY10" s="139"/>
      <c r="AZ10" s="139"/>
      <c r="BA10" s="139"/>
      <c r="BB10" s="139"/>
      <c r="BC10" s="139"/>
      <c r="BD10" s="177"/>
      <c r="BE10" s="139"/>
      <c r="BF10" s="139"/>
      <c r="BG10" s="139"/>
      <c r="BH10" s="177"/>
      <c r="BI10" s="177"/>
      <c r="BJ10" s="139"/>
      <c r="BK10" s="139"/>
      <c r="BL10" s="139"/>
      <c r="BM10" s="139"/>
      <c r="BN10" s="139"/>
      <c r="BO10" s="139"/>
      <c r="BP10" s="179"/>
    </row>
    <row r="11" spans="1:74"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c r="AQ11" s="158"/>
      <c r="AR11" s="139"/>
      <c r="AS11" s="139"/>
      <c r="AT11" s="139"/>
      <c r="AU11" s="139"/>
      <c r="AV11" s="139"/>
      <c r="AW11" s="139"/>
      <c r="AX11" s="139"/>
      <c r="AY11" s="139"/>
      <c r="AZ11" s="139"/>
      <c r="BA11" s="139"/>
      <c r="BB11" s="139"/>
      <c r="BC11" s="139"/>
      <c r="BD11" s="178"/>
      <c r="BE11" s="139"/>
      <c r="BF11" s="139"/>
      <c r="BG11" s="139"/>
      <c r="BH11" s="178"/>
      <c r="BI11" s="178"/>
      <c r="BJ11" s="139"/>
      <c r="BK11" s="139"/>
      <c r="BL11" s="139"/>
      <c r="BM11" s="139"/>
      <c r="BN11" s="139"/>
      <c r="BO11" s="139"/>
      <c r="BP11" s="179"/>
    </row>
    <row r="12" spans="1:74" s="3" customFormat="1" ht="21.9" customHeight="1" x14ac:dyDescent="0.25">
      <c r="A12" s="125" t="s">
        <v>343</v>
      </c>
      <c r="B12" s="32"/>
      <c r="C12" s="51" t="s">
        <v>75</v>
      </c>
      <c r="D12" s="52"/>
      <c r="E12" s="16">
        <v>474985</v>
      </c>
      <c r="F12" s="16">
        <v>5988</v>
      </c>
      <c r="G12" s="16">
        <v>4970</v>
      </c>
      <c r="H12" s="16">
        <v>2442</v>
      </c>
      <c r="I12" s="16">
        <v>317</v>
      </c>
      <c r="J12" s="16">
        <v>2655</v>
      </c>
      <c r="K12" s="16">
        <v>2249</v>
      </c>
      <c r="L12" s="16">
        <v>16643</v>
      </c>
      <c r="M12" s="16">
        <v>6763</v>
      </c>
      <c r="N12" s="16">
        <v>1338</v>
      </c>
      <c r="O12" s="16">
        <v>4701</v>
      </c>
      <c r="P12" s="16">
        <v>1628</v>
      </c>
      <c r="Q12" s="16">
        <v>186</v>
      </c>
      <c r="R12" s="16">
        <v>5494</v>
      </c>
      <c r="S12" s="16">
        <v>5877</v>
      </c>
      <c r="T12" s="16">
        <v>2786</v>
      </c>
      <c r="U12" s="16">
        <v>8515</v>
      </c>
      <c r="V12" s="16">
        <v>20965</v>
      </c>
      <c r="W12" s="16">
        <v>4427</v>
      </c>
      <c r="X12" s="16">
        <v>5412</v>
      </c>
      <c r="Y12" s="16">
        <v>3310</v>
      </c>
      <c r="Z12" s="16">
        <v>17107</v>
      </c>
      <c r="AA12" s="16">
        <v>5402</v>
      </c>
      <c r="AB12" s="16">
        <v>5218</v>
      </c>
      <c r="AC12" s="16">
        <v>3236</v>
      </c>
      <c r="AD12" s="16">
        <v>5588</v>
      </c>
      <c r="AE12" s="16">
        <v>60422</v>
      </c>
      <c r="AF12" s="16">
        <v>22511</v>
      </c>
      <c r="AG12" s="16">
        <v>11039</v>
      </c>
      <c r="AH12" s="16">
        <v>23756</v>
      </c>
      <c r="AI12" s="16">
        <v>4930</v>
      </c>
      <c r="AJ12" s="16">
        <v>6805</v>
      </c>
      <c r="AK12" s="16">
        <v>965</v>
      </c>
      <c r="AL12" s="103">
        <v>4115</v>
      </c>
      <c r="AM12" s="16">
        <v>1358</v>
      </c>
      <c r="AN12" s="16">
        <v>1593</v>
      </c>
      <c r="AO12" s="16">
        <v>7514</v>
      </c>
      <c r="AP12" s="16">
        <v>1370</v>
      </c>
      <c r="AQ12" s="16">
        <v>1032</v>
      </c>
      <c r="AR12" s="16">
        <v>3894</v>
      </c>
      <c r="AS12" s="16">
        <v>2264</v>
      </c>
      <c r="AT12" s="16">
        <v>1044</v>
      </c>
      <c r="AU12" s="16">
        <v>5291</v>
      </c>
      <c r="AV12" s="16">
        <v>37258</v>
      </c>
      <c r="AW12" s="16">
        <v>11176</v>
      </c>
      <c r="AX12" s="16">
        <v>703</v>
      </c>
      <c r="AY12" s="16">
        <v>13860</v>
      </c>
      <c r="AZ12" s="16">
        <v>7134</v>
      </c>
      <c r="BA12" s="16">
        <v>666</v>
      </c>
      <c r="BB12" s="16">
        <v>2262</v>
      </c>
      <c r="BC12" s="16">
        <v>1393</v>
      </c>
      <c r="BD12" s="16">
        <v>645</v>
      </c>
      <c r="BE12" s="16">
        <v>9295</v>
      </c>
      <c r="BF12" s="16">
        <v>7884</v>
      </c>
      <c r="BG12" s="16">
        <v>10636</v>
      </c>
      <c r="BH12" s="16">
        <v>6514</v>
      </c>
      <c r="BI12" s="16">
        <v>10818</v>
      </c>
      <c r="BJ12" s="16">
        <v>8766</v>
      </c>
      <c r="BK12" s="16">
        <v>5663</v>
      </c>
      <c r="BL12" s="16">
        <v>6264</v>
      </c>
      <c r="BM12" s="16">
        <v>4560</v>
      </c>
      <c r="BN12" s="16">
        <v>2544</v>
      </c>
      <c r="BO12" s="16">
        <v>3809</v>
      </c>
      <c r="BP12" s="16">
        <v>20015</v>
      </c>
    </row>
    <row r="13" spans="1:74" s="3" customFormat="1" ht="21.9" customHeight="1" x14ac:dyDescent="0.25">
      <c r="A13" s="125"/>
      <c r="B13" s="5"/>
      <c r="C13" s="47" t="s">
        <v>218</v>
      </c>
      <c r="D13" s="48"/>
      <c r="E13" s="16">
        <v>4391</v>
      </c>
      <c r="F13" s="26">
        <v>5</v>
      </c>
      <c r="G13" s="26">
        <v>9</v>
      </c>
      <c r="H13" s="26">
        <v>2</v>
      </c>
      <c r="I13" s="26">
        <v>2</v>
      </c>
      <c r="J13" s="26">
        <v>3</v>
      </c>
      <c r="K13" s="26">
        <v>29</v>
      </c>
      <c r="L13" s="26">
        <v>58</v>
      </c>
      <c r="M13" s="26">
        <v>45</v>
      </c>
      <c r="N13" s="26">
        <v>1</v>
      </c>
      <c r="O13" s="26">
        <v>18</v>
      </c>
      <c r="P13" s="26">
        <v>44</v>
      </c>
      <c r="Q13" s="26">
        <v>0</v>
      </c>
      <c r="R13" s="26">
        <v>102</v>
      </c>
      <c r="S13" s="26">
        <v>81</v>
      </c>
      <c r="T13" s="26">
        <v>16</v>
      </c>
      <c r="U13" s="26">
        <v>59</v>
      </c>
      <c r="V13" s="26">
        <v>209</v>
      </c>
      <c r="W13" s="26">
        <v>7</v>
      </c>
      <c r="X13" s="26">
        <v>51</v>
      </c>
      <c r="Y13" s="26">
        <v>26</v>
      </c>
      <c r="Z13" s="26">
        <v>74</v>
      </c>
      <c r="AA13" s="26">
        <v>98</v>
      </c>
      <c r="AB13" s="26">
        <v>6</v>
      </c>
      <c r="AC13" s="26">
        <v>42</v>
      </c>
      <c r="AD13" s="26">
        <v>59</v>
      </c>
      <c r="AE13" s="26">
        <v>337</v>
      </c>
      <c r="AF13" s="26">
        <v>174</v>
      </c>
      <c r="AG13" s="26">
        <v>63</v>
      </c>
      <c r="AH13" s="26">
        <v>419</v>
      </c>
      <c r="AI13" s="26">
        <v>122</v>
      </c>
      <c r="AJ13" s="26">
        <v>104</v>
      </c>
      <c r="AK13" s="26">
        <v>4</v>
      </c>
      <c r="AL13" s="99">
        <v>108</v>
      </c>
      <c r="AM13" s="26">
        <v>10</v>
      </c>
      <c r="AN13" s="26">
        <v>5</v>
      </c>
      <c r="AO13" s="26">
        <v>83</v>
      </c>
      <c r="AP13" s="26">
        <v>0</v>
      </c>
      <c r="AQ13" s="26">
        <v>0</v>
      </c>
      <c r="AR13" s="26">
        <v>9</v>
      </c>
      <c r="AS13" s="26">
        <v>197</v>
      </c>
      <c r="AT13" s="26">
        <v>49</v>
      </c>
      <c r="AU13" s="26">
        <v>3</v>
      </c>
      <c r="AV13" s="26">
        <v>320</v>
      </c>
      <c r="AW13" s="26">
        <v>120</v>
      </c>
      <c r="AX13" s="26">
        <v>0</v>
      </c>
      <c r="AY13" s="26">
        <v>23</v>
      </c>
      <c r="AZ13" s="26">
        <v>51</v>
      </c>
      <c r="BA13" s="26">
        <v>20</v>
      </c>
      <c r="BB13" s="26">
        <v>36</v>
      </c>
      <c r="BC13" s="26">
        <v>9</v>
      </c>
      <c r="BD13" s="26">
        <v>16</v>
      </c>
      <c r="BE13" s="26">
        <v>31</v>
      </c>
      <c r="BF13" s="26">
        <v>62</v>
      </c>
      <c r="BG13" s="26">
        <v>148</v>
      </c>
      <c r="BH13" s="26">
        <v>108</v>
      </c>
      <c r="BI13" s="26">
        <v>44</v>
      </c>
      <c r="BJ13" s="26">
        <v>136</v>
      </c>
      <c r="BK13" s="26">
        <v>109</v>
      </c>
      <c r="BL13" s="26">
        <v>60</v>
      </c>
      <c r="BM13" s="26">
        <v>9</v>
      </c>
      <c r="BN13" s="26">
        <v>3</v>
      </c>
      <c r="BO13" s="26">
        <v>0</v>
      </c>
      <c r="BP13" s="26">
        <v>353</v>
      </c>
    </row>
    <row r="14" spans="1:74" s="5" customFormat="1" ht="21.9" customHeight="1" x14ac:dyDescent="0.25">
      <c r="A14" s="125" t="s">
        <v>344</v>
      </c>
      <c r="B14" s="4"/>
      <c r="C14" s="47" t="s">
        <v>75</v>
      </c>
      <c r="D14" s="48"/>
      <c r="E14" s="16">
        <v>61172</v>
      </c>
      <c r="F14" s="16">
        <v>1872</v>
      </c>
      <c r="G14" s="16">
        <v>2198</v>
      </c>
      <c r="H14" s="16">
        <v>1234</v>
      </c>
      <c r="I14" s="16">
        <v>5</v>
      </c>
      <c r="J14" s="16">
        <v>1273</v>
      </c>
      <c r="K14" s="16">
        <v>446</v>
      </c>
      <c r="L14" s="16">
        <v>846</v>
      </c>
      <c r="M14" s="16">
        <v>483</v>
      </c>
      <c r="N14" s="16">
        <v>20</v>
      </c>
      <c r="O14" s="16">
        <v>142</v>
      </c>
      <c r="P14" s="16">
        <v>251</v>
      </c>
      <c r="Q14" s="16">
        <v>0</v>
      </c>
      <c r="R14" s="16">
        <v>408</v>
      </c>
      <c r="S14" s="16">
        <v>193</v>
      </c>
      <c r="T14" s="16">
        <v>110</v>
      </c>
      <c r="U14" s="16">
        <v>311</v>
      </c>
      <c r="V14" s="16">
        <v>1422</v>
      </c>
      <c r="W14" s="16">
        <v>677</v>
      </c>
      <c r="X14" s="16">
        <v>306</v>
      </c>
      <c r="Y14" s="16">
        <v>55</v>
      </c>
      <c r="Z14" s="16">
        <v>3861</v>
      </c>
      <c r="AA14" s="16">
        <v>1096</v>
      </c>
      <c r="AB14" s="16">
        <v>2496</v>
      </c>
      <c r="AC14" s="16">
        <v>297</v>
      </c>
      <c r="AD14" s="16">
        <v>1320</v>
      </c>
      <c r="AE14" s="16">
        <v>4231</v>
      </c>
      <c r="AF14" s="16">
        <v>783</v>
      </c>
      <c r="AG14" s="16">
        <v>475</v>
      </c>
      <c r="AH14" s="16">
        <v>1071</v>
      </c>
      <c r="AI14" s="16">
        <v>124</v>
      </c>
      <c r="AJ14" s="16">
        <v>353</v>
      </c>
      <c r="AK14" s="16">
        <v>18</v>
      </c>
      <c r="AL14" s="98">
        <v>122</v>
      </c>
      <c r="AM14" s="16">
        <v>63</v>
      </c>
      <c r="AN14" s="16">
        <v>1</v>
      </c>
      <c r="AO14" s="16">
        <v>87</v>
      </c>
      <c r="AP14" s="16">
        <v>0</v>
      </c>
      <c r="AQ14" s="16">
        <v>0</v>
      </c>
      <c r="AR14" s="16">
        <v>0</v>
      </c>
      <c r="AS14" s="16">
        <v>125</v>
      </c>
      <c r="AT14" s="16">
        <v>6</v>
      </c>
      <c r="AU14" s="16">
        <v>374</v>
      </c>
      <c r="AV14" s="16">
        <v>9965</v>
      </c>
      <c r="AW14" s="16">
        <v>1902</v>
      </c>
      <c r="AX14" s="16">
        <v>3</v>
      </c>
      <c r="AY14" s="16">
        <v>2871</v>
      </c>
      <c r="AZ14" s="16">
        <v>506</v>
      </c>
      <c r="BA14" s="16">
        <v>10</v>
      </c>
      <c r="BB14" s="16">
        <v>63</v>
      </c>
      <c r="BC14" s="16">
        <v>28</v>
      </c>
      <c r="BD14" s="16">
        <v>14</v>
      </c>
      <c r="BE14" s="16">
        <v>1762</v>
      </c>
      <c r="BF14" s="16">
        <v>713</v>
      </c>
      <c r="BG14" s="16">
        <v>2132</v>
      </c>
      <c r="BH14" s="16">
        <v>137</v>
      </c>
      <c r="BI14" s="16">
        <v>841</v>
      </c>
      <c r="BJ14" s="16">
        <v>174</v>
      </c>
      <c r="BK14" s="16">
        <v>230</v>
      </c>
      <c r="BL14" s="16">
        <v>93</v>
      </c>
      <c r="BM14" s="16">
        <v>47</v>
      </c>
      <c r="BN14" s="16">
        <v>12</v>
      </c>
      <c r="BO14" s="16">
        <v>2</v>
      </c>
      <c r="BP14" s="16">
        <v>10512</v>
      </c>
    </row>
    <row r="15" spans="1:74" s="5" customFormat="1" ht="21.9" customHeight="1" x14ac:dyDescent="0.25">
      <c r="A15" s="125"/>
      <c r="B15" s="4"/>
      <c r="C15" s="47" t="s">
        <v>76</v>
      </c>
      <c r="D15" s="48"/>
      <c r="E15" s="16">
        <v>554</v>
      </c>
      <c r="F15" s="16">
        <v>0</v>
      </c>
      <c r="G15" s="16">
        <v>0</v>
      </c>
      <c r="H15" s="16">
        <v>0</v>
      </c>
      <c r="I15" s="16">
        <v>0</v>
      </c>
      <c r="J15" s="16">
        <v>0</v>
      </c>
      <c r="K15" s="16">
        <v>5</v>
      </c>
      <c r="L15" s="16">
        <v>13</v>
      </c>
      <c r="M15" s="16">
        <v>0</v>
      </c>
      <c r="N15" s="16">
        <v>0</v>
      </c>
      <c r="O15" s="16">
        <v>0</v>
      </c>
      <c r="P15" s="16">
        <v>32</v>
      </c>
      <c r="Q15" s="16">
        <v>0</v>
      </c>
      <c r="R15" s="16">
        <v>12</v>
      </c>
      <c r="S15" s="16">
        <v>4</v>
      </c>
      <c r="T15" s="16">
        <v>0</v>
      </c>
      <c r="U15" s="16">
        <v>2</v>
      </c>
      <c r="V15" s="16">
        <v>8</v>
      </c>
      <c r="W15" s="16">
        <v>0</v>
      </c>
      <c r="X15" s="16">
        <v>9</v>
      </c>
      <c r="Y15" s="16">
        <v>0</v>
      </c>
      <c r="Z15" s="16">
        <v>1</v>
      </c>
      <c r="AA15" s="16">
        <v>20</v>
      </c>
      <c r="AB15" s="16">
        <v>0</v>
      </c>
      <c r="AC15" s="16">
        <v>1</v>
      </c>
      <c r="AD15" s="16">
        <v>1</v>
      </c>
      <c r="AE15" s="16">
        <v>30</v>
      </c>
      <c r="AF15" s="16">
        <v>12</v>
      </c>
      <c r="AG15" s="16">
        <v>1</v>
      </c>
      <c r="AH15" s="16">
        <v>42</v>
      </c>
      <c r="AI15" s="16">
        <v>3</v>
      </c>
      <c r="AJ15" s="16">
        <v>15</v>
      </c>
      <c r="AK15" s="16">
        <v>2</v>
      </c>
      <c r="AL15" s="98">
        <v>4</v>
      </c>
      <c r="AM15" s="16">
        <v>0</v>
      </c>
      <c r="AN15" s="16">
        <v>0</v>
      </c>
      <c r="AO15" s="16">
        <v>0</v>
      </c>
      <c r="AP15" s="16">
        <v>0</v>
      </c>
      <c r="AQ15" s="16">
        <v>0</v>
      </c>
      <c r="AR15" s="16">
        <v>0</v>
      </c>
      <c r="AS15" s="16">
        <v>39</v>
      </c>
      <c r="AT15" s="16">
        <v>3</v>
      </c>
      <c r="AU15" s="16">
        <v>0</v>
      </c>
      <c r="AV15" s="16">
        <v>19</v>
      </c>
      <c r="AW15" s="16">
        <v>0</v>
      </c>
      <c r="AX15" s="16">
        <v>0</v>
      </c>
      <c r="AY15" s="16">
        <v>1</v>
      </c>
      <c r="AZ15" s="16">
        <v>0</v>
      </c>
      <c r="BA15" s="16">
        <v>1</v>
      </c>
      <c r="BB15" s="16">
        <v>1</v>
      </c>
      <c r="BC15" s="16">
        <v>1</v>
      </c>
      <c r="BD15" s="16">
        <v>0</v>
      </c>
      <c r="BE15" s="16">
        <v>1</v>
      </c>
      <c r="BF15" s="16">
        <v>1</v>
      </c>
      <c r="BG15" s="16">
        <v>2</v>
      </c>
      <c r="BH15" s="16">
        <v>0</v>
      </c>
      <c r="BI15" s="16">
        <v>30</v>
      </c>
      <c r="BJ15" s="16">
        <v>5</v>
      </c>
      <c r="BK15" s="16">
        <v>13</v>
      </c>
      <c r="BL15" s="16">
        <v>0</v>
      </c>
      <c r="BM15" s="16">
        <v>1</v>
      </c>
      <c r="BN15" s="16">
        <v>0</v>
      </c>
      <c r="BO15" s="16">
        <v>0</v>
      </c>
      <c r="BP15" s="16">
        <v>219</v>
      </c>
    </row>
    <row r="16" spans="1:74" s="5" customFormat="1" ht="21.9" customHeight="1" x14ac:dyDescent="0.25">
      <c r="A16" s="125" t="s">
        <v>283</v>
      </c>
      <c r="B16" s="4"/>
      <c r="C16" s="47" t="s">
        <v>75</v>
      </c>
      <c r="D16" s="48"/>
      <c r="E16" s="16">
        <v>83629</v>
      </c>
      <c r="F16" s="16">
        <v>1615</v>
      </c>
      <c r="G16" s="16">
        <v>701</v>
      </c>
      <c r="H16" s="16">
        <v>623</v>
      </c>
      <c r="I16" s="16">
        <v>191</v>
      </c>
      <c r="J16" s="16">
        <v>648</v>
      </c>
      <c r="K16" s="16">
        <v>597</v>
      </c>
      <c r="L16" s="16">
        <v>2411</v>
      </c>
      <c r="M16" s="16">
        <v>1526</v>
      </c>
      <c r="N16" s="16">
        <v>654</v>
      </c>
      <c r="O16" s="16">
        <v>1150</v>
      </c>
      <c r="P16" s="16">
        <v>519</v>
      </c>
      <c r="Q16" s="16">
        <v>174</v>
      </c>
      <c r="R16" s="16">
        <v>1097</v>
      </c>
      <c r="S16" s="16">
        <v>1274</v>
      </c>
      <c r="T16" s="16">
        <v>831</v>
      </c>
      <c r="U16" s="16">
        <v>2507</v>
      </c>
      <c r="V16" s="16">
        <v>2997</v>
      </c>
      <c r="W16" s="16">
        <v>929</v>
      </c>
      <c r="X16" s="16">
        <v>1305</v>
      </c>
      <c r="Y16" s="16">
        <v>1650</v>
      </c>
      <c r="Z16" s="16">
        <v>1271</v>
      </c>
      <c r="AA16" s="16">
        <v>898</v>
      </c>
      <c r="AB16" s="16">
        <v>1258</v>
      </c>
      <c r="AC16" s="16">
        <v>1174</v>
      </c>
      <c r="AD16" s="16">
        <v>748</v>
      </c>
      <c r="AE16" s="16">
        <v>3898</v>
      </c>
      <c r="AF16" s="16">
        <v>3726</v>
      </c>
      <c r="AG16" s="16">
        <v>1890</v>
      </c>
      <c r="AH16" s="16">
        <v>2205</v>
      </c>
      <c r="AI16" s="16">
        <v>670</v>
      </c>
      <c r="AJ16" s="16">
        <v>1196</v>
      </c>
      <c r="AK16" s="16">
        <v>508</v>
      </c>
      <c r="AL16" s="98">
        <v>1020</v>
      </c>
      <c r="AM16" s="16">
        <v>777</v>
      </c>
      <c r="AN16" s="16">
        <v>1338</v>
      </c>
      <c r="AO16" s="16">
        <v>1402</v>
      </c>
      <c r="AP16" s="16">
        <v>596</v>
      </c>
      <c r="AQ16" s="16">
        <v>639</v>
      </c>
      <c r="AR16" s="16">
        <v>1395</v>
      </c>
      <c r="AS16" s="16">
        <v>257</v>
      </c>
      <c r="AT16" s="16">
        <v>443</v>
      </c>
      <c r="AU16" s="16">
        <v>2019</v>
      </c>
      <c r="AV16" s="16">
        <v>3893</v>
      </c>
      <c r="AW16" s="16">
        <v>1042</v>
      </c>
      <c r="AX16" s="16">
        <v>477</v>
      </c>
      <c r="AY16" s="16">
        <v>1179</v>
      </c>
      <c r="AZ16" s="16">
        <v>756</v>
      </c>
      <c r="BA16" s="16">
        <v>5</v>
      </c>
      <c r="BB16" s="16">
        <v>605</v>
      </c>
      <c r="BC16" s="16">
        <v>563</v>
      </c>
      <c r="BD16" s="16">
        <v>287</v>
      </c>
      <c r="BE16" s="16">
        <v>1491</v>
      </c>
      <c r="BF16" s="16">
        <v>1479</v>
      </c>
      <c r="BG16" s="16">
        <v>1001</v>
      </c>
      <c r="BH16" s="16">
        <v>1358</v>
      </c>
      <c r="BI16" s="16">
        <v>4081</v>
      </c>
      <c r="BJ16" s="16">
        <v>965</v>
      </c>
      <c r="BK16" s="16">
        <v>1908</v>
      </c>
      <c r="BL16" s="16">
        <v>2171</v>
      </c>
      <c r="BM16" s="16">
        <v>794</v>
      </c>
      <c r="BN16" s="16">
        <v>1979</v>
      </c>
      <c r="BO16" s="16">
        <v>3629</v>
      </c>
      <c r="BP16" s="16">
        <v>1239</v>
      </c>
    </row>
    <row r="17" spans="1:68" s="5" customFormat="1" ht="21.9" customHeight="1" x14ac:dyDescent="0.25">
      <c r="A17" s="125"/>
      <c r="B17" s="4"/>
      <c r="C17" s="47" t="s">
        <v>76</v>
      </c>
      <c r="D17" s="48"/>
      <c r="E17" s="16">
        <v>341</v>
      </c>
      <c r="F17" s="16"/>
      <c r="G17" s="16">
        <v>0</v>
      </c>
      <c r="H17" s="16">
        <v>1</v>
      </c>
      <c r="I17" s="16">
        <v>0</v>
      </c>
      <c r="J17" s="16">
        <v>0</v>
      </c>
      <c r="K17" s="16">
        <v>3</v>
      </c>
      <c r="L17" s="16">
        <v>3</v>
      </c>
      <c r="M17" s="16">
        <v>4</v>
      </c>
      <c r="N17" s="16">
        <v>0</v>
      </c>
      <c r="O17" s="16">
        <v>3</v>
      </c>
      <c r="P17" s="16">
        <v>0</v>
      </c>
      <c r="Q17" s="16">
        <v>0</v>
      </c>
      <c r="R17" s="16">
        <v>2</v>
      </c>
      <c r="S17" s="16">
        <v>9</v>
      </c>
      <c r="T17" s="16">
        <v>0</v>
      </c>
      <c r="U17" s="16">
        <v>2</v>
      </c>
      <c r="V17" s="16">
        <v>16</v>
      </c>
      <c r="W17" s="16">
        <v>0</v>
      </c>
      <c r="X17" s="16">
        <v>3</v>
      </c>
      <c r="Y17" s="16">
        <v>2</v>
      </c>
      <c r="Z17" s="16">
        <v>3</v>
      </c>
      <c r="AA17" s="16">
        <v>28</v>
      </c>
      <c r="AB17" s="16">
        <v>0</v>
      </c>
      <c r="AC17" s="16">
        <v>0</v>
      </c>
      <c r="AD17" s="16">
        <v>1</v>
      </c>
      <c r="AE17" s="16">
        <v>9</v>
      </c>
      <c r="AF17" s="16">
        <v>5</v>
      </c>
      <c r="AG17" s="16">
        <v>1</v>
      </c>
      <c r="AH17" s="16">
        <v>30</v>
      </c>
      <c r="AI17" s="16">
        <v>8</v>
      </c>
      <c r="AJ17" s="16">
        <v>1</v>
      </c>
      <c r="AK17" s="16">
        <v>0</v>
      </c>
      <c r="AL17" s="98">
        <v>20</v>
      </c>
      <c r="AM17" s="16">
        <v>0</v>
      </c>
      <c r="AN17" s="16">
        <v>0</v>
      </c>
      <c r="AO17" s="16">
        <v>8</v>
      </c>
      <c r="AP17" s="16">
        <v>0</v>
      </c>
      <c r="AQ17" s="16">
        <v>0</v>
      </c>
      <c r="AR17" s="16">
        <v>0</v>
      </c>
      <c r="AS17" s="16">
        <v>0</v>
      </c>
      <c r="AT17" s="16">
        <v>37</v>
      </c>
      <c r="AU17" s="16">
        <v>0</v>
      </c>
      <c r="AV17" s="16">
        <v>65</v>
      </c>
      <c r="AW17" s="16">
        <v>0</v>
      </c>
      <c r="AX17" s="16">
        <v>0</v>
      </c>
      <c r="AY17" s="16">
        <v>2</v>
      </c>
      <c r="AZ17" s="16">
        <v>6</v>
      </c>
      <c r="BA17" s="16">
        <v>0</v>
      </c>
      <c r="BB17" s="16">
        <v>1</v>
      </c>
      <c r="BC17" s="16">
        <v>3</v>
      </c>
      <c r="BD17" s="16">
        <v>0</v>
      </c>
      <c r="BE17" s="16">
        <v>0</v>
      </c>
      <c r="BF17" s="16">
        <v>3</v>
      </c>
      <c r="BG17" s="16">
        <v>5</v>
      </c>
      <c r="BH17" s="16">
        <v>10</v>
      </c>
      <c r="BI17" s="16">
        <v>0</v>
      </c>
      <c r="BJ17" s="16">
        <v>0</v>
      </c>
      <c r="BK17" s="16">
        <v>3</v>
      </c>
      <c r="BL17" s="16">
        <v>34</v>
      </c>
      <c r="BM17" s="16">
        <v>0</v>
      </c>
      <c r="BN17" s="16">
        <v>0</v>
      </c>
      <c r="BO17" s="16">
        <v>0</v>
      </c>
      <c r="BP17" s="16">
        <v>10</v>
      </c>
    </row>
    <row r="18" spans="1:68" s="5" customFormat="1" ht="21.9" customHeight="1" x14ac:dyDescent="0.25">
      <c r="A18" s="125" t="s">
        <v>176</v>
      </c>
      <c r="B18" s="4"/>
      <c r="C18" s="47" t="s">
        <v>75</v>
      </c>
      <c r="D18" s="48"/>
      <c r="E18" s="16">
        <v>20052</v>
      </c>
      <c r="F18" s="16">
        <v>228</v>
      </c>
      <c r="G18" s="16">
        <v>206</v>
      </c>
      <c r="H18" s="16">
        <v>101</v>
      </c>
      <c r="I18" s="16">
        <v>12</v>
      </c>
      <c r="J18" s="16">
        <v>46</v>
      </c>
      <c r="K18" s="16">
        <v>124</v>
      </c>
      <c r="L18" s="16">
        <v>426</v>
      </c>
      <c r="M18" s="16">
        <v>234</v>
      </c>
      <c r="N18" s="16">
        <v>57</v>
      </c>
      <c r="O18" s="16">
        <v>74</v>
      </c>
      <c r="P18" s="16">
        <v>71</v>
      </c>
      <c r="Q18" s="16">
        <v>2</v>
      </c>
      <c r="R18" s="16">
        <v>197</v>
      </c>
      <c r="S18" s="16">
        <v>200</v>
      </c>
      <c r="T18" s="16">
        <v>131</v>
      </c>
      <c r="U18" s="16">
        <v>365</v>
      </c>
      <c r="V18" s="16">
        <v>1469</v>
      </c>
      <c r="W18" s="16">
        <v>107</v>
      </c>
      <c r="X18" s="16">
        <v>156</v>
      </c>
      <c r="Y18" s="16">
        <v>106</v>
      </c>
      <c r="Z18" s="16">
        <v>1347</v>
      </c>
      <c r="AA18" s="16">
        <v>159</v>
      </c>
      <c r="AB18" s="16">
        <v>126</v>
      </c>
      <c r="AC18" s="16">
        <v>75</v>
      </c>
      <c r="AD18" s="16">
        <v>239</v>
      </c>
      <c r="AE18" s="16">
        <v>3017</v>
      </c>
      <c r="AF18" s="16">
        <v>1059</v>
      </c>
      <c r="AG18" s="16">
        <v>309</v>
      </c>
      <c r="AH18" s="16">
        <v>798</v>
      </c>
      <c r="AI18" s="16">
        <v>110</v>
      </c>
      <c r="AJ18" s="16">
        <v>203</v>
      </c>
      <c r="AK18" s="16">
        <v>3</v>
      </c>
      <c r="AL18" s="98">
        <v>104</v>
      </c>
      <c r="AM18" s="16">
        <v>40</v>
      </c>
      <c r="AN18" s="16">
        <v>56</v>
      </c>
      <c r="AO18" s="16">
        <v>70</v>
      </c>
      <c r="AP18" s="16">
        <v>50</v>
      </c>
      <c r="AQ18" s="16">
        <v>38</v>
      </c>
      <c r="AR18" s="16">
        <v>168</v>
      </c>
      <c r="AS18" s="16">
        <v>129</v>
      </c>
      <c r="AT18" s="16">
        <v>43</v>
      </c>
      <c r="AU18" s="16">
        <v>194</v>
      </c>
      <c r="AV18" s="16">
        <v>2177</v>
      </c>
      <c r="AW18" s="16">
        <v>428</v>
      </c>
      <c r="AX18" s="16">
        <v>10</v>
      </c>
      <c r="AY18" s="16">
        <v>510</v>
      </c>
      <c r="AZ18" s="16">
        <v>204</v>
      </c>
      <c r="BA18" s="16">
        <v>22</v>
      </c>
      <c r="BB18" s="16">
        <v>45</v>
      </c>
      <c r="BC18" s="16">
        <v>28</v>
      </c>
      <c r="BD18" s="16">
        <v>13</v>
      </c>
      <c r="BE18" s="16">
        <v>317</v>
      </c>
      <c r="BF18" s="16">
        <v>567</v>
      </c>
      <c r="BG18" s="16">
        <v>689</v>
      </c>
      <c r="BH18" s="16">
        <v>354</v>
      </c>
      <c r="BI18" s="16">
        <v>404</v>
      </c>
      <c r="BJ18" s="16">
        <v>228</v>
      </c>
      <c r="BK18" s="16">
        <v>120</v>
      </c>
      <c r="BL18" s="16">
        <v>228</v>
      </c>
      <c r="BM18" s="16">
        <v>507</v>
      </c>
      <c r="BN18" s="16">
        <v>18</v>
      </c>
      <c r="BO18" s="16">
        <v>5</v>
      </c>
      <c r="BP18" s="16">
        <v>529</v>
      </c>
    </row>
    <row r="19" spans="1:68" s="5" customFormat="1" ht="21.9" customHeight="1" x14ac:dyDescent="0.25">
      <c r="A19" s="125"/>
      <c r="B19" s="4"/>
      <c r="C19" s="47" t="s">
        <v>76</v>
      </c>
      <c r="D19" s="48"/>
      <c r="E19" s="16">
        <v>578</v>
      </c>
      <c r="F19" s="16">
        <v>1</v>
      </c>
      <c r="G19" s="16">
        <v>6</v>
      </c>
      <c r="H19" s="16">
        <v>1</v>
      </c>
      <c r="I19" s="16">
        <v>1</v>
      </c>
      <c r="J19" s="16">
        <v>2</v>
      </c>
      <c r="K19" s="16">
        <v>6</v>
      </c>
      <c r="L19" s="16">
        <v>4</v>
      </c>
      <c r="M19" s="16">
        <v>17</v>
      </c>
      <c r="N19" s="16">
        <v>0</v>
      </c>
      <c r="O19" s="16">
        <v>0</v>
      </c>
      <c r="P19" s="16">
        <v>2</v>
      </c>
      <c r="Q19" s="16">
        <v>0</v>
      </c>
      <c r="R19" s="16">
        <v>6</v>
      </c>
      <c r="S19" s="16">
        <v>6</v>
      </c>
      <c r="T19" s="16">
        <v>0</v>
      </c>
      <c r="U19" s="16">
        <v>12</v>
      </c>
      <c r="V19" s="16">
        <v>61</v>
      </c>
      <c r="W19" s="16">
        <v>0</v>
      </c>
      <c r="X19" s="16">
        <v>1</v>
      </c>
      <c r="Y19" s="16">
        <v>8</v>
      </c>
      <c r="Z19" s="16">
        <v>5</v>
      </c>
      <c r="AA19" s="16">
        <v>11</v>
      </c>
      <c r="AB19" s="16">
        <v>0</v>
      </c>
      <c r="AC19" s="16">
        <v>8</v>
      </c>
      <c r="AD19" s="16">
        <v>14</v>
      </c>
      <c r="AE19" s="16">
        <v>20</v>
      </c>
      <c r="AF19" s="16">
        <v>12</v>
      </c>
      <c r="AG19" s="16">
        <v>6</v>
      </c>
      <c r="AH19" s="16">
        <v>36</v>
      </c>
      <c r="AI19" s="16">
        <v>6</v>
      </c>
      <c r="AJ19" s="16">
        <v>10</v>
      </c>
      <c r="AK19" s="16">
        <v>0</v>
      </c>
      <c r="AL19" s="98">
        <v>5</v>
      </c>
      <c r="AM19" s="16">
        <v>4</v>
      </c>
      <c r="AN19" s="16">
        <v>2</v>
      </c>
      <c r="AO19" s="16">
        <v>2</v>
      </c>
      <c r="AP19" s="16">
        <v>0</v>
      </c>
      <c r="AQ19" s="16">
        <v>0</v>
      </c>
      <c r="AR19" s="16">
        <v>8</v>
      </c>
      <c r="AS19" s="16">
        <v>21</v>
      </c>
      <c r="AT19" s="16">
        <v>0</v>
      </c>
      <c r="AU19" s="16">
        <v>0</v>
      </c>
      <c r="AV19" s="16">
        <v>27</v>
      </c>
      <c r="AW19" s="16">
        <v>18</v>
      </c>
      <c r="AX19" s="16">
        <v>0</v>
      </c>
      <c r="AY19" s="16">
        <v>8</v>
      </c>
      <c r="AZ19" s="16">
        <v>37</v>
      </c>
      <c r="BA19" s="16">
        <v>17</v>
      </c>
      <c r="BB19" s="16">
        <v>2</v>
      </c>
      <c r="BC19" s="16">
        <v>2</v>
      </c>
      <c r="BD19" s="16">
        <v>0</v>
      </c>
      <c r="BE19" s="16">
        <v>12</v>
      </c>
      <c r="BF19" s="16">
        <v>17</v>
      </c>
      <c r="BG19" s="16">
        <v>63</v>
      </c>
      <c r="BH19" s="16">
        <v>18</v>
      </c>
      <c r="BI19" s="16">
        <v>3</v>
      </c>
      <c r="BJ19" s="16">
        <v>14</v>
      </c>
      <c r="BK19" s="16">
        <v>9</v>
      </c>
      <c r="BL19" s="16">
        <v>1</v>
      </c>
      <c r="BM19" s="16">
        <v>2</v>
      </c>
      <c r="BN19" s="16">
        <v>0</v>
      </c>
      <c r="BO19" s="16">
        <v>0</v>
      </c>
      <c r="BP19" s="16">
        <v>24</v>
      </c>
    </row>
    <row r="20" spans="1:68" s="5" customFormat="1" ht="21.9" customHeight="1" x14ac:dyDescent="0.25">
      <c r="A20" s="125" t="s">
        <v>77</v>
      </c>
      <c r="B20" s="4"/>
      <c r="C20" s="47" t="s">
        <v>75</v>
      </c>
      <c r="D20" s="48"/>
      <c r="E20" s="16">
        <v>10126</v>
      </c>
      <c r="F20" s="16">
        <v>29</v>
      </c>
      <c r="G20" s="16">
        <v>24</v>
      </c>
      <c r="H20" s="16">
        <v>7</v>
      </c>
      <c r="I20" s="16">
        <v>5</v>
      </c>
      <c r="J20" s="16">
        <v>22</v>
      </c>
      <c r="K20" s="16">
        <v>57</v>
      </c>
      <c r="L20" s="16">
        <v>382</v>
      </c>
      <c r="M20" s="16">
        <v>212</v>
      </c>
      <c r="N20" s="16">
        <v>3</v>
      </c>
      <c r="O20" s="16">
        <v>104</v>
      </c>
      <c r="P20" s="16">
        <v>63</v>
      </c>
      <c r="Q20" s="16">
        <v>0</v>
      </c>
      <c r="R20" s="16">
        <v>283</v>
      </c>
      <c r="S20" s="16">
        <v>279</v>
      </c>
      <c r="T20" s="16">
        <v>13</v>
      </c>
      <c r="U20" s="16">
        <v>165</v>
      </c>
      <c r="V20" s="16">
        <v>728</v>
      </c>
      <c r="W20" s="16">
        <v>71</v>
      </c>
      <c r="X20" s="16">
        <v>321</v>
      </c>
      <c r="Y20" s="16">
        <v>98</v>
      </c>
      <c r="Z20" s="16">
        <v>97</v>
      </c>
      <c r="AA20" s="16">
        <v>343</v>
      </c>
      <c r="AB20" s="16">
        <v>11</v>
      </c>
      <c r="AC20" s="16">
        <v>87</v>
      </c>
      <c r="AD20" s="16">
        <v>38</v>
      </c>
      <c r="AE20" s="16">
        <v>750</v>
      </c>
      <c r="AF20" s="16">
        <v>343</v>
      </c>
      <c r="AG20" s="16">
        <v>144</v>
      </c>
      <c r="AH20" s="16">
        <v>1101</v>
      </c>
      <c r="AI20" s="16">
        <v>189</v>
      </c>
      <c r="AJ20" s="16">
        <v>141</v>
      </c>
      <c r="AK20" s="16">
        <v>0</v>
      </c>
      <c r="AL20" s="98">
        <v>170</v>
      </c>
      <c r="AM20" s="16">
        <v>5</v>
      </c>
      <c r="AN20" s="16">
        <v>21</v>
      </c>
      <c r="AO20" s="16">
        <v>158</v>
      </c>
      <c r="AP20" s="16">
        <v>6</v>
      </c>
      <c r="AQ20" s="16">
        <v>2</v>
      </c>
      <c r="AR20" s="16">
        <v>65</v>
      </c>
      <c r="AS20" s="16">
        <v>85</v>
      </c>
      <c r="AT20" s="16">
        <v>38</v>
      </c>
      <c r="AU20" s="16">
        <v>85</v>
      </c>
      <c r="AV20" s="16">
        <v>391</v>
      </c>
      <c r="AW20" s="16">
        <v>193</v>
      </c>
      <c r="AX20" s="16">
        <v>5</v>
      </c>
      <c r="AY20" s="16">
        <v>143</v>
      </c>
      <c r="AZ20" s="16">
        <v>12</v>
      </c>
      <c r="BA20" s="16">
        <v>10</v>
      </c>
      <c r="BB20" s="16">
        <v>241</v>
      </c>
      <c r="BC20" s="16">
        <v>156</v>
      </c>
      <c r="BD20" s="16">
        <v>31</v>
      </c>
      <c r="BE20" s="16">
        <v>148</v>
      </c>
      <c r="BF20" s="16">
        <v>216</v>
      </c>
      <c r="BG20" s="16">
        <v>163</v>
      </c>
      <c r="BH20" s="16">
        <v>108</v>
      </c>
      <c r="BI20" s="16">
        <v>55</v>
      </c>
      <c r="BJ20" s="16">
        <v>694</v>
      </c>
      <c r="BK20" s="16">
        <v>196</v>
      </c>
      <c r="BL20" s="16">
        <v>118</v>
      </c>
      <c r="BM20" s="16">
        <v>65</v>
      </c>
      <c r="BN20" s="16">
        <v>7</v>
      </c>
      <c r="BO20" s="16">
        <v>1</v>
      </c>
      <c r="BP20" s="16">
        <v>428</v>
      </c>
    </row>
    <row r="21" spans="1:68" s="5" customFormat="1" ht="21.9" customHeight="1" x14ac:dyDescent="0.25">
      <c r="A21" s="125"/>
      <c r="B21" s="4"/>
      <c r="C21" s="47" t="s">
        <v>76</v>
      </c>
      <c r="D21" s="48"/>
      <c r="E21" s="16">
        <v>410</v>
      </c>
      <c r="F21" s="16">
        <v>0</v>
      </c>
      <c r="G21" s="16">
        <v>0</v>
      </c>
      <c r="H21" s="16">
        <v>0</v>
      </c>
      <c r="I21" s="16">
        <v>0</v>
      </c>
      <c r="J21" s="16">
        <v>0</v>
      </c>
      <c r="K21" s="16">
        <v>1</v>
      </c>
      <c r="L21" s="16">
        <v>3</v>
      </c>
      <c r="M21" s="16">
        <v>7</v>
      </c>
      <c r="N21" s="16">
        <v>0</v>
      </c>
      <c r="O21" s="16">
        <v>1</v>
      </c>
      <c r="P21" s="16">
        <v>1</v>
      </c>
      <c r="Q21" s="16">
        <v>0</v>
      </c>
      <c r="R21" s="16">
        <v>6</v>
      </c>
      <c r="S21" s="16">
        <v>5</v>
      </c>
      <c r="T21" s="16">
        <v>0</v>
      </c>
      <c r="U21" s="16">
        <v>5</v>
      </c>
      <c r="V21" s="16">
        <v>27</v>
      </c>
      <c r="W21" s="16">
        <v>0</v>
      </c>
      <c r="X21" s="16">
        <v>9</v>
      </c>
      <c r="Y21" s="16">
        <v>1</v>
      </c>
      <c r="Z21" s="16">
        <v>3</v>
      </c>
      <c r="AA21" s="16">
        <v>17</v>
      </c>
      <c r="AB21" s="16">
        <v>0</v>
      </c>
      <c r="AC21" s="16">
        <v>1</v>
      </c>
      <c r="AD21" s="16">
        <v>0</v>
      </c>
      <c r="AE21" s="16">
        <v>18</v>
      </c>
      <c r="AF21" s="16">
        <v>7</v>
      </c>
      <c r="AG21" s="16">
        <v>5</v>
      </c>
      <c r="AH21" s="16">
        <v>50</v>
      </c>
      <c r="AI21" s="16">
        <v>34</v>
      </c>
      <c r="AJ21" s="16">
        <v>24</v>
      </c>
      <c r="AK21" s="16">
        <v>0</v>
      </c>
      <c r="AL21" s="98">
        <v>6</v>
      </c>
      <c r="AM21" s="16">
        <v>0</v>
      </c>
      <c r="AN21" s="16">
        <v>1</v>
      </c>
      <c r="AO21" s="16">
        <v>1</v>
      </c>
      <c r="AP21" s="16">
        <v>0</v>
      </c>
      <c r="AQ21" s="16">
        <v>0</v>
      </c>
      <c r="AR21" s="16">
        <v>0</v>
      </c>
      <c r="AS21" s="16">
        <v>15</v>
      </c>
      <c r="AT21" s="16">
        <v>0</v>
      </c>
      <c r="AU21" s="16">
        <v>0</v>
      </c>
      <c r="AV21" s="16">
        <v>23</v>
      </c>
      <c r="AW21" s="16">
        <v>0</v>
      </c>
      <c r="AX21" s="16">
        <v>0</v>
      </c>
      <c r="AY21" s="16">
        <v>0</v>
      </c>
      <c r="AZ21" s="16">
        <v>2</v>
      </c>
      <c r="BA21" s="16">
        <v>2</v>
      </c>
      <c r="BB21" s="16">
        <v>5</v>
      </c>
      <c r="BC21" s="16">
        <v>0</v>
      </c>
      <c r="BD21" s="16">
        <v>0</v>
      </c>
      <c r="BE21" s="16">
        <v>0</v>
      </c>
      <c r="BF21" s="16">
        <v>1</v>
      </c>
      <c r="BG21" s="16">
        <v>1</v>
      </c>
      <c r="BH21" s="16">
        <v>6</v>
      </c>
      <c r="BI21" s="16">
        <v>2</v>
      </c>
      <c r="BJ21" s="16">
        <v>63</v>
      </c>
      <c r="BK21" s="16">
        <v>29</v>
      </c>
      <c r="BL21" s="16">
        <v>8</v>
      </c>
      <c r="BM21" s="16">
        <v>0</v>
      </c>
      <c r="BN21" s="16">
        <v>0</v>
      </c>
      <c r="BO21" s="16">
        <v>0</v>
      </c>
      <c r="BP21" s="16">
        <v>20</v>
      </c>
    </row>
    <row r="22" spans="1:68" s="5" customFormat="1" ht="21.9" customHeight="1" x14ac:dyDescent="0.25">
      <c r="A22" s="125" t="s">
        <v>79</v>
      </c>
      <c r="B22" s="4"/>
      <c r="C22" s="47" t="s">
        <v>75</v>
      </c>
      <c r="D22" s="48"/>
      <c r="E22" s="16">
        <v>28525</v>
      </c>
      <c r="F22" s="16">
        <v>197</v>
      </c>
      <c r="G22" s="16">
        <v>183</v>
      </c>
      <c r="H22" s="16">
        <v>62</v>
      </c>
      <c r="I22" s="16">
        <v>3</v>
      </c>
      <c r="J22" s="16">
        <v>132</v>
      </c>
      <c r="K22" s="16">
        <v>161</v>
      </c>
      <c r="L22" s="16">
        <v>1118</v>
      </c>
      <c r="M22" s="16">
        <v>565</v>
      </c>
      <c r="N22" s="16">
        <v>48</v>
      </c>
      <c r="O22" s="16">
        <v>153</v>
      </c>
      <c r="P22" s="16">
        <v>40</v>
      </c>
      <c r="Q22" s="16">
        <v>0</v>
      </c>
      <c r="R22" s="16">
        <v>540</v>
      </c>
      <c r="S22" s="16">
        <v>392</v>
      </c>
      <c r="T22" s="16">
        <v>209</v>
      </c>
      <c r="U22" s="16">
        <v>374</v>
      </c>
      <c r="V22" s="16">
        <v>871</v>
      </c>
      <c r="W22" s="16">
        <v>74</v>
      </c>
      <c r="X22" s="16">
        <v>262</v>
      </c>
      <c r="Y22" s="16">
        <v>160</v>
      </c>
      <c r="Z22" s="16">
        <v>1058</v>
      </c>
      <c r="AA22" s="16">
        <v>285</v>
      </c>
      <c r="AB22" s="16">
        <v>106</v>
      </c>
      <c r="AC22" s="16">
        <v>91</v>
      </c>
      <c r="AD22" s="16">
        <v>486</v>
      </c>
      <c r="AE22" s="16">
        <v>5676</v>
      </c>
      <c r="AF22" s="16">
        <v>1882</v>
      </c>
      <c r="AG22" s="16">
        <v>506</v>
      </c>
      <c r="AH22" s="16">
        <v>1485</v>
      </c>
      <c r="AI22" s="16">
        <v>237</v>
      </c>
      <c r="AJ22" s="16">
        <v>340</v>
      </c>
      <c r="AK22" s="16">
        <v>7</v>
      </c>
      <c r="AL22" s="98">
        <v>213</v>
      </c>
      <c r="AM22" s="16">
        <v>81</v>
      </c>
      <c r="AN22" s="16">
        <v>8</v>
      </c>
      <c r="AO22" s="16">
        <v>295</v>
      </c>
      <c r="AP22" s="16">
        <v>2</v>
      </c>
      <c r="AQ22" s="16">
        <v>1</v>
      </c>
      <c r="AR22" s="16">
        <v>7</v>
      </c>
      <c r="AS22" s="16">
        <v>171</v>
      </c>
      <c r="AT22" s="16">
        <v>85</v>
      </c>
      <c r="AU22" s="16">
        <v>190</v>
      </c>
      <c r="AV22" s="16">
        <v>2236</v>
      </c>
      <c r="AW22" s="16">
        <v>799</v>
      </c>
      <c r="AX22" s="16">
        <v>30</v>
      </c>
      <c r="AY22" s="16">
        <v>1087</v>
      </c>
      <c r="AZ22" s="16">
        <v>562</v>
      </c>
      <c r="BA22" s="16">
        <v>3</v>
      </c>
      <c r="BB22" s="16">
        <v>79</v>
      </c>
      <c r="BC22" s="16">
        <v>4</v>
      </c>
      <c r="BD22" s="16">
        <v>54</v>
      </c>
      <c r="BE22" s="16">
        <v>703</v>
      </c>
      <c r="BF22" s="16">
        <v>586</v>
      </c>
      <c r="BG22" s="16">
        <v>889</v>
      </c>
      <c r="BH22" s="16">
        <v>190</v>
      </c>
      <c r="BI22" s="16">
        <v>53</v>
      </c>
      <c r="BJ22" s="16">
        <v>1118</v>
      </c>
      <c r="BK22" s="16">
        <v>221</v>
      </c>
      <c r="BL22" s="16">
        <v>353</v>
      </c>
      <c r="BM22" s="16">
        <v>675</v>
      </c>
      <c r="BN22" s="16">
        <v>14</v>
      </c>
      <c r="BO22" s="16">
        <v>6</v>
      </c>
      <c r="BP22" s="16">
        <v>107</v>
      </c>
    </row>
    <row r="23" spans="1:68" s="5" customFormat="1" ht="21.9" customHeight="1" x14ac:dyDescent="0.25">
      <c r="A23" s="125"/>
      <c r="B23" s="4"/>
      <c r="C23" s="47" t="s">
        <v>76</v>
      </c>
      <c r="D23" s="48"/>
      <c r="E23" s="16">
        <v>159</v>
      </c>
      <c r="F23" s="16">
        <v>0</v>
      </c>
      <c r="G23" s="16">
        <v>0</v>
      </c>
      <c r="H23" s="16">
        <v>0</v>
      </c>
      <c r="I23" s="16">
        <v>0</v>
      </c>
      <c r="J23" s="16">
        <v>0</v>
      </c>
      <c r="K23" s="16">
        <v>1</v>
      </c>
      <c r="L23" s="16">
        <v>7</v>
      </c>
      <c r="M23" s="16">
        <v>1</v>
      </c>
      <c r="N23" s="16">
        <v>0</v>
      </c>
      <c r="O23" s="16">
        <v>3</v>
      </c>
      <c r="P23" s="16">
        <v>0</v>
      </c>
      <c r="Q23" s="16">
        <v>0</v>
      </c>
      <c r="R23" s="16">
        <v>5</v>
      </c>
      <c r="S23" s="16">
        <v>1</v>
      </c>
      <c r="T23" s="16">
        <v>0</v>
      </c>
      <c r="U23" s="16">
        <v>5</v>
      </c>
      <c r="V23" s="16">
        <v>8</v>
      </c>
      <c r="W23" s="16">
        <v>0</v>
      </c>
      <c r="X23" s="16">
        <v>1</v>
      </c>
      <c r="Y23" s="16">
        <v>0</v>
      </c>
      <c r="Z23" s="16">
        <v>8</v>
      </c>
      <c r="AA23" s="16">
        <v>2</v>
      </c>
      <c r="AB23" s="16">
        <v>0</v>
      </c>
      <c r="AC23" s="16">
        <v>2</v>
      </c>
      <c r="AD23" s="16">
        <v>2</v>
      </c>
      <c r="AE23" s="16">
        <v>30</v>
      </c>
      <c r="AF23" s="16">
        <v>8</v>
      </c>
      <c r="AG23" s="16">
        <v>7</v>
      </c>
      <c r="AH23" s="16">
        <v>16</v>
      </c>
      <c r="AI23" s="16">
        <v>0</v>
      </c>
      <c r="AJ23" s="16">
        <v>2</v>
      </c>
      <c r="AK23" s="16">
        <v>1</v>
      </c>
      <c r="AL23" s="98">
        <v>1</v>
      </c>
      <c r="AM23" s="16">
        <v>0</v>
      </c>
      <c r="AN23" s="16">
        <v>1</v>
      </c>
      <c r="AO23" s="16">
        <v>5</v>
      </c>
      <c r="AP23" s="16">
        <v>0</v>
      </c>
      <c r="AQ23" s="16">
        <v>0</v>
      </c>
      <c r="AR23" s="16">
        <v>0</v>
      </c>
      <c r="AS23" s="16">
        <v>0</v>
      </c>
      <c r="AT23" s="16">
        <v>0</v>
      </c>
      <c r="AU23" s="16">
        <v>1</v>
      </c>
      <c r="AV23" s="16">
        <v>3</v>
      </c>
      <c r="AW23" s="16">
        <v>0</v>
      </c>
      <c r="AX23" s="16">
        <v>0</v>
      </c>
      <c r="AY23" s="16">
        <v>5</v>
      </c>
      <c r="AZ23" s="16">
        <v>0</v>
      </c>
      <c r="BA23" s="16">
        <v>0</v>
      </c>
      <c r="BB23" s="16">
        <v>8</v>
      </c>
      <c r="BC23" s="16">
        <v>1</v>
      </c>
      <c r="BD23" s="16">
        <v>0</v>
      </c>
      <c r="BE23" s="16">
        <v>2</v>
      </c>
      <c r="BF23" s="16">
        <v>4</v>
      </c>
      <c r="BG23" s="16">
        <v>10</v>
      </c>
      <c r="BH23" s="16">
        <v>1</v>
      </c>
      <c r="BI23" s="16">
        <v>5</v>
      </c>
      <c r="BJ23" s="16">
        <v>0</v>
      </c>
      <c r="BK23" s="16">
        <v>0</v>
      </c>
      <c r="BL23" s="16">
        <v>1</v>
      </c>
      <c r="BM23" s="16">
        <v>0</v>
      </c>
      <c r="BN23" s="16">
        <v>0</v>
      </c>
      <c r="BO23" s="16">
        <v>0</v>
      </c>
      <c r="BP23" s="16">
        <v>1</v>
      </c>
    </row>
    <row r="24" spans="1:68" s="5" customFormat="1" ht="21.9" customHeight="1" x14ac:dyDescent="0.25">
      <c r="A24" s="125" t="s">
        <v>280</v>
      </c>
      <c r="B24" s="4"/>
      <c r="C24" s="47" t="s">
        <v>75</v>
      </c>
      <c r="D24" s="48"/>
      <c r="E24" s="16">
        <v>53229</v>
      </c>
      <c r="F24" s="16">
        <v>343</v>
      </c>
      <c r="G24" s="16">
        <v>381</v>
      </c>
      <c r="H24" s="16">
        <v>72</v>
      </c>
      <c r="I24" s="16">
        <v>25</v>
      </c>
      <c r="J24" s="16">
        <v>97</v>
      </c>
      <c r="K24" s="16">
        <v>130</v>
      </c>
      <c r="L24" s="16">
        <v>2073</v>
      </c>
      <c r="M24" s="16">
        <v>706</v>
      </c>
      <c r="N24" s="16">
        <v>96</v>
      </c>
      <c r="O24" s="16">
        <v>1096</v>
      </c>
      <c r="P24" s="16">
        <v>221</v>
      </c>
      <c r="Q24" s="16">
        <v>0</v>
      </c>
      <c r="R24" s="16">
        <v>768</v>
      </c>
      <c r="S24" s="16">
        <v>835</v>
      </c>
      <c r="T24" s="16">
        <v>192</v>
      </c>
      <c r="U24" s="16">
        <v>551</v>
      </c>
      <c r="V24" s="16">
        <v>2080</v>
      </c>
      <c r="W24" s="16">
        <v>410</v>
      </c>
      <c r="X24" s="16">
        <v>582</v>
      </c>
      <c r="Y24" s="16">
        <v>253</v>
      </c>
      <c r="Z24" s="16">
        <v>2049</v>
      </c>
      <c r="AA24" s="16">
        <v>593</v>
      </c>
      <c r="AB24" s="16">
        <v>256</v>
      </c>
      <c r="AC24" s="16">
        <v>125</v>
      </c>
      <c r="AD24" s="16">
        <v>495</v>
      </c>
      <c r="AE24" s="16">
        <v>6342</v>
      </c>
      <c r="AF24" s="16">
        <v>4916</v>
      </c>
      <c r="AG24" s="16">
        <v>614</v>
      </c>
      <c r="AH24" s="16">
        <v>2823</v>
      </c>
      <c r="AI24" s="16">
        <v>582</v>
      </c>
      <c r="AJ24" s="16">
        <v>1136</v>
      </c>
      <c r="AK24" s="16">
        <v>319</v>
      </c>
      <c r="AL24" s="98">
        <v>395</v>
      </c>
      <c r="AM24" s="16">
        <v>64</v>
      </c>
      <c r="AN24" s="16">
        <v>52</v>
      </c>
      <c r="AO24" s="16">
        <v>649</v>
      </c>
      <c r="AP24" s="16">
        <v>31</v>
      </c>
      <c r="AQ24" s="16">
        <v>5</v>
      </c>
      <c r="AR24" s="16">
        <v>94</v>
      </c>
      <c r="AS24" s="16">
        <v>492</v>
      </c>
      <c r="AT24" s="16">
        <v>194</v>
      </c>
      <c r="AU24" s="16">
        <v>383</v>
      </c>
      <c r="AV24" s="16">
        <v>4167</v>
      </c>
      <c r="AW24" s="16">
        <v>1910</v>
      </c>
      <c r="AX24" s="16">
        <v>38</v>
      </c>
      <c r="AY24" s="16">
        <v>1572</v>
      </c>
      <c r="AZ24" s="16">
        <v>1180</v>
      </c>
      <c r="BA24" s="16">
        <v>27</v>
      </c>
      <c r="BB24" s="16">
        <v>425</v>
      </c>
      <c r="BC24" s="16">
        <v>124</v>
      </c>
      <c r="BD24" s="16">
        <v>69</v>
      </c>
      <c r="BE24" s="16">
        <v>1295</v>
      </c>
      <c r="BF24" s="16">
        <v>1577</v>
      </c>
      <c r="BG24" s="16">
        <v>1303</v>
      </c>
      <c r="BH24" s="16">
        <v>844</v>
      </c>
      <c r="BI24" s="16">
        <v>752</v>
      </c>
      <c r="BJ24" s="16">
        <v>1125</v>
      </c>
      <c r="BK24" s="16">
        <v>966</v>
      </c>
      <c r="BL24" s="16">
        <v>455</v>
      </c>
      <c r="BM24" s="16">
        <v>302</v>
      </c>
      <c r="BN24" s="16">
        <v>102</v>
      </c>
      <c r="BO24" s="16">
        <v>10</v>
      </c>
      <c r="BP24" s="16">
        <v>1466</v>
      </c>
    </row>
    <row r="25" spans="1:68" s="5" customFormat="1" ht="21.9" customHeight="1" x14ac:dyDescent="0.25">
      <c r="A25" s="125"/>
      <c r="B25" s="4"/>
      <c r="C25" s="47" t="s">
        <v>76</v>
      </c>
      <c r="D25" s="48"/>
      <c r="E25" s="16">
        <v>413</v>
      </c>
      <c r="F25" s="16">
        <v>0</v>
      </c>
      <c r="G25" s="16">
        <v>1</v>
      </c>
      <c r="H25" s="16">
        <v>0</v>
      </c>
      <c r="I25" s="16">
        <v>0</v>
      </c>
      <c r="J25" s="16">
        <v>0</v>
      </c>
      <c r="K25" s="16">
        <v>1</v>
      </c>
      <c r="L25" s="16">
        <v>4</v>
      </c>
      <c r="M25" s="16">
        <v>2</v>
      </c>
      <c r="N25" s="16">
        <v>1</v>
      </c>
      <c r="O25" s="16">
        <v>1</v>
      </c>
      <c r="P25" s="16">
        <v>1</v>
      </c>
      <c r="Q25" s="16">
        <v>0</v>
      </c>
      <c r="R25" s="16">
        <v>34</v>
      </c>
      <c r="S25" s="16">
        <v>10</v>
      </c>
      <c r="T25" s="16">
        <v>4</v>
      </c>
      <c r="U25" s="16">
        <v>5</v>
      </c>
      <c r="V25" s="16">
        <v>11</v>
      </c>
      <c r="W25" s="16">
        <v>0</v>
      </c>
      <c r="X25" s="16">
        <v>4</v>
      </c>
      <c r="Y25" s="16">
        <v>0</v>
      </c>
      <c r="Z25" s="16">
        <v>15</v>
      </c>
      <c r="AA25" s="16">
        <v>1</v>
      </c>
      <c r="AB25" s="16">
        <v>0</v>
      </c>
      <c r="AC25" s="16">
        <v>6</v>
      </c>
      <c r="AD25" s="16">
        <v>5</v>
      </c>
      <c r="AE25" s="16">
        <v>28</v>
      </c>
      <c r="AF25" s="16">
        <v>17</v>
      </c>
      <c r="AG25" s="16">
        <v>12</v>
      </c>
      <c r="AH25" s="16">
        <v>25</v>
      </c>
      <c r="AI25" s="16">
        <v>19</v>
      </c>
      <c r="AJ25" s="16">
        <v>12</v>
      </c>
      <c r="AK25" s="16">
        <v>0</v>
      </c>
      <c r="AL25" s="98">
        <v>11</v>
      </c>
      <c r="AM25" s="16">
        <v>1</v>
      </c>
      <c r="AN25" s="16">
        <v>0</v>
      </c>
      <c r="AO25" s="16">
        <v>8</v>
      </c>
      <c r="AP25" s="16">
        <v>0</v>
      </c>
      <c r="AQ25" s="16">
        <v>0</v>
      </c>
      <c r="AR25" s="16">
        <v>0</v>
      </c>
      <c r="AS25" s="16">
        <v>14</v>
      </c>
      <c r="AT25" s="16">
        <v>2</v>
      </c>
      <c r="AU25" s="16">
        <v>0</v>
      </c>
      <c r="AV25" s="16">
        <v>48</v>
      </c>
      <c r="AW25" s="16">
        <v>0</v>
      </c>
      <c r="AX25" s="16">
        <v>0</v>
      </c>
      <c r="AY25" s="16">
        <v>0</v>
      </c>
      <c r="AZ25" s="16">
        <v>1</v>
      </c>
      <c r="BA25" s="16">
        <v>0</v>
      </c>
      <c r="BB25" s="16">
        <v>7</v>
      </c>
      <c r="BC25" s="16">
        <v>0</v>
      </c>
      <c r="BD25" s="16">
        <v>14</v>
      </c>
      <c r="BE25" s="16">
        <v>9</v>
      </c>
      <c r="BF25" s="16">
        <v>18</v>
      </c>
      <c r="BG25" s="16">
        <v>16</v>
      </c>
      <c r="BH25" s="16">
        <v>19</v>
      </c>
      <c r="BI25" s="16">
        <v>3</v>
      </c>
      <c r="BJ25" s="16">
        <v>0</v>
      </c>
      <c r="BK25" s="16">
        <v>15</v>
      </c>
      <c r="BL25" s="16">
        <v>1</v>
      </c>
      <c r="BM25" s="16">
        <v>1</v>
      </c>
      <c r="BN25" s="16">
        <v>0</v>
      </c>
      <c r="BO25" s="16">
        <v>0</v>
      </c>
      <c r="BP25" s="16">
        <v>6</v>
      </c>
    </row>
    <row r="26" spans="1:68" s="5" customFormat="1" ht="21.9" customHeight="1" x14ac:dyDescent="0.25">
      <c r="A26" s="125" t="s">
        <v>345</v>
      </c>
      <c r="C26" s="47" t="s">
        <v>75</v>
      </c>
      <c r="D26" s="48"/>
      <c r="E26" s="16">
        <v>14073</v>
      </c>
      <c r="F26" s="16">
        <v>192</v>
      </c>
      <c r="G26" s="16">
        <v>109</v>
      </c>
      <c r="H26" s="16">
        <v>12</v>
      </c>
      <c r="I26" s="16">
        <v>2</v>
      </c>
      <c r="J26" s="16">
        <v>20</v>
      </c>
      <c r="K26" s="16">
        <v>22</v>
      </c>
      <c r="L26" s="16">
        <v>577</v>
      </c>
      <c r="M26" s="16">
        <v>168</v>
      </c>
      <c r="N26" s="16">
        <v>15</v>
      </c>
      <c r="O26" s="16">
        <v>147</v>
      </c>
      <c r="P26" s="16">
        <v>26</v>
      </c>
      <c r="Q26" s="16">
        <v>0</v>
      </c>
      <c r="R26" s="16">
        <v>222</v>
      </c>
      <c r="S26" s="16">
        <v>200</v>
      </c>
      <c r="T26" s="16">
        <v>62</v>
      </c>
      <c r="U26" s="16">
        <v>160</v>
      </c>
      <c r="V26" s="16">
        <v>741</v>
      </c>
      <c r="W26" s="16">
        <v>76</v>
      </c>
      <c r="X26" s="16">
        <v>137</v>
      </c>
      <c r="Y26" s="16">
        <v>73</v>
      </c>
      <c r="Z26" s="16">
        <v>371</v>
      </c>
      <c r="AA26" s="16">
        <v>149</v>
      </c>
      <c r="AB26" s="16">
        <v>40</v>
      </c>
      <c r="AC26" s="16">
        <v>60</v>
      </c>
      <c r="AD26" s="16">
        <v>155</v>
      </c>
      <c r="AE26" s="16">
        <v>2387</v>
      </c>
      <c r="AF26" s="16">
        <v>819</v>
      </c>
      <c r="AG26" s="16">
        <v>292</v>
      </c>
      <c r="AH26" s="16">
        <v>1432</v>
      </c>
      <c r="AI26" s="16">
        <v>50</v>
      </c>
      <c r="AJ26" s="16">
        <v>163</v>
      </c>
      <c r="AK26" s="16">
        <v>3</v>
      </c>
      <c r="AL26" s="98">
        <v>129</v>
      </c>
      <c r="AM26" s="16">
        <v>20</v>
      </c>
      <c r="AN26" s="16">
        <v>20</v>
      </c>
      <c r="AO26" s="16">
        <v>631</v>
      </c>
      <c r="AP26" s="16">
        <v>11</v>
      </c>
      <c r="AQ26" s="16">
        <v>2</v>
      </c>
      <c r="AR26" s="16">
        <v>31</v>
      </c>
      <c r="AS26" s="16">
        <v>93</v>
      </c>
      <c r="AT26" s="16">
        <v>24</v>
      </c>
      <c r="AU26" s="16">
        <v>187</v>
      </c>
      <c r="AV26" s="16">
        <v>1503</v>
      </c>
      <c r="AW26" s="16">
        <v>147</v>
      </c>
      <c r="AX26" s="16">
        <v>3</v>
      </c>
      <c r="AY26" s="16">
        <v>229</v>
      </c>
      <c r="AZ26" s="16">
        <v>113</v>
      </c>
      <c r="BA26" s="16">
        <v>5</v>
      </c>
      <c r="BB26" s="16">
        <v>117</v>
      </c>
      <c r="BC26" s="16">
        <v>88</v>
      </c>
      <c r="BD26" s="16">
        <v>6</v>
      </c>
      <c r="BE26" s="16">
        <v>108</v>
      </c>
      <c r="BF26" s="16">
        <v>117</v>
      </c>
      <c r="BG26" s="16">
        <v>222</v>
      </c>
      <c r="BH26" s="16">
        <v>215</v>
      </c>
      <c r="BI26" s="16">
        <v>179</v>
      </c>
      <c r="BJ26" s="16">
        <v>452</v>
      </c>
      <c r="BK26" s="16">
        <v>109</v>
      </c>
      <c r="BL26" s="16">
        <v>67</v>
      </c>
      <c r="BM26" s="16">
        <v>93</v>
      </c>
      <c r="BN26" s="16">
        <v>0</v>
      </c>
      <c r="BO26" s="16">
        <v>7</v>
      </c>
      <c r="BP26" s="16">
        <v>263</v>
      </c>
    </row>
    <row r="27" spans="1:68" s="5" customFormat="1" ht="21.9" customHeight="1" x14ac:dyDescent="0.25">
      <c r="A27" s="125"/>
      <c r="C27" s="47" t="s">
        <v>76</v>
      </c>
      <c r="D27" s="48"/>
      <c r="E27" s="16">
        <v>183</v>
      </c>
      <c r="F27" s="16">
        <v>0</v>
      </c>
      <c r="G27" s="16">
        <v>0</v>
      </c>
      <c r="H27" s="16">
        <v>0</v>
      </c>
      <c r="I27" s="16">
        <v>0</v>
      </c>
      <c r="J27" s="16">
        <v>0</v>
      </c>
      <c r="K27" s="16">
        <v>1</v>
      </c>
      <c r="L27" s="16">
        <v>1</v>
      </c>
      <c r="M27" s="16">
        <v>0</v>
      </c>
      <c r="N27" s="16">
        <v>0</v>
      </c>
      <c r="O27" s="16">
        <v>0</v>
      </c>
      <c r="P27" s="16">
        <v>1</v>
      </c>
      <c r="Q27" s="16">
        <v>0</v>
      </c>
      <c r="R27" s="16">
        <v>1</v>
      </c>
      <c r="S27" s="16">
        <v>7</v>
      </c>
      <c r="T27" s="16">
        <v>0</v>
      </c>
      <c r="U27" s="16">
        <v>1</v>
      </c>
      <c r="V27" s="16">
        <v>7</v>
      </c>
      <c r="W27" s="16">
        <v>0</v>
      </c>
      <c r="X27" s="16">
        <v>5</v>
      </c>
      <c r="Y27" s="16">
        <v>2</v>
      </c>
      <c r="Z27" s="16">
        <v>8</v>
      </c>
      <c r="AA27" s="16">
        <v>5</v>
      </c>
      <c r="AB27" s="16">
        <v>0</v>
      </c>
      <c r="AC27" s="16">
        <v>1</v>
      </c>
      <c r="AD27" s="16">
        <v>3</v>
      </c>
      <c r="AE27" s="16">
        <v>24</v>
      </c>
      <c r="AF27" s="16">
        <v>18</v>
      </c>
      <c r="AG27" s="16">
        <v>8</v>
      </c>
      <c r="AH27" s="16">
        <v>10</v>
      </c>
      <c r="AI27" s="16">
        <v>2</v>
      </c>
      <c r="AJ27" s="16">
        <v>3</v>
      </c>
      <c r="AK27" s="16">
        <v>0</v>
      </c>
      <c r="AL27" s="98">
        <v>5</v>
      </c>
      <c r="AM27" s="16">
        <v>1</v>
      </c>
      <c r="AN27" s="16">
        <v>0</v>
      </c>
      <c r="AO27" s="16">
        <v>10</v>
      </c>
      <c r="AP27" s="16">
        <v>0</v>
      </c>
      <c r="AQ27" s="16">
        <v>0</v>
      </c>
      <c r="AR27" s="16">
        <v>0</v>
      </c>
      <c r="AS27" s="16">
        <v>16</v>
      </c>
      <c r="AT27" s="16">
        <v>2</v>
      </c>
      <c r="AU27" s="16">
        <v>0</v>
      </c>
      <c r="AV27" s="16">
        <v>3</v>
      </c>
      <c r="AW27" s="16">
        <v>0</v>
      </c>
      <c r="AX27" s="16">
        <v>0</v>
      </c>
      <c r="AY27" s="16">
        <v>0</v>
      </c>
      <c r="AZ27" s="16">
        <v>1</v>
      </c>
      <c r="BA27" s="16">
        <v>0</v>
      </c>
      <c r="BB27" s="16">
        <v>0</v>
      </c>
      <c r="BC27" s="16">
        <v>0</v>
      </c>
      <c r="BD27" s="16">
        <v>1</v>
      </c>
      <c r="BE27" s="16">
        <v>1</v>
      </c>
      <c r="BF27" s="16">
        <v>0</v>
      </c>
      <c r="BG27" s="16">
        <v>2</v>
      </c>
      <c r="BH27" s="16">
        <v>10</v>
      </c>
      <c r="BI27" s="16">
        <v>1</v>
      </c>
      <c r="BJ27" s="16">
        <v>9</v>
      </c>
      <c r="BK27" s="16">
        <v>6</v>
      </c>
      <c r="BL27" s="16">
        <v>1</v>
      </c>
      <c r="BM27" s="16">
        <v>1</v>
      </c>
      <c r="BN27" s="16">
        <v>0</v>
      </c>
      <c r="BO27" s="16">
        <v>0</v>
      </c>
      <c r="BP27" s="16">
        <v>5</v>
      </c>
    </row>
    <row r="28" spans="1:68" s="5" customFormat="1" ht="21.9" customHeight="1" x14ac:dyDescent="0.25">
      <c r="A28" s="125" t="s">
        <v>82</v>
      </c>
      <c r="B28" s="4"/>
      <c r="C28" s="47" t="s">
        <v>75</v>
      </c>
      <c r="D28" s="48"/>
      <c r="E28" s="16">
        <v>26961</v>
      </c>
      <c r="F28" s="16">
        <v>83</v>
      </c>
      <c r="G28" s="16">
        <v>50</v>
      </c>
      <c r="H28" s="16">
        <v>135</v>
      </c>
      <c r="I28" s="16">
        <v>5</v>
      </c>
      <c r="J28" s="16">
        <v>7</v>
      </c>
      <c r="K28" s="16">
        <v>8</v>
      </c>
      <c r="L28" s="16">
        <v>282</v>
      </c>
      <c r="M28" s="16">
        <v>395</v>
      </c>
      <c r="N28" s="16">
        <v>17</v>
      </c>
      <c r="O28" s="16">
        <v>33</v>
      </c>
      <c r="P28" s="16">
        <v>10</v>
      </c>
      <c r="Q28" s="16">
        <v>0</v>
      </c>
      <c r="R28" s="16">
        <v>42</v>
      </c>
      <c r="S28" s="16">
        <v>304</v>
      </c>
      <c r="T28" s="16">
        <v>77</v>
      </c>
      <c r="U28" s="16">
        <v>639</v>
      </c>
      <c r="V28" s="16">
        <v>845</v>
      </c>
      <c r="W28" s="16">
        <v>591</v>
      </c>
      <c r="X28" s="16">
        <v>52</v>
      </c>
      <c r="Y28" s="16">
        <v>27</v>
      </c>
      <c r="Z28" s="16">
        <v>2166</v>
      </c>
      <c r="AA28" s="16">
        <v>29</v>
      </c>
      <c r="AB28" s="16">
        <v>39</v>
      </c>
      <c r="AC28" s="16">
        <v>26</v>
      </c>
      <c r="AD28" s="16">
        <v>446</v>
      </c>
      <c r="AE28" s="16">
        <v>11666</v>
      </c>
      <c r="AF28" s="16">
        <v>1988</v>
      </c>
      <c r="AG28" s="16">
        <v>3346</v>
      </c>
      <c r="AH28" s="16">
        <v>118</v>
      </c>
      <c r="AI28" s="16">
        <v>40</v>
      </c>
      <c r="AJ28" s="16">
        <v>102</v>
      </c>
      <c r="AK28" s="16">
        <v>0</v>
      </c>
      <c r="AL28" s="98">
        <v>191</v>
      </c>
      <c r="AM28" s="16">
        <v>37</v>
      </c>
      <c r="AN28" s="16">
        <v>0</v>
      </c>
      <c r="AO28" s="16">
        <v>837</v>
      </c>
      <c r="AP28" s="16">
        <v>5</v>
      </c>
      <c r="AQ28" s="16">
        <v>1</v>
      </c>
      <c r="AR28" s="16">
        <v>7</v>
      </c>
      <c r="AS28" s="16">
        <v>61</v>
      </c>
      <c r="AT28" s="16">
        <v>17</v>
      </c>
      <c r="AU28" s="16">
        <v>9</v>
      </c>
      <c r="AV28" s="16">
        <v>678</v>
      </c>
      <c r="AW28" s="16">
        <v>502</v>
      </c>
      <c r="AX28" s="16">
        <v>0</v>
      </c>
      <c r="AY28" s="16">
        <v>46</v>
      </c>
      <c r="AZ28" s="16">
        <v>25</v>
      </c>
      <c r="BA28" s="16">
        <v>0</v>
      </c>
      <c r="BB28" s="16">
        <v>6</v>
      </c>
      <c r="BC28" s="16">
        <v>0</v>
      </c>
      <c r="BD28" s="16">
        <v>0</v>
      </c>
      <c r="BE28" s="16">
        <v>150</v>
      </c>
      <c r="BF28" s="16">
        <v>164</v>
      </c>
      <c r="BG28" s="16">
        <v>357</v>
      </c>
      <c r="BH28" s="16">
        <v>36</v>
      </c>
      <c r="BI28" s="16">
        <v>80</v>
      </c>
      <c r="BJ28" s="16">
        <v>119</v>
      </c>
      <c r="BK28" s="16">
        <v>43</v>
      </c>
      <c r="BL28" s="16">
        <v>7</v>
      </c>
      <c r="BM28" s="16">
        <v>5</v>
      </c>
      <c r="BN28" s="16">
        <v>0</v>
      </c>
      <c r="BO28" s="16">
        <v>0</v>
      </c>
      <c r="BP28" s="16">
        <v>10</v>
      </c>
    </row>
    <row r="29" spans="1:68" s="5" customFormat="1" ht="21.9" customHeight="1" x14ac:dyDescent="0.25">
      <c r="A29" s="125"/>
      <c r="B29" s="4"/>
      <c r="C29" s="47" t="s">
        <v>76</v>
      </c>
      <c r="D29" s="48"/>
      <c r="E29" s="16">
        <v>61</v>
      </c>
      <c r="F29" s="16">
        <v>0</v>
      </c>
      <c r="G29" s="16">
        <v>0</v>
      </c>
      <c r="H29" s="16">
        <v>0</v>
      </c>
      <c r="I29" s="16">
        <v>0</v>
      </c>
      <c r="J29" s="16">
        <v>0</v>
      </c>
      <c r="K29" s="16">
        <v>0</v>
      </c>
      <c r="L29" s="16">
        <v>0</v>
      </c>
      <c r="M29" s="16">
        <v>0</v>
      </c>
      <c r="N29" s="16">
        <v>0</v>
      </c>
      <c r="O29" s="16">
        <v>0</v>
      </c>
      <c r="P29" s="16">
        <v>0</v>
      </c>
      <c r="Q29" s="16">
        <v>0</v>
      </c>
      <c r="R29" s="16">
        <v>0</v>
      </c>
      <c r="S29" s="16">
        <v>0</v>
      </c>
      <c r="T29" s="16">
        <v>0</v>
      </c>
      <c r="U29" s="16">
        <v>0</v>
      </c>
      <c r="V29" s="16">
        <v>0</v>
      </c>
      <c r="W29" s="16">
        <v>0</v>
      </c>
      <c r="X29" s="16">
        <v>1</v>
      </c>
      <c r="Y29" s="16">
        <v>0</v>
      </c>
      <c r="Z29" s="16">
        <v>2</v>
      </c>
      <c r="AA29" s="16">
        <v>0</v>
      </c>
      <c r="AB29" s="16">
        <v>0</v>
      </c>
      <c r="AC29" s="16">
        <v>0</v>
      </c>
      <c r="AD29" s="16">
        <v>0</v>
      </c>
      <c r="AE29" s="16">
        <v>7</v>
      </c>
      <c r="AF29" s="16">
        <v>0</v>
      </c>
      <c r="AG29" s="16">
        <v>3</v>
      </c>
      <c r="AH29" s="16">
        <v>8</v>
      </c>
      <c r="AI29" s="16">
        <v>1</v>
      </c>
      <c r="AJ29" s="16">
        <v>1</v>
      </c>
      <c r="AK29" s="16">
        <v>0</v>
      </c>
      <c r="AL29" s="98">
        <v>4</v>
      </c>
      <c r="AM29" s="16">
        <v>0</v>
      </c>
      <c r="AN29" s="16">
        <v>0</v>
      </c>
      <c r="AO29" s="16">
        <v>4</v>
      </c>
      <c r="AP29" s="16">
        <v>0</v>
      </c>
      <c r="AQ29" s="16">
        <v>0</v>
      </c>
      <c r="AR29" s="16">
        <v>0</v>
      </c>
      <c r="AS29" s="16">
        <v>16</v>
      </c>
      <c r="AT29" s="16">
        <v>3</v>
      </c>
      <c r="AU29" s="16">
        <v>0</v>
      </c>
      <c r="AV29" s="16">
        <v>3</v>
      </c>
      <c r="AW29" s="16">
        <v>5</v>
      </c>
      <c r="AX29" s="16">
        <v>0</v>
      </c>
      <c r="AY29" s="16">
        <v>0</v>
      </c>
      <c r="AZ29" s="16">
        <v>0</v>
      </c>
      <c r="BA29" s="16">
        <v>0</v>
      </c>
      <c r="BB29" s="16">
        <v>0</v>
      </c>
      <c r="BC29" s="16">
        <v>0</v>
      </c>
      <c r="BD29" s="16">
        <v>0</v>
      </c>
      <c r="BE29" s="16">
        <v>0</v>
      </c>
      <c r="BF29" s="16">
        <v>0</v>
      </c>
      <c r="BG29" s="16">
        <v>0</v>
      </c>
      <c r="BH29" s="16">
        <v>0</v>
      </c>
      <c r="BI29" s="16">
        <v>0</v>
      </c>
      <c r="BJ29" s="16">
        <v>3</v>
      </c>
      <c r="BK29" s="16">
        <v>0</v>
      </c>
      <c r="BL29" s="16">
        <v>0</v>
      </c>
      <c r="BM29" s="16">
        <v>0</v>
      </c>
      <c r="BN29" s="16">
        <v>0</v>
      </c>
      <c r="BO29" s="16">
        <v>0</v>
      </c>
      <c r="BP29" s="16">
        <v>0</v>
      </c>
    </row>
    <row r="30" spans="1:68" s="5" customFormat="1" ht="21.9" customHeight="1" x14ac:dyDescent="0.25">
      <c r="A30" s="125" t="s">
        <v>83</v>
      </c>
      <c r="B30" s="4"/>
      <c r="C30" s="47" t="s">
        <v>75</v>
      </c>
      <c r="D30" s="48"/>
      <c r="E30" s="16">
        <v>18810</v>
      </c>
      <c r="F30" s="16">
        <v>224</v>
      </c>
      <c r="G30" s="16">
        <v>140</v>
      </c>
      <c r="H30" s="16">
        <v>16</v>
      </c>
      <c r="I30" s="16">
        <v>3</v>
      </c>
      <c r="J30" s="16">
        <v>12</v>
      </c>
      <c r="K30" s="16">
        <v>96</v>
      </c>
      <c r="L30" s="16">
        <v>549</v>
      </c>
      <c r="M30" s="16">
        <v>146</v>
      </c>
      <c r="N30" s="16">
        <v>0</v>
      </c>
      <c r="O30" s="16">
        <v>309</v>
      </c>
      <c r="P30" s="16">
        <v>10</v>
      </c>
      <c r="Q30" s="16">
        <v>0</v>
      </c>
      <c r="R30" s="16">
        <v>128</v>
      </c>
      <c r="S30" s="16">
        <v>288</v>
      </c>
      <c r="T30" s="16">
        <v>23</v>
      </c>
      <c r="U30" s="16">
        <v>301</v>
      </c>
      <c r="V30" s="16">
        <v>872</v>
      </c>
      <c r="W30" s="16">
        <v>151</v>
      </c>
      <c r="X30" s="16">
        <v>651</v>
      </c>
      <c r="Y30" s="16">
        <v>66</v>
      </c>
      <c r="Z30" s="16">
        <v>174</v>
      </c>
      <c r="AA30" s="16">
        <v>65</v>
      </c>
      <c r="AB30" s="16">
        <v>57</v>
      </c>
      <c r="AC30" s="16">
        <v>28</v>
      </c>
      <c r="AD30" s="16">
        <v>295</v>
      </c>
      <c r="AE30" s="16">
        <v>2574</v>
      </c>
      <c r="AF30" s="16">
        <v>494</v>
      </c>
      <c r="AG30" s="16">
        <v>468</v>
      </c>
      <c r="AH30" s="16">
        <v>2896</v>
      </c>
      <c r="AI30" s="16">
        <v>1278</v>
      </c>
      <c r="AJ30" s="16">
        <v>283</v>
      </c>
      <c r="AK30" s="16">
        <v>0</v>
      </c>
      <c r="AL30" s="98">
        <v>620</v>
      </c>
      <c r="AM30" s="16">
        <v>40</v>
      </c>
      <c r="AN30" s="16">
        <v>8</v>
      </c>
      <c r="AO30" s="16">
        <v>188</v>
      </c>
      <c r="AP30" s="16">
        <v>22</v>
      </c>
      <c r="AQ30" s="16">
        <v>19</v>
      </c>
      <c r="AR30" s="16">
        <v>248</v>
      </c>
      <c r="AS30" s="16">
        <v>115</v>
      </c>
      <c r="AT30" s="16">
        <v>4</v>
      </c>
      <c r="AU30" s="16">
        <v>40</v>
      </c>
      <c r="AV30" s="16">
        <v>1046</v>
      </c>
      <c r="AW30" s="16">
        <v>136</v>
      </c>
      <c r="AX30" s="16">
        <v>2</v>
      </c>
      <c r="AY30" s="16">
        <v>533</v>
      </c>
      <c r="AZ30" s="16">
        <v>294</v>
      </c>
      <c r="BA30" s="16">
        <v>19</v>
      </c>
      <c r="BB30" s="16">
        <v>10</v>
      </c>
      <c r="BC30" s="16">
        <v>13</v>
      </c>
      <c r="BD30" s="16">
        <v>0</v>
      </c>
      <c r="BE30" s="16">
        <v>207</v>
      </c>
      <c r="BF30" s="16">
        <v>369</v>
      </c>
      <c r="BG30" s="16">
        <v>1279</v>
      </c>
      <c r="BH30" s="16">
        <v>10</v>
      </c>
      <c r="BI30" s="16">
        <v>133</v>
      </c>
      <c r="BJ30" s="16">
        <v>310</v>
      </c>
      <c r="BK30" s="16">
        <v>47</v>
      </c>
      <c r="BL30" s="16">
        <v>142</v>
      </c>
      <c r="BM30" s="16">
        <v>13</v>
      </c>
      <c r="BN30" s="16">
        <v>13</v>
      </c>
      <c r="BO30" s="16">
        <v>0</v>
      </c>
      <c r="BP30" s="16">
        <v>333</v>
      </c>
    </row>
    <row r="31" spans="1:68" s="5" customFormat="1" ht="21.9" customHeight="1" x14ac:dyDescent="0.25">
      <c r="A31" s="125"/>
      <c r="B31" s="4"/>
      <c r="C31" s="47" t="s">
        <v>76</v>
      </c>
      <c r="D31" s="48"/>
      <c r="E31" s="16">
        <v>37</v>
      </c>
      <c r="F31" s="16">
        <v>0</v>
      </c>
      <c r="G31" s="16">
        <v>0</v>
      </c>
      <c r="H31" s="16">
        <v>0</v>
      </c>
      <c r="I31" s="16">
        <v>0</v>
      </c>
      <c r="J31" s="16">
        <v>0</v>
      </c>
      <c r="K31" s="16">
        <v>0</v>
      </c>
      <c r="L31" s="16">
        <v>0</v>
      </c>
      <c r="M31" s="16">
        <v>1</v>
      </c>
      <c r="N31" s="16">
        <v>0</v>
      </c>
      <c r="O31" s="16">
        <v>0</v>
      </c>
      <c r="P31" s="16">
        <v>0</v>
      </c>
      <c r="Q31" s="16">
        <v>0</v>
      </c>
      <c r="R31" s="16">
        <v>1</v>
      </c>
      <c r="S31" s="16">
        <v>1</v>
      </c>
      <c r="T31" s="16">
        <v>0</v>
      </c>
      <c r="U31" s="16">
        <v>0</v>
      </c>
      <c r="V31" s="16">
        <v>2</v>
      </c>
      <c r="W31" s="16">
        <v>0</v>
      </c>
      <c r="X31" s="16">
        <v>0</v>
      </c>
      <c r="Y31" s="16">
        <v>0</v>
      </c>
      <c r="Z31" s="16">
        <v>0</v>
      </c>
      <c r="AA31" s="16">
        <v>0</v>
      </c>
      <c r="AB31" s="16">
        <v>0</v>
      </c>
      <c r="AC31" s="16">
        <v>0</v>
      </c>
      <c r="AD31" s="16">
        <v>0</v>
      </c>
      <c r="AE31" s="16">
        <v>0</v>
      </c>
      <c r="AF31" s="16">
        <v>0</v>
      </c>
      <c r="AG31" s="16">
        <v>0</v>
      </c>
      <c r="AH31" s="16">
        <v>7</v>
      </c>
      <c r="AI31" s="16">
        <v>0</v>
      </c>
      <c r="AJ31" s="16">
        <v>0</v>
      </c>
      <c r="AK31" s="16">
        <v>0</v>
      </c>
      <c r="AL31" s="98">
        <v>2</v>
      </c>
      <c r="AM31" s="16">
        <v>0</v>
      </c>
      <c r="AN31" s="16">
        <v>0</v>
      </c>
      <c r="AO31" s="16">
        <v>0</v>
      </c>
      <c r="AP31" s="16">
        <v>0</v>
      </c>
      <c r="AQ31" s="16">
        <v>0</v>
      </c>
      <c r="AR31" s="16">
        <v>0</v>
      </c>
      <c r="AS31" s="16">
        <v>6</v>
      </c>
      <c r="AT31" s="16">
        <v>0</v>
      </c>
      <c r="AU31" s="16">
        <v>0</v>
      </c>
      <c r="AV31" s="16">
        <v>6</v>
      </c>
      <c r="AW31" s="16">
        <v>0</v>
      </c>
      <c r="AX31" s="16">
        <v>0</v>
      </c>
      <c r="AY31" s="16">
        <v>0</v>
      </c>
      <c r="AZ31" s="16">
        <v>0</v>
      </c>
      <c r="BA31" s="16">
        <v>0</v>
      </c>
      <c r="BB31" s="16">
        <v>2</v>
      </c>
      <c r="BC31" s="16">
        <v>0</v>
      </c>
      <c r="BD31" s="16">
        <v>0</v>
      </c>
      <c r="BE31" s="16">
        <v>0</v>
      </c>
      <c r="BF31" s="16">
        <v>0</v>
      </c>
      <c r="BG31" s="16">
        <v>0</v>
      </c>
      <c r="BH31" s="16">
        <v>0</v>
      </c>
      <c r="BI31" s="16">
        <v>0</v>
      </c>
      <c r="BJ31" s="16">
        <v>5</v>
      </c>
      <c r="BK31" s="16">
        <v>3</v>
      </c>
      <c r="BL31" s="16">
        <v>1</v>
      </c>
      <c r="BM31" s="16">
        <v>0</v>
      </c>
      <c r="BN31" s="16">
        <v>0</v>
      </c>
      <c r="BO31" s="16">
        <v>0</v>
      </c>
      <c r="BP31" s="16">
        <v>0</v>
      </c>
    </row>
    <row r="32" spans="1:68" s="5" customFormat="1" ht="21.9" customHeight="1" x14ac:dyDescent="0.25">
      <c r="A32" s="125" t="s">
        <v>84</v>
      </c>
      <c r="B32" s="4"/>
      <c r="C32" s="47" t="s">
        <v>75</v>
      </c>
      <c r="D32" s="48"/>
      <c r="E32" s="16">
        <v>17108</v>
      </c>
      <c r="F32" s="16">
        <v>79</v>
      </c>
      <c r="G32" s="16">
        <v>32</v>
      </c>
      <c r="H32" s="16">
        <v>10</v>
      </c>
      <c r="I32" s="16">
        <v>5</v>
      </c>
      <c r="J32" s="16">
        <v>2</v>
      </c>
      <c r="K32" s="16">
        <v>45</v>
      </c>
      <c r="L32" s="16">
        <v>1295</v>
      </c>
      <c r="M32" s="16">
        <v>277</v>
      </c>
      <c r="N32" s="16">
        <v>20</v>
      </c>
      <c r="O32" s="16">
        <v>180</v>
      </c>
      <c r="P32" s="16">
        <v>95</v>
      </c>
      <c r="Q32" s="16">
        <v>0</v>
      </c>
      <c r="R32" s="16">
        <v>261</v>
      </c>
      <c r="S32" s="16">
        <v>315</v>
      </c>
      <c r="T32" s="16">
        <v>25</v>
      </c>
      <c r="U32" s="16">
        <v>227</v>
      </c>
      <c r="V32" s="16">
        <v>875</v>
      </c>
      <c r="W32" s="16">
        <v>57</v>
      </c>
      <c r="X32" s="16">
        <v>238</v>
      </c>
      <c r="Y32" s="16">
        <v>96</v>
      </c>
      <c r="Z32" s="16">
        <v>264</v>
      </c>
      <c r="AA32" s="16">
        <v>162</v>
      </c>
      <c r="AB32" s="16">
        <v>32</v>
      </c>
      <c r="AC32" s="16">
        <v>66</v>
      </c>
      <c r="AD32" s="16">
        <v>178</v>
      </c>
      <c r="AE32" s="16">
        <v>1455</v>
      </c>
      <c r="AF32" s="16">
        <v>312</v>
      </c>
      <c r="AG32" s="16">
        <v>157</v>
      </c>
      <c r="AH32" s="16">
        <v>762</v>
      </c>
      <c r="AI32" s="16">
        <v>210</v>
      </c>
      <c r="AJ32" s="16">
        <v>131</v>
      </c>
      <c r="AK32" s="16">
        <v>6</v>
      </c>
      <c r="AL32" s="98">
        <v>76</v>
      </c>
      <c r="AM32" s="16">
        <v>8</v>
      </c>
      <c r="AN32" s="16">
        <v>6</v>
      </c>
      <c r="AO32" s="16">
        <v>783</v>
      </c>
      <c r="AP32" s="16">
        <v>117</v>
      </c>
      <c r="AQ32" s="16">
        <v>42</v>
      </c>
      <c r="AR32" s="16">
        <v>105</v>
      </c>
      <c r="AS32" s="16">
        <v>88</v>
      </c>
      <c r="AT32" s="16">
        <v>6</v>
      </c>
      <c r="AU32" s="16">
        <v>37</v>
      </c>
      <c r="AV32" s="16">
        <v>928</v>
      </c>
      <c r="AW32" s="16">
        <v>536</v>
      </c>
      <c r="AX32" s="16">
        <v>60</v>
      </c>
      <c r="AY32" s="16">
        <v>1227</v>
      </c>
      <c r="AZ32" s="16">
        <v>1772</v>
      </c>
      <c r="BA32" s="16">
        <v>457</v>
      </c>
      <c r="BB32" s="16">
        <v>126</v>
      </c>
      <c r="BC32" s="16">
        <v>95</v>
      </c>
      <c r="BD32" s="16">
        <v>1</v>
      </c>
      <c r="BE32" s="16">
        <v>235</v>
      </c>
      <c r="BF32" s="16">
        <v>320</v>
      </c>
      <c r="BG32" s="16">
        <v>272</v>
      </c>
      <c r="BH32" s="16">
        <v>593</v>
      </c>
      <c r="BI32" s="16">
        <v>409</v>
      </c>
      <c r="BJ32" s="16">
        <v>101</v>
      </c>
      <c r="BK32" s="16">
        <v>230</v>
      </c>
      <c r="BL32" s="16">
        <v>414</v>
      </c>
      <c r="BM32" s="16">
        <v>60</v>
      </c>
      <c r="BN32" s="16">
        <v>2</v>
      </c>
      <c r="BO32" s="16">
        <v>8</v>
      </c>
      <c r="BP32" s="16">
        <v>125</v>
      </c>
    </row>
    <row r="33" spans="1:68" s="5" customFormat="1" ht="21.9" customHeight="1" x14ac:dyDescent="0.25">
      <c r="A33" s="125"/>
      <c r="B33" s="4"/>
      <c r="C33" s="47" t="s">
        <v>76</v>
      </c>
      <c r="D33" s="48"/>
      <c r="E33" s="16">
        <v>272</v>
      </c>
      <c r="F33" s="16">
        <v>0</v>
      </c>
      <c r="G33" s="16">
        <v>0</v>
      </c>
      <c r="H33" s="16">
        <v>0</v>
      </c>
      <c r="I33" s="16">
        <v>1</v>
      </c>
      <c r="J33" s="16">
        <v>0</v>
      </c>
      <c r="K33" s="16">
        <v>0</v>
      </c>
      <c r="L33" s="16">
        <v>4</v>
      </c>
      <c r="M33" s="16">
        <v>3</v>
      </c>
      <c r="N33" s="16">
        <v>0</v>
      </c>
      <c r="O33" s="16">
        <v>0</v>
      </c>
      <c r="P33" s="16">
        <v>5</v>
      </c>
      <c r="Q33" s="16">
        <v>0</v>
      </c>
      <c r="R33" s="16">
        <v>10</v>
      </c>
      <c r="S33" s="16">
        <v>1</v>
      </c>
      <c r="T33" s="16">
        <v>1</v>
      </c>
      <c r="U33" s="16">
        <v>0</v>
      </c>
      <c r="V33" s="16">
        <v>11</v>
      </c>
      <c r="W33" s="16">
        <v>0</v>
      </c>
      <c r="X33" s="16">
        <v>7</v>
      </c>
      <c r="Y33" s="16">
        <v>2</v>
      </c>
      <c r="Z33" s="16">
        <v>2</v>
      </c>
      <c r="AA33" s="16">
        <v>6</v>
      </c>
      <c r="AB33" s="16">
        <v>0</v>
      </c>
      <c r="AC33" s="16">
        <v>2</v>
      </c>
      <c r="AD33" s="16">
        <v>4</v>
      </c>
      <c r="AE33" s="16">
        <v>15</v>
      </c>
      <c r="AF33" s="16">
        <v>5</v>
      </c>
      <c r="AG33" s="16">
        <v>2</v>
      </c>
      <c r="AH33" s="16">
        <v>39</v>
      </c>
      <c r="AI33" s="16">
        <v>9</v>
      </c>
      <c r="AJ33" s="16">
        <v>0</v>
      </c>
      <c r="AK33" s="16">
        <v>0</v>
      </c>
      <c r="AL33" s="98">
        <v>4</v>
      </c>
      <c r="AM33" s="16">
        <v>0</v>
      </c>
      <c r="AN33" s="16">
        <v>0</v>
      </c>
      <c r="AO33" s="16">
        <v>7</v>
      </c>
      <c r="AP33" s="16">
        <v>0</v>
      </c>
      <c r="AQ33" s="16">
        <v>0</v>
      </c>
      <c r="AR33" s="16">
        <v>0</v>
      </c>
      <c r="AS33" s="16">
        <v>5</v>
      </c>
      <c r="AT33" s="16">
        <v>0</v>
      </c>
      <c r="AU33" s="16">
        <v>1</v>
      </c>
      <c r="AV33" s="16">
        <v>20</v>
      </c>
      <c r="AW33" s="16">
        <v>48</v>
      </c>
      <c r="AX33" s="16">
        <v>0</v>
      </c>
      <c r="AY33" s="16">
        <v>1</v>
      </c>
      <c r="AZ33" s="16">
        <v>4</v>
      </c>
      <c r="BA33" s="16">
        <v>0</v>
      </c>
      <c r="BB33" s="16">
        <v>4</v>
      </c>
      <c r="BC33" s="16">
        <v>0</v>
      </c>
      <c r="BD33" s="16">
        <v>1</v>
      </c>
      <c r="BE33" s="16">
        <v>1</v>
      </c>
      <c r="BF33" s="16">
        <v>1</v>
      </c>
      <c r="BG33" s="16">
        <v>5</v>
      </c>
      <c r="BH33" s="16">
        <v>14</v>
      </c>
      <c r="BI33" s="16">
        <v>0</v>
      </c>
      <c r="BJ33" s="16">
        <v>5</v>
      </c>
      <c r="BK33" s="16">
        <v>21</v>
      </c>
      <c r="BL33" s="16">
        <v>1</v>
      </c>
      <c r="BM33" s="16">
        <v>0</v>
      </c>
      <c r="BN33" s="16">
        <v>0</v>
      </c>
      <c r="BO33" s="16">
        <v>0</v>
      </c>
      <c r="BP33" s="16">
        <v>0</v>
      </c>
    </row>
    <row r="34" spans="1:68" s="5" customFormat="1" ht="21.9" customHeight="1" x14ac:dyDescent="0.25">
      <c r="A34" s="125" t="s">
        <v>85</v>
      </c>
      <c r="C34" s="47" t="s">
        <v>75</v>
      </c>
      <c r="D34" s="48"/>
      <c r="E34" s="16">
        <v>13507</v>
      </c>
      <c r="F34" s="16">
        <v>34</v>
      </c>
      <c r="G34" s="16">
        <v>76</v>
      </c>
      <c r="H34" s="16">
        <v>3</v>
      </c>
      <c r="I34" s="16">
        <v>3</v>
      </c>
      <c r="J34" s="16">
        <v>1</v>
      </c>
      <c r="K34" s="16">
        <v>29</v>
      </c>
      <c r="L34" s="16">
        <v>325</v>
      </c>
      <c r="M34" s="16">
        <v>128</v>
      </c>
      <c r="N34" s="16">
        <v>15</v>
      </c>
      <c r="O34" s="16">
        <v>45</v>
      </c>
      <c r="P34" s="16">
        <v>13</v>
      </c>
      <c r="Q34" s="16">
        <v>0</v>
      </c>
      <c r="R34" s="16">
        <v>56</v>
      </c>
      <c r="S34" s="16">
        <v>73</v>
      </c>
      <c r="T34" s="16">
        <v>50</v>
      </c>
      <c r="U34" s="16">
        <v>119</v>
      </c>
      <c r="V34" s="16">
        <v>543</v>
      </c>
      <c r="W34" s="16">
        <v>113</v>
      </c>
      <c r="X34" s="16">
        <v>115</v>
      </c>
      <c r="Y34" s="16">
        <v>26</v>
      </c>
      <c r="Z34" s="16">
        <v>512</v>
      </c>
      <c r="AA34" s="16">
        <v>153</v>
      </c>
      <c r="AB34" s="16">
        <v>78</v>
      </c>
      <c r="AC34" s="16">
        <v>54</v>
      </c>
      <c r="AD34" s="16">
        <v>132</v>
      </c>
      <c r="AE34" s="16">
        <v>2785</v>
      </c>
      <c r="AF34" s="16">
        <v>562</v>
      </c>
      <c r="AG34" s="16">
        <v>330</v>
      </c>
      <c r="AH34" s="16">
        <v>646</v>
      </c>
      <c r="AI34" s="16">
        <v>265</v>
      </c>
      <c r="AJ34" s="16">
        <v>257</v>
      </c>
      <c r="AK34" s="16">
        <v>8</v>
      </c>
      <c r="AL34" s="98">
        <v>242</v>
      </c>
      <c r="AM34" s="16">
        <v>19</v>
      </c>
      <c r="AN34" s="16">
        <v>37</v>
      </c>
      <c r="AO34" s="16">
        <v>915</v>
      </c>
      <c r="AP34" s="16">
        <v>13</v>
      </c>
      <c r="AQ34" s="16">
        <v>25</v>
      </c>
      <c r="AR34" s="16">
        <v>98</v>
      </c>
      <c r="AS34" s="16">
        <v>30</v>
      </c>
      <c r="AT34" s="16">
        <v>1</v>
      </c>
      <c r="AU34" s="16">
        <v>91</v>
      </c>
      <c r="AV34" s="16">
        <v>991</v>
      </c>
      <c r="AW34" s="16">
        <v>254</v>
      </c>
      <c r="AX34" s="16">
        <v>3</v>
      </c>
      <c r="AY34" s="16">
        <v>682</v>
      </c>
      <c r="AZ34" s="16">
        <v>73</v>
      </c>
      <c r="BA34" s="16">
        <v>12</v>
      </c>
      <c r="BB34" s="16">
        <v>13</v>
      </c>
      <c r="BC34" s="16">
        <v>0</v>
      </c>
      <c r="BD34" s="16">
        <v>1</v>
      </c>
      <c r="BE34" s="16">
        <v>234</v>
      </c>
      <c r="BF34" s="16">
        <v>139</v>
      </c>
      <c r="BG34" s="16">
        <v>328</v>
      </c>
      <c r="BH34" s="16">
        <v>446</v>
      </c>
      <c r="BI34" s="16">
        <v>100</v>
      </c>
      <c r="BJ34" s="16">
        <v>618</v>
      </c>
      <c r="BK34" s="16">
        <v>160</v>
      </c>
      <c r="BL34" s="16">
        <v>332</v>
      </c>
      <c r="BM34" s="16">
        <v>40</v>
      </c>
      <c r="BN34" s="16">
        <v>2</v>
      </c>
      <c r="BO34" s="16">
        <v>11</v>
      </c>
      <c r="BP34" s="16">
        <v>48</v>
      </c>
    </row>
    <row r="35" spans="1:68" s="5" customFormat="1" ht="21.9" customHeight="1" x14ac:dyDescent="0.25">
      <c r="A35" s="125"/>
      <c r="C35" s="47" t="s">
        <v>76</v>
      </c>
      <c r="D35" s="48"/>
      <c r="E35" s="16">
        <v>207</v>
      </c>
      <c r="F35" s="16">
        <v>0</v>
      </c>
      <c r="G35" s="16">
        <v>0</v>
      </c>
      <c r="H35" s="16">
        <v>0</v>
      </c>
      <c r="I35" s="16">
        <v>0</v>
      </c>
      <c r="J35" s="16">
        <v>0</v>
      </c>
      <c r="K35" s="16">
        <v>1</v>
      </c>
      <c r="L35" s="16">
        <v>6</v>
      </c>
      <c r="M35" s="16">
        <v>4</v>
      </c>
      <c r="N35" s="16">
        <v>0</v>
      </c>
      <c r="O35" s="16">
        <v>0</v>
      </c>
      <c r="P35" s="16">
        <v>0</v>
      </c>
      <c r="Q35" s="16">
        <v>0</v>
      </c>
      <c r="R35" s="16">
        <v>0</v>
      </c>
      <c r="S35" s="16">
        <v>1</v>
      </c>
      <c r="T35" s="16">
        <v>0</v>
      </c>
      <c r="U35" s="16">
        <v>5</v>
      </c>
      <c r="V35" s="16">
        <v>17</v>
      </c>
      <c r="W35" s="16">
        <v>1</v>
      </c>
      <c r="X35" s="16">
        <v>1</v>
      </c>
      <c r="Y35" s="16">
        <v>1</v>
      </c>
      <c r="Z35" s="16">
        <v>10</v>
      </c>
      <c r="AA35" s="16">
        <v>2</v>
      </c>
      <c r="AB35" s="16">
        <v>0</v>
      </c>
      <c r="AC35" s="16">
        <v>4</v>
      </c>
      <c r="AD35" s="16">
        <v>4</v>
      </c>
      <c r="AE35" s="16">
        <v>6</v>
      </c>
      <c r="AF35" s="16">
        <v>6</v>
      </c>
      <c r="AG35" s="16">
        <v>2</v>
      </c>
      <c r="AH35" s="16">
        <v>47</v>
      </c>
      <c r="AI35" s="16">
        <v>3</v>
      </c>
      <c r="AJ35" s="16">
        <v>4</v>
      </c>
      <c r="AK35" s="16">
        <v>0</v>
      </c>
      <c r="AL35" s="98">
        <v>11</v>
      </c>
      <c r="AM35" s="16">
        <v>0</v>
      </c>
      <c r="AN35" s="16">
        <v>0</v>
      </c>
      <c r="AO35" s="16">
        <v>11</v>
      </c>
      <c r="AP35" s="16">
        <v>0</v>
      </c>
      <c r="AQ35" s="16">
        <v>0</v>
      </c>
      <c r="AR35" s="16">
        <v>0</v>
      </c>
      <c r="AS35" s="16">
        <v>2</v>
      </c>
      <c r="AT35" s="16">
        <v>0</v>
      </c>
      <c r="AU35" s="16">
        <v>0</v>
      </c>
      <c r="AV35" s="16">
        <v>9</v>
      </c>
      <c r="AW35" s="16">
        <v>22</v>
      </c>
      <c r="AX35" s="16">
        <v>0</v>
      </c>
      <c r="AY35" s="16">
        <v>4</v>
      </c>
      <c r="AZ35" s="16">
        <v>0</v>
      </c>
      <c r="BA35" s="16">
        <v>0</v>
      </c>
      <c r="BB35" s="16">
        <v>0</v>
      </c>
      <c r="BC35" s="16">
        <v>0</v>
      </c>
      <c r="BD35" s="16">
        <v>0</v>
      </c>
      <c r="BE35" s="16">
        <v>1</v>
      </c>
      <c r="BF35" s="16">
        <v>1</v>
      </c>
      <c r="BG35" s="16">
        <v>3</v>
      </c>
      <c r="BH35" s="16">
        <v>14</v>
      </c>
      <c r="BI35" s="16">
        <v>0</v>
      </c>
      <c r="BJ35" s="16">
        <v>4</v>
      </c>
      <c r="BK35" s="16">
        <v>0</v>
      </c>
      <c r="BL35" s="16">
        <v>0</v>
      </c>
      <c r="BM35" s="16">
        <v>0</v>
      </c>
      <c r="BN35" s="16">
        <v>0</v>
      </c>
      <c r="BO35" s="16">
        <v>0</v>
      </c>
      <c r="BP35" s="16">
        <v>0</v>
      </c>
    </row>
    <row r="36" spans="1:68" s="5" customFormat="1" ht="21.9" customHeight="1" x14ac:dyDescent="0.25">
      <c r="A36" s="125" t="s">
        <v>86</v>
      </c>
      <c r="B36" s="4"/>
      <c r="C36" s="47" t="s">
        <v>75</v>
      </c>
      <c r="D36" s="48"/>
      <c r="E36" s="16">
        <v>14727</v>
      </c>
      <c r="F36" s="16">
        <v>146</v>
      </c>
      <c r="G36" s="16">
        <v>104</v>
      </c>
      <c r="H36" s="16">
        <v>34</v>
      </c>
      <c r="I36" s="16">
        <v>3</v>
      </c>
      <c r="J36" s="16">
        <v>47</v>
      </c>
      <c r="K36" s="16">
        <v>21</v>
      </c>
      <c r="L36" s="16">
        <v>635</v>
      </c>
      <c r="M36" s="16">
        <v>333</v>
      </c>
      <c r="N36" s="16">
        <v>53</v>
      </c>
      <c r="O36" s="16">
        <v>129</v>
      </c>
      <c r="P36" s="16">
        <v>35</v>
      </c>
      <c r="Q36" s="16">
        <v>2</v>
      </c>
      <c r="R36" s="16">
        <v>122</v>
      </c>
      <c r="S36" s="16">
        <v>82</v>
      </c>
      <c r="T36" s="16">
        <v>27</v>
      </c>
      <c r="U36" s="16">
        <v>360</v>
      </c>
      <c r="V36" s="16">
        <v>684</v>
      </c>
      <c r="W36" s="16">
        <v>238</v>
      </c>
      <c r="X36" s="16">
        <v>89</v>
      </c>
      <c r="Y36" s="16">
        <v>31</v>
      </c>
      <c r="Z36" s="16">
        <v>209</v>
      </c>
      <c r="AA36" s="16">
        <v>140</v>
      </c>
      <c r="AB36" s="16">
        <v>50</v>
      </c>
      <c r="AC36" s="16">
        <v>79</v>
      </c>
      <c r="AD36" s="16">
        <v>77</v>
      </c>
      <c r="AE36" s="16">
        <v>1469</v>
      </c>
      <c r="AF36" s="16">
        <v>499</v>
      </c>
      <c r="AG36" s="16">
        <v>250</v>
      </c>
      <c r="AH36" s="16">
        <v>416</v>
      </c>
      <c r="AI36" s="16">
        <v>86</v>
      </c>
      <c r="AJ36" s="16">
        <v>152</v>
      </c>
      <c r="AK36" s="16">
        <v>0</v>
      </c>
      <c r="AL36" s="98">
        <v>50</v>
      </c>
      <c r="AM36" s="16">
        <v>17</v>
      </c>
      <c r="AN36" s="16">
        <v>12</v>
      </c>
      <c r="AO36" s="16">
        <v>99</v>
      </c>
      <c r="AP36" s="16">
        <v>307</v>
      </c>
      <c r="AQ36" s="16">
        <v>125</v>
      </c>
      <c r="AR36" s="16">
        <v>838</v>
      </c>
      <c r="AS36" s="16">
        <v>25</v>
      </c>
      <c r="AT36" s="16">
        <v>1</v>
      </c>
      <c r="AU36" s="16">
        <v>72</v>
      </c>
      <c r="AV36" s="16">
        <v>976</v>
      </c>
      <c r="AW36" s="16">
        <v>354</v>
      </c>
      <c r="AX36" s="16">
        <v>6</v>
      </c>
      <c r="AY36" s="16">
        <v>428</v>
      </c>
      <c r="AZ36" s="16">
        <v>355</v>
      </c>
      <c r="BA36" s="16">
        <v>1</v>
      </c>
      <c r="BB36" s="16">
        <v>138</v>
      </c>
      <c r="BC36" s="16">
        <v>26</v>
      </c>
      <c r="BD36" s="16">
        <v>109</v>
      </c>
      <c r="BE36" s="16">
        <v>345</v>
      </c>
      <c r="BF36" s="16">
        <v>81</v>
      </c>
      <c r="BG36" s="16">
        <v>222</v>
      </c>
      <c r="BH36" s="16">
        <v>633</v>
      </c>
      <c r="BI36" s="16">
        <v>847</v>
      </c>
      <c r="BJ36" s="16">
        <v>391</v>
      </c>
      <c r="BK36" s="16">
        <v>163</v>
      </c>
      <c r="BL36" s="16">
        <v>88</v>
      </c>
      <c r="BM36" s="16">
        <v>269</v>
      </c>
      <c r="BN36" s="16">
        <v>0</v>
      </c>
      <c r="BO36" s="16">
        <v>37</v>
      </c>
      <c r="BP36" s="16">
        <v>1110</v>
      </c>
    </row>
    <row r="37" spans="1:68" s="5" customFormat="1" ht="21.9" customHeight="1" x14ac:dyDescent="0.25">
      <c r="A37" s="125"/>
      <c r="B37" s="4"/>
      <c r="C37" s="47" t="s">
        <v>76</v>
      </c>
      <c r="D37" s="48"/>
      <c r="E37" s="16">
        <v>70</v>
      </c>
      <c r="F37" s="16">
        <v>0</v>
      </c>
      <c r="G37" s="16">
        <v>0</v>
      </c>
      <c r="H37" s="16">
        <v>0</v>
      </c>
      <c r="I37" s="16">
        <v>0</v>
      </c>
      <c r="J37" s="16">
        <v>0</v>
      </c>
      <c r="K37" s="16">
        <v>0</v>
      </c>
      <c r="L37" s="16">
        <v>0</v>
      </c>
      <c r="M37" s="16">
        <v>1</v>
      </c>
      <c r="N37" s="16">
        <v>0</v>
      </c>
      <c r="O37" s="16">
        <v>0</v>
      </c>
      <c r="P37" s="16">
        <v>0</v>
      </c>
      <c r="Q37" s="16">
        <v>0</v>
      </c>
      <c r="R37" s="16">
        <v>2</v>
      </c>
      <c r="S37" s="16">
        <v>1</v>
      </c>
      <c r="T37" s="16">
        <v>1</v>
      </c>
      <c r="U37" s="16">
        <v>0</v>
      </c>
      <c r="V37" s="16">
        <v>1</v>
      </c>
      <c r="W37" s="16">
        <v>2</v>
      </c>
      <c r="X37" s="16">
        <v>0</v>
      </c>
      <c r="Y37" s="16">
        <v>0</v>
      </c>
      <c r="Z37" s="16">
        <v>0</v>
      </c>
      <c r="AA37" s="16">
        <v>0</v>
      </c>
      <c r="AB37" s="16">
        <v>0</v>
      </c>
      <c r="AC37" s="16">
        <v>0</v>
      </c>
      <c r="AD37" s="16">
        <v>0</v>
      </c>
      <c r="AE37" s="16">
        <v>14</v>
      </c>
      <c r="AF37" s="16">
        <v>9</v>
      </c>
      <c r="AG37" s="16">
        <v>0</v>
      </c>
      <c r="AH37" s="16">
        <v>6</v>
      </c>
      <c r="AI37" s="16">
        <v>5</v>
      </c>
      <c r="AJ37" s="16">
        <v>0</v>
      </c>
      <c r="AK37" s="16">
        <v>0</v>
      </c>
      <c r="AL37" s="98">
        <v>0</v>
      </c>
      <c r="AM37" s="16">
        <v>0</v>
      </c>
      <c r="AN37" s="16">
        <v>0</v>
      </c>
      <c r="AO37" s="16">
        <v>2</v>
      </c>
      <c r="AP37" s="16">
        <v>0</v>
      </c>
      <c r="AQ37" s="16">
        <v>0</v>
      </c>
      <c r="AR37" s="16">
        <v>0</v>
      </c>
      <c r="AS37" s="16">
        <v>0</v>
      </c>
      <c r="AT37" s="16">
        <v>0</v>
      </c>
      <c r="AU37" s="16">
        <v>0</v>
      </c>
      <c r="AV37" s="16">
        <v>1</v>
      </c>
      <c r="AW37" s="16">
        <v>17</v>
      </c>
      <c r="AX37" s="16">
        <v>0</v>
      </c>
      <c r="AY37" s="16">
        <v>0</v>
      </c>
      <c r="AZ37" s="16">
        <v>0</v>
      </c>
      <c r="BA37" s="16">
        <v>0</v>
      </c>
      <c r="BB37" s="16">
        <v>0</v>
      </c>
      <c r="BC37" s="16">
        <v>0</v>
      </c>
      <c r="BD37" s="16">
        <v>0</v>
      </c>
      <c r="BE37" s="16">
        <v>0</v>
      </c>
      <c r="BF37" s="16">
        <v>0</v>
      </c>
      <c r="BG37" s="16">
        <v>2</v>
      </c>
      <c r="BH37" s="16">
        <v>2</v>
      </c>
      <c r="BI37" s="16">
        <v>0</v>
      </c>
      <c r="BJ37" s="16">
        <v>1</v>
      </c>
      <c r="BK37" s="16">
        <v>1</v>
      </c>
      <c r="BL37" s="16">
        <v>1</v>
      </c>
      <c r="BM37" s="16">
        <v>1</v>
      </c>
      <c r="BN37" s="16">
        <v>0</v>
      </c>
      <c r="BO37" s="16">
        <v>0</v>
      </c>
      <c r="BP37" s="16">
        <v>0</v>
      </c>
    </row>
    <row r="38" spans="1:68" s="5" customFormat="1" ht="21.9" customHeight="1" x14ac:dyDescent="0.25">
      <c r="A38" s="125" t="s">
        <v>87</v>
      </c>
      <c r="B38" s="4"/>
      <c r="C38" s="47" t="s">
        <v>75</v>
      </c>
      <c r="D38" s="48"/>
      <c r="E38" s="16">
        <v>23085</v>
      </c>
      <c r="F38" s="16">
        <v>288</v>
      </c>
      <c r="G38" s="16">
        <v>266</v>
      </c>
      <c r="H38" s="16">
        <v>25</v>
      </c>
      <c r="I38" s="16">
        <v>6</v>
      </c>
      <c r="J38" s="16">
        <v>9</v>
      </c>
      <c r="K38" s="16">
        <v>126</v>
      </c>
      <c r="L38" s="16">
        <v>1543</v>
      </c>
      <c r="M38" s="16">
        <v>396</v>
      </c>
      <c r="N38" s="16">
        <v>36</v>
      </c>
      <c r="O38" s="16">
        <v>247</v>
      </c>
      <c r="P38" s="16">
        <v>99</v>
      </c>
      <c r="Q38" s="16">
        <v>0</v>
      </c>
      <c r="R38" s="16">
        <v>232</v>
      </c>
      <c r="S38" s="16">
        <v>275</v>
      </c>
      <c r="T38" s="16">
        <v>91</v>
      </c>
      <c r="U38" s="16">
        <v>368</v>
      </c>
      <c r="V38" s="16">
        <v>1371</v>
      </c>
      <c r="W38" s="16">
        <v>178</v>
      </c>
      <c r="X38" s="16">
        <v>325</v>
      </c>
      <c r="Y38" s="16">
        <v>26</v>
      </c>
      <c r="Z38" s="16">
        <v>563</v>
      </c>
      <c r="AA38" s="16">
        <v>299</v>
      </c>
      <c r="AB38" s="16">
        <v>66</v>
      </c>
      <c r="AC38" s="16">
        <v>132</v>
      </c>
      <c r="AD38" s="16">
        <v>295</v>
      </c>
      <c r="AE38" s="16">
        <v>3527</v>
      </c>
      <c r="AF38" s="16">
        <v>404</v>
      </c>
      <c r="AG38" s="16">
        <v>449</v>
      </c>
      <c r="AH38" s="16">
        <v>972</v>
      </c>
      <c r="AI38" s="16">
        <v>539</v>
      </c>
      <c r="AJ38" s="16">
        <v>315</v>
      </c>
      <c r="AK38" s="16">
        <v>3</v>
      </c>
      <c r="AL38" s="98">
        <v>137</v>
      </c>
      <c r="AM38" s="16">
        <v>40</v>
      </c>
      <c r="AN38" s="16">
        <v>5</v>
      </c>
      <c r="AO38" s="16">
        <v>433</v>
      </c>
      <c r="AP38" s="16">
        <v>149</v>
      </c>
      <c r="AQ38" s="16">
        <v>72</v>
      </c>
      <c r="AR38" s="16">
        <v>172</v>
      </c>
      <c r="AS38" s="16">
        <v>142</v>
      </c>
      <c r="AT38" s="16">
        <v>14</v>
      </c>
      <c r="AU38" s="16">
        <v>90</v>
      </c>
      <c r="AV38" s="16">
        <v>2218</v>
      </c>
      <c r="AW38" s="16">
        <v>1123</v>
      </c>
      <c r="AX38" s="16">
        <v>4</v>
      </c>
      <c r="AY38" s="16">
        <v>718</v>
      </c>
      <c r="AZ38" s="16">
        <v>277</v>
      </c>
      <c r="BA38" s="16">
        <v>21</v>
      </c>
      <c r="BB38" s="16">
        <v>80</v>
      </c>
      <c r="BC38" s="16">
        <v>78</v>
      </c>
      <c r="BD38" s="16">
        <v>0</v>
      </c>
      <c r="BE38" s="16">
        <v>245</v>
      </c>
      <c r="BF38" s="16">
        <v>106</v>
      </c>
      <c r="BG38" s="16">
        <v>256</v>
      </c>
      <c r="BH38" s="16">
        <v>163</v>
      </c>
      <c r="BI38" s="16">
        <v>320</v>
      </c>
      <c r="BJ38" s="16">
        <v>676</v>
      </c>
      <c r="BK38" s="16">
        <v>280</v>
      </c>
      <c r="BL38" s="16">
        <v>216</v>
      </c>
      <c r="BM38" s="16">
        <v>437</v>
      </c>
      <c r="BN38" s="16">
        <v>5</v>
      </c>
      <c r="BO38" s="16">
        <v>29</v>
      </c>
      <c r="BP38" s="16">
        <v>1108</v>
      </c>
    </row>
    <row r="39" spans="1:68" s="5" customFormat="1" ht="21.9" customHeight="1" x14ac:dyDescent="0.25">
      <c r="A39" s="125"/>
      <c r="B39" s="4"/>
      <c r="C39" s="47" t="s">
        <v>76</v>
      </c>
      <c r="D39" s="48"/>
      <c r="E39" s="16">
        <v>233</v>
      </c>
      <c r="F39" s="16">
        <v>1</v>
      </c>
      <c r="G39" s="16">
        <v>1</v>
      </c>
      <c r="H39" s="16">
        <v>0</v>
      </c>
      <c r="I39" s="16">
        <v>0</v>
      </c>
      <c r="J39" s="16">
        <v>0</v>
      </c>
      <c r="K39" s="16">
        <v>3</v>
      </c>
      <c r="L39" s="16">
        <v>1</v>
      </c>
      <c r="M39" s="16">
        <v>0</v>
      </c>
      <c r="N39" s="16">
        <v>0</v>
      </c>
      <c r="O39" s="16">
        <v>0</v>
      </c>
      <c r="P39" s="16">
        <v>0</v>
      </c>
      <c r="Q39" s="16">
        <v>0</v>
      </c>
      <c r="R39" s="16">
        <v>1</v>
      </c>
      <c r="S39" s="16">
        <v>13</v>
      </c>
      <c r="T39" s="16">
        <v>0</v>
      </c>
      <c r="U39" s="16">
        <v>4</v>
      </c>
      <c r="V39" s="16">
        <v>10</v>
      </c>
      <c r="W39" s="16">
        <v>1</v>
      </c>
      <c r="X39" s="16">
        <v>0</v>
      </c>
      <c r="Y39" s="16">
        <v>2</v>
      </c>
      <c r="Z39" s="16">
        <v>5</v>
      </c>
      <c r="AA39" s="16">
        <v>2</v>
      </c>
      <c r="AB39" s="16">
        <v>2</v>
      </c>
      <c r="AC39" s="16">
        <v>2</v>
      </c>
      <c r="AD39" s="16">
        <v>7</v>
      </c>
      <c r="AE39" s="16">
        <v>39</v>
      </c>
      <c r="AF39" s="16">
        <v>15</v>
      </c>
      <c r="AG39" s="16">
        <v>3</v>
      </c>
      <c r="AH39" s="16">
        <v>8</v>
      </c>
      <c r="AI39" s="16">
        <v>15</v>
      </c>
      <c r="AJ39" s="16">
        <v>10</v>
      </c>
      <c r="AK39" s="16">
        <v>0</v>
      </c>
      <c r="AL39" s="98">
        <v>14</v>
      </c>
      <c r="AM39" s="16">
        <v>2</v>
      </c>
      <c r="AN39" s="16">
        <v>0</v>
      </c>
      <c r="AO39" s="16">
        <v>11</v>
      </c>
      <c r="AP39" s="16">
        <v>0</v>
      </c>
      <c r="AQ39" s="16">
        <v>0</v>
      </c>
      <c r="AR39" s="16">
        <v>0</v>
      </c>
      <c r="AS39" s="16">
        <v>11</v>
      </c>
      <c r="AT39" s="16">
        <v>1</v>
      </c>
      <c r="AU39" s="16">
        <v>0</v>
      </c>
      <c r="AV39" s="16">
        <v>9</v>
      </c>
      <c r="AW39" s="16">
        <v>1</v>
      </c>
      <c r="AX39" s="16">
        <v>0</v>
      </c>
      <c r="AY39" s="16">
        <v>0</v>
      </c>
      <c r="AZ39" s="16">
        <v>0</v>
      </c>
      <c r="BA39" s="16">
        <v>0</v>
      </c>
      <c r="BB39" s="16">
        <v>0</v>
      </c>
      <c r="BC39" s="16">
        <v>0</v>
      </c>
      <c r="BD39" s="16">
        <v>0</v>
      </c>
      <c r="BE39" s="16">
        <v>1</v>
      </c>
      <c r="BF39" s="16">
        <v>6</v>
      </c>
      <c r="BG39" s="16">
        <v>15</v>
      </c>
      <c r="BH39" s="16">
        <v>4</v>
      </c>
      <c r="BI39" s="16">
        <v>0</v>
      </c>
      <c r="BJ39" s="16">
        <v>1</v>
      </c>
      <c r="BK39" s="16">
        <v>3</v>
      </c>
      <c r="BL39" s="16">
        <v>0</v>
      </c>
      <c r="BM39" s="16">
        <v>1</v>
      </c>
      <c r="BN39" s="16">
        <v>0</v>
      </c>
      <c r="BO39" s="16">
        <v>0</v>
      </c>
      <c r="BP39" s="16">
        <v>8</v>
      </c>
    </row>
    <row r="40" spans="1:68" s="5" customFormat="1" ht="21.9" customHeight="1" x14ac:dyDescent="0.25">
      <c r="A40" s="125" t="s">
        <v>88</v>
      </c>
      <c r="C40" s="47" t="s">
        <v>75</v>
      </c>
      <c r="D40" s="48"/>
      <c r="E40" s="16">
        <v>10581</v>
      </c>
      <c r="F40" s="16">
        <v>150</v>
      </c>
      <c r="G40" s="16">
        <v>120</v>
      </c>
      <c r="H40" s="16">
        <v>41</v>
      </c>
      <c r="I40" s="16">
        <v>2</v>
      </c>
      <c r="J40" s="16">
        <v>14</v>
      </c>
      <c r="K40" s="16">
        <v>48</v>
      </c>
      <c r="L40" s="16">
        <v>780</v>
      </c>
      <c r="M40" s="16">
        <v>170</v>
      </c>
      <c r="N40" s="16">
        <v>26</v>
      </c>
      <c r="O40" s="16">
        <v>148</v>
      </c>
      <c r="P40" s="16">
        <v>27</v>
      </c>
      <c r="Q40" s="16">
        <v>0</v>
      </c>
      <c r="R40" s="16">
        <v>182</v>
      </c>
      <c r="S40" s="16">
        <v>94</v>
      </c>
      <c r="T40" s="16">
        <v>44</v>
      </c>
      <c r="U40" s="16">
        <v>224</v>
      </c>
      <c r="V40" s="16">
        <v>1890</v>
      </c>
      <c r="W40" s="16">
        <v>44</v>
      </c>
      <c r="X40" s="16">
        <v>193</v>
      </c>
      <c r="Y40" s="16">
        <v>9</v>
      </c>
      <c r="Z40" s="16">
        <v>163</v>
      </c>
      <c r="AA40" s="16">
        <v>93</v>
      </c>
      <c r="AB40" s="16">
        <v>43</v>
      </c>
      <c r="AC40" s="16">
        <v>190</v>
      </c>
      <c r="AD40" s="16">
        <v>24</v>
      </c>
      <c r="AE40" s="16">
        <v>389</v>
      </c>
      <c r="AF40" s="16">
        <v>217</v>
      </c>
      <c r="AG40" s="16">
        <v>104</v>
      </c>
      <c r="AH40" s="16">
        <v>370</v>
      </c>
      <c r="AI40" s="16">
        <v>52</v>
      </c>
      <c r="AJ40" s="16">
        <v>151</v>
      </c>
      <c r="AK40" s="16">
        <v>5</v>
      </c>
      <c r="AL40" s="98">
        <v>65</v>
      </c>
      <c r="AM40" s="16">
        <v>13</v>
      </c>
      <c r="AN40" s="16">
        <v>1</v>
      </c>
      <c r="AO40" s="16">
        <v>78</v>
      </c>
      <c r="AP40" s="16">
        <v>4</v>
      </c>
      <c r="AQ40" s="16">
        <v>3</v>
      </c>
      <c r="AR40" s="16">
        <v>12</v>
      </c>
      <c r="AS40" s="16">
        <v>140</v>
      </c>
      <c r="AT40" s="16">
        <v>35</v>
      </c>
      <c r="AU40" s="16">
        <v>74</v>
      </c>
      <c r="AV40" s="16">
        <v>585</v>
      </c>
      <c r="AW40" s="16">
        <v>183</v>
      </c>
      <c r="AX40" s="16">
        <v>12</v>
      </c>
      <c r="AY40" s="16">
        <v>646</v>
      </c>
      <c r="AZ40" s="16">
        <v>39</v>
      </c>
      <c r="BA40" s="16">
        <v>2</v>
      </c>
      <c r="BB40" s="16">
        <v>35</v>
      </c>
      <c r="BC40" s="16">
        <v>56</v>
      </c>
      <c r="BD40" s="16">
        <v>22</v>
      </c>
      <c r="BE40" s="16">
        <v>866</v>
      </c>
      <c r="BF40" s="16">
        <v>155</v>
      </c>
      <c r="BG40" s="16">
        <v>157</v>
      </c>
      <c r="BH40" s="16">
        <v>26</v>
      </c>
      <c r="BI40" s="16">
        <v>474</v>
      </c>
      <c r="BJ40" s="16">
        <v>107</v>
      </c>
      <c r="BK40" s="16">
        <v>276</v>
      </c>
      <c r="BL40" s="16">
        <v>66</v>
      </c>
      <c r="BM40" s="16">
        <v>16</v>
      </c>
      <c r="BN40" s="16">
        <v>210</v>
      </c>
      <c r="BO40" s="16">
        <v>21</v>
      </c>
      <c r="BP40" s="16">
        <v>195</v>
      </c>
    </row>
    <row r="41" spans="1:68" s="5" customFormat="1" ht="21.9" customHeight="1" x14ac:dyDescent="0.25">
      <c r="A41" s="125"/>
      <c r="C41" s="47" t="s">
        <v>76</v>
      </c>
      <c r="D41" s="48"/>
      <c r="E41" s="16">
        <v>124</v>
      </c>
      <c r="F41" s="16">
        <v>0</v>
      </c>
      <c r="G41" s="16">
        <v>1</v>
      </c>
      <c r="H41" s="16">
        <v>0</v>
      </c>
      <c r="I41" s="16">
        <v>0</v>
      </c>
      <c r="J41" s="16">
        <v>0</v>
      </c>
      <c r="K41" s="16">
        <v>0</v>
      </c>
      <c r="L41" s="16">
        <v>2</v>
      </c>
      <c r="M41" s="16">
        <v>1</v>
      </c>
      <c r="N41" s="16">
        <v>0</v>
      </c>
      <c r="O41" s="16">
        <v>1</v>
      </c>
      <c r="P41" s="16">
        <v>0</v>
      </c>
      <c r="Q41" s="16">
        <v>0</v>
      </c>
      <c r="R41" s="16">
        <v>6</v>
      </c>
      <c r="S41" s="16">
        <v>4</v>
      </c>
      <c r="T41" s="16">
        <v>1</v>
      </c>
      <c r="U41" s="16">
        <v>1</v>
      </c>
      <c r="V41" s="16">
        <v>3</v>
      </c>
      <c r="W41" s="16">
        <v>1</v>
      </c>
      <c r="X41" s="16">
        <v>6</v>
      </c>
      <c r="Y41" s="16">
        <v>1</v>
      </c>
      <c r="Z41" s="16">
        <v>3</v>
      </c>
      <c r="AA41" s="16">
        <v>0</v>
      </c>
      <c r="AB41" s="16">
        <v>0</v>
      </c>
      <c r="AC41" s="16">
        <v>6</v>
      </c>
      <c r="AD41" s="16">
        <v>1</v>
      </c>
      <c r="AE41" s="16">
        <v>9</v>
      </c>
      <c r="AF41" s="16">
        <v>13</v>
      </c>
      <c r="AG41" s="16">
        <v>0</v>
      </c>
      <c r="AH41" s="16">
        <v>13</v>
      </c>
      <c r="AI41" s="16">
        <v>6</v>
      </c>
      <c r="AJ41" s="16">
        <v>4</v>
      </c>
      <c r="AK41" s="16">
        <v>0</v>
      </c>
      <c r="AL41" s="98">
        <v>1</v>
      </c>
      <c r="AM41" s="16">
        <v>0</v>
      </c>
      <c r="AN41" s="16">
        <v>0</v>
      </c>
      <c r="AO41" s="16">
        <v>2</v>
      </c>
      <c r="AP41" s="16">
        <v>0</v>
      </c>
      <c r="AQ41" s="16">
        <v>0</v>
      </c>
      <c r="AR41" s="16">
        <v>0</v>
      </c>
      <c r="AS41" s="16">
        <v>2</v>
      </c>
      <c r="AT41" s="16">
        <v>0</v>
      </c>
      <c r="AU41" s="16">
        <v>1</v>
      </c>
      <c r="AV41" s="16">
        <v>13</v>
      </c>
      <c r="AW41" s="16">
        <v>0</v>
      </c>
      <c r="AX41" s="16">
        <v>0</v>
      </c>
      <c r="AY41" s="16">
        <v>0</v>
      </c>
      <c r="AZ41" s="16">
        <v>0</v>
      </c>
      <c r="BA41" s="16">
        <v>0</v>
      </c>
      <c r="BB41" s="16">
        <v>0</v>
      </c>
      <c r="BC41" s="16">
        <v>0</v>
      </c>
      <c r="BD41" s="16">
        <v>0</v>
      </c>
      <c r="BE41" s="16">
        <v>0</v>
      </c>
      <c r="BF41" s="16">
        <v>3</v>
      </c>
      <c r="BG41" s="16">
        <v>12</v>
      </c>
      <c r="BH41" s="16">
        <v>0</v>
      </c>
      <c r="BI41" s="16">
        <v>0</v>
      </c>
      <c r="BJ41" s="16">
        <v>2</v>
      </c>
      <c r="BK41" s="16">
        <v>0</v>
      </c>
      <c r="BL41" s="16">
        <v>0</v>
      </c>
      <c r="BM41" s="16">
        <v>0</v>
      </c>
      <c r="BN41" s="16">
        <v>3</v>
      </c>
      <c r="BO41" s="16">
        <v>0</v>
      </c>
      <c r="BP41" s="16">
        <v>2</v>
      </c>
    </row>
    <row r="42" spans="1:68" s="5" customFormat="1" ht="21.9" customHeight="1" x14ac:dyDescent="0.25">
      <c r="A42" s="125" t="s">
        <v>259</v>
      </c>
      <c r="B42" s="4"/>
      <c r="C42" s="47" t="s">
        <v>75</v>
      </c>
      <c r="D42" s="48"/>
      <c r="E42" s="16">
        <v>13036</v>
      </c>
      <c r="F42" s="16">
        <v>58</v>
      </c>
      <c r="G42" s="16">
        <v>66</v>
      </c>
      <c r="H42" s="16">
        <v>17</v>
      </c>
      <c r="I42" s="16">
        <v>32</v>
      </c>
      <c r="J42" s="16">
        <v>99</v>
      </c>
      <c r="K42" s="16">
        <v>76</v>
      </c>
      <c r="L42" s="16">
        <v>442</v>
      </c>
      <c r="M42" s="16">
        <v>126</v>
      </c>
      <c r="N42" s="16">
        <v>25</v>
      </c>
      <c r="O42" s="16">
        <v>54</v>
      </c>
      <c r="P42" s="16">
        <v>15</v>
      </c>
      <c r="Q42" s="16">
        <v>1</v>
      </c>
      <c r="R42" s="16">
        <v>45</v>
      </c>
      <c r="S42" s="16">
        <v>133</v>
      </c>
      <c r="T42" s="16">
        <v>74</v>
      </c>
      <c r="U42" s="16">
        <v>626</v>
      </c>
      <c r="V42" s="16">
        <v>1021</v>
      </c>
      <c r="W42" s="16">
        <v>72</v>
      </c>
      <c r="X42" s="16">
        <v>76</v>
      </c>
      <c r="Y42" s="16">
        <v>72</v>
      </c>
      <c r="Z42" s="16">
        <v>235</v>
      </c>
      <c r="AA42" s="16">
        <v>79</v>
      </c>
      <c r="AB42" s="16">
        <v>115</v>
      </c>
      <c r="AC42" s="16">
        <v>106</v>
      </c>
      <c r="AD42" s="16">
        <v>135</v>
      </c>
      <c r="AE42" s="16">
        <v>1691</v>
      </c>
      <c r="AF42" s="16">
        <v>665</v>
      </c>
      <c r="AG42" s="16">
        <v>338</v>
      </c>
      <c r="AH42" s="16">
        <v>584</v>
      </c>
      <c r="AI42" s="16">
        <v>67</v>
      </c>
      <c r="AJ42" s="16">
        <v>268</v>
      </c>
      <c r="AK42" s="16">
        <v>27</v>
      </c>
      <c r="AL42" s="98">
        <v>148</v>
      </c>
      <c r="AM42" s="16">
        <v>23</v>
      </c>
      <c r="AN42" s="16">
        <v>4</v>
      </c>
      <c r="AO42" s="16">
        <v>131</v>
      </c>
      <c r="AP42" s="16">
        <v>14</v>
      </c>
      <c r="AQ42" s="16">
        <v>10</v>
      </c>
      <c r="AR42" s="16">
        <v>7</v>
      </c>
      <c r="AS42" s="16">
        <v>55</v>
      </c>
      <c r="AT42" s="16">
        <v>18</v>
      </c>
      <c r="AU42" s="16">
        <v>53</v>
      </c>
      <c r="AV42" s="16">
        <v>748</v>
      </c>
      <c r="AW42" s="16">
        <v>66</v>
      </c>
      <c r="AX42" s="16">
        <v>2</v>
      </c>
      <c r="AY42" s="16">
        <v>206</v>
      </c>
      <c r="AZ42" s="16">
        <v>19</v>
      </c>
      <c r="BA42" s="16">
        <v>3</v>
      </c>
      <c r="BB42" s="16">
        <v>114</v>
      </c>
      <c r="BC42" s="16">
        <v>26</v>
      </c>
      <c r="BD42" s="16">
        <v>0</v>
      </c>
      <c r="BE42" s="16">
        <v>154</v>
      </c>
      <c r="BF42" s="16">
        <v>148</v>
      </c>
      <c r="BG42" s="16">
        <v>211</v>
      </c>
      <c r="BH42" s="16">
        <v>758</v>
      </c>
      <c r="BI42" s="16">
        <v>208</v>
      </c>
      <c r="BJ42" s="16">
        <v>65</v>
      </c>
      <c r="BK42" s="16">
        <v>22</v>
      </c>
      <c r="BL42" s="16">
        <v>33</v>
      </c>
      <c r="BM42" s="16">
        <v>143</v>
      </c>
      <c r="BN42" s="16">
        <v>0</v>
      </c>
      <c r="BO42" s="16">
        <v>34</v>
      </c>
      <c r="BP42" s="16">
        <v>2173</v>
      </c>
    </row>
    <row r="43" spans="1:68" s="5" customFormat="1" ht="21.9" customHeight="1" x14ac:dyDescent="0.25">
      <c r="A43" s="125"/>
      <c r="B43" s="4"/>
      <c r="C43" s="47" t="s">
        <v>76</v>
      </c>
      <c r="D43" s="48"/>
      <c r="E43" s="16">
        <v>236</v>
      </c>
      <c r="F43" s="16">
        <v>2</v>
      </c>
      <c r="G43" s="16">
        <v>0</v>
      </c>
      <c r="H43" s="16">
        <v>0</v>
      </c>
      <c r="I43" s="16">
        <v>0</v>
      </c>
      <c r="J43" s="16">
        <v>0</v>
      </c>
      <c r="K43" s="16">
        <v>5</v>
      </c>
      <c r="L43" s="16">
        <v>4</v>
      </c>
      <c r="M43" s="16">
        <v>2</v>
      </c>
      <c r="N43" s="16">
        <v>0</v>
      </c>
      <c r="O43" s="16">
        <v>0</v>
      </c>
      <c r="P43" s="16">
        <v>1</v>
      </c>
      <c r="Q43" s="16">
        <v>0</v>
      </c>
      <c r="R43" s="16">
        <v>2</v>
      </c>
      <c r="S43" s="16">
        <v>5</v>
      </c>
      <c r="T43" s="16">
        <v>2</v>
      </c>
      <c r="U43" s="16">
        <v>11</v>
      </c>
      <c r="V43" s="16">
        <v>4</v>
      </c>
      <c r="W43" s="16">
        <v>0</v>
      </c>
      <c r="X43" s="16">
        <v>0</v>
      </c>
      <c r="Y43" s="16">
        <v>1</v>
      </c>
      <c r="Z43" s="16">
        <v>7</v>
      </c>
      <c r="AA43" s="16">
        <v>1</v>
      </c>
      <c r="AB43" s="16">
        <v>4</v>
      </c>
      <c r="AC43" s="16">
        <v>1</v>
      </c>
      <c r="AD43" s="16">
        <v>8</v>
      </c>
      <c r="AE43" s="16">
        <v>17</v>
      </c>
      <c r="AF43" s="16">
        <v>3</v>
      </c>
      <c r="AG43" s="16">
        <v>0</v>
      </c>
      <c r="AH43" s="16">
        <v>30</v>
      </c>
      <c r="AI43" s="16">
        <v>2</v>
      </c>
      <c r="AJ43" s="16">
        <v>6</v>
      </c>
      <c r="AK43" s="16">
        <v>1</v>
      </c>
      <c r="AL43" s="98">
        <v>3</v>
      </c>
      <c r="AM43" s="16">
        <v>0</v>
      </c>
      <c r="AN43" s="16">
        <v>0</v>
      </c>
      <c r="AO43" s="16">
        <v>5</v>
      </c>
      <c r="AP43" s="16">
        <v>0</v>
      </c>
      <c r="AQ43" s="16">
        <v>0</v>
      </c>
      <c r="AR43" s="16">
        <v>0</v>
      </c>
      <c r="AS43" s="16">
        <v>12</v>
      </c>
      <c r="AT43" s="16">
        <v>0</v>
      </c>
      <c r="AU43" s="16">
        <v>0</v>
      </c>
      <c r="AV43" s="16">
        <v>30</v>
      </c>
      <c r="AW43" s="16">
        <v>0</v>
      </c>
      <c r="AX43" s="16">
        <v>0</v>
      </c>
      <c r="AY43" s="16">
        <v>0</v>
      </c>
      <c r="AZ43" s="16">
        <v>0</v>
      </c>
      <c r="BA43" s="16">
        <v>0</v>
      </c>
      <c r="BB43" s="16">
        <v>3</v>
      </c>
      <c r="BC43" s="16">
        <v>0</v>
      </c>
      <c r="BD43" s="16">
        <v>0</v>
      </c>
      <c r="BE43" s="16">
        <v>3</v>
      </c>
      <c r="BF43" s="16">
        <v>1</v>
      </c>
      <c r="BG43" s="16">
        <v>1</v>
      </c>
      <c r="BH43" s="16">
        <v>5</v>
      </c>
      <c r="BI43" s="16">
        <v>0</v>
      </c>
      <c r="BJ43" s="16">
        <v>2</v>
      </c>
      <c r="BK43" s="16">
        <v>0</v>
      </c>
      <c r="BL43" s="16">
        <v>4</v>
      </c>
      <c r="BM43" s="16">
        <v>0</v>
      </c>
      <c r="BN43" s="16">
        <v>0</v>
      </c>
      <c r="BO43" s="16">
        <v>0</v>
      </c>
      <c r="BP43" s="16">
        <v>48</v>
      </c>
    </row>
    <row r="44" spans="1:68" s="5" customFormat="1" ht="21.9" customHeight="1" x14ac:dyDescent="0.25">
      <c r="A44" s="125" t="s">
        <v>90</v>
      </c>
      <c r="B44" s="4"/>
      <c r="C44" s="47" t="s">
        <v>120</v>
      </c>
      <c r="D44" s="48"/>
      <c r="E44" s="16">
        <v>14179</v>
      </c>
      <c r="F44" s="16">
        <v>88</v>
      </c>
      <c r="G44" s="16">
        <v>50</v>
      </c>
      <c r="H44" s="16">
        <v>9</v>
      </c>
      <c r="I44" s="16">
        <v>1</v>
      </c>
      <c r="J44" s="16">
        <v>39</v>
      </c>
      <c r="K44" s="16">
        <v>31</v>
      </c>
      <c r="L44" s="16">
        <v>818</v>
      </c>
      <c r="M44" s="16">
        <v>94</v>
      </c>
      <c r="N44" s="16">
        <v>60</v>
      </c>
      <c r="O44" s="16">
        <v>34</v>
      </c>
      <c r="P44" s="16">
        <v>9</v>
      </c>
      <c r="Q44" s="16">
        <v>0</v>
      </c>
      <c r="R44" s="16">
        <v>111</v>
      </c>
      <c r="S44" s="16">
        <v>127</v>
      </c>
      <c r="T44" s="16">
        <v>61</v>
      </c>
      <c r="U44" s="16">
        <v>479</v>
      </c>
      <c r="V44" s="16">
        <v>449</v>
      </c>
      <c r="W44" s="16">
        <v>172</v>
      </c>
      <c r="X44" s="16">
        <v>159</v>
      </c>
      <c r="Y44" s="16">
        <v>263</v>
      </c>
      <c r="Z44" s="16">
        <v>1118</v>
      </c>
      <c r="AA44" s="16">
        <v>191</v>
      </c>
      <c r="AB44" s="16">
        <v>130</v>
      </c>
      <c r="AC44" s="16">
        <v>125</v>
      </c>
      <c r="AD44" s="16">
        <v>131</v>
      </c>
      <c r="AE44" s="16">
        <v>2373</v>
      </c>
      <c r="AF44" s="16">
        <v>952</v>
      </c>
      <c r="AG44" s="16">
        <v>609</v>
      </c>
      <c r="AH44" s="16">
        <v>562</v>
      </c>
      <c r="AI44" s="16">
        <v>61</v>
      </c>
      <c r="AJ44" s="16">
        <v>244</v>
      </c>
      <c r="AK44" s="16">
        <v>12</v>
      </c>
      <c r="AL44" s="98">
        <v>144</v>
      </c>
      <c r="AM44" s="16">
        <v>36</v>
      </c>
      <c r="AN44" s="16">
        <v>0</v>
      </c>
      <c r="AO44" s="16">
        <v>174</v>
      </c>
      <c r="AP44" s="16">
        <v>14</v>
      </c>
      <c r="AQ44" s="16">
        <v>7</v>
      </c>
      <c r="AR44" s="16">
        <v>2</v>
      </c>
      <c r="AS44" s="16">
        <v>104</v>
      </c>
      <c r="AT44" s="16">
        <v>7</v>
      </c>
      <c r="AU44" s="16">
        <v>11</v>
      </c>
      <c r="AV44" s="16">
        <v>1446</v>
      </c>
      <c r="AW44" s="16">
        <v>138</v>
      </c>
      <c r="AX44" s="16">
        <v>12</v>
      </c>
      <c r="AY44" s="16">
        <v>444</v>
      </c>
      <c r="AZ44" s="16">
        <v>127</v>
      </c>
      <c r="BA44" s="16">
        <v>67</v>
      </c>
      <c r="BB44" s="16">
        <v>53</v>
      </c>
      <c r="BC44" s="16">
        <v>50</v>
      </c>
      <c r="BD44" s="16">
        <v>0</v>
      </c>
      <c r="BE44" s="16">
        <v>205</v>
      </c>
      <c r="BF44" s="16">
        <v>131</v>
      </c>
      <c r="BG44" s="16">
        <v>265</v>
      </c>
      <c r="BH44" s="16">
        <v>62</v>
      </c>
      <c r="BI44" s="16">
        <v>211</v>
      </c>
      <c r="BJ44" s="16">
        <v>53</v>
      </c>
      <c r="BK44" s="16">
        <v>60</v>
      </c>
      <c r="BL44" s="16">
        <v>60</v>
      </c>
      <c r="BM44" s="16">
        <v>571</v>
      </c>
      <c r="BN44" s="16">
        <v>20</v>
      </c>
      <c r="BO44" s="16">
        <v>0</v>
      </c>
      <c r="BP44" s="16">
        <v>143</v>
      </c>
    </row>
    <row r="45" spans="1:68" s="5" customFormat="1" ht="21.9" customHeight="1" x14ac:dyDescent="0.25">
      <c r="A45" s="125"/>
      <c r="B45" s="4"/>
      <c r="C45" s="47" t="s">
        <v>76</v>
      </c>
      <c r="D45" s="48"/>
      <c r="E45" s="16">
        <v>226</v>
      </c>
      <c r="F45" s="16">
        <v>1</v>
      </c>
      <c r="G45" s="16">
        <v>0</v>
      </c>
      <c r="H45" s="16">
        <v>0</v>
      </c>
      <c r="I45" s="16">
        <v>0</v>
      </c>
      <c r="J45" s="16">
        <v>1</v>
      </c>
      <c r="K45" s="16">
        <v>1</v>
      </c>
      <c r="L45" s="16">
        <v>3</v>
      </c>
      <c r="M45" s="16">
        <v>0</v>
      </c>
      <c r="N45" s="16">
        <v>0</v>
      </c>
      <c r="O45" s="16">
        <v>2</v>
      </c>
      <c r="P45" s="16">
        <v>0</v>
      </c>
      <c r="Q45" s="16">
        <v>0</v>
      </c>
      <c r="R45" s="16">
        <v>1</v>
      </c>
      <c r="S45" s="16">
        <v>3</v>
      </c>
      <c r="T45" s="16">
        <v>1</v>
      </c>
      <c r="U45" s="16">
        <v>2</v>
      </c>
      <c r="V45" s="16">
        <v>16</v>
      </c>
      <c r="W45" s="16">
        <v>0</v>
      </c>
      <c r="X45" s="16">
        <v>1</v>
      </c>
      <c r="Y45" s="16">
        <v>3</v>
      </c>
      <c r="Z45" s="16">
        <v>1</v>
      </c>
      <c r="AA45" s="16">
        <v>1</v>
      </c>
      <c r="AB45" s="16">
        <v>0</v>
      </c>
      <c r="AC45" s="16">
        <v>2</v>
      </c>
      <c r="AD45" s="16">
        <v>5</v>
      </c>
      <c r="AE45" s="16">
        <v>25</v>
      </c>
      <c r="AF45" s="16">
        <v>33</v>
      </c>
      <c r="AG45" s="16">
        <v>4</v>
      </c>
      <c r="AH45" s="16">
        <v>22</v>
      </c>
      <c r="AI45" s="16">
        <v>2</v>
      </c>
      <c r="AJ45" s="16">
        <v>5</v>
      </c>
      <c r="AK45" s="16">
        <v>0</v>
      </c>
      <c r="AL45" s="98">
        <v>17</v>
      </c>
      <c r="AM45" s="16">
        <v>1</v>
      </c>
      <c r="AN45" s="16">
        <v>0</v>
      </c>
      <c r="AO45" s="16">
        <v>1</v>
      </c>
      <c r="AP45" s="16">
        <v>0</v>
      </c>
      <c r="AQ45" s="16">
        <v>0</v>
      </c>
      <c r="AR45" s="16">
        <v>1</v>
      </c>
      <c r="AS45" s="16">
        <v>23</v>
      </c>
      <c r="AT45" s="16">
        <v>0</v>
      </c>
      <c r="AU45" s="16">
        <v>0</v>
      </c>
      <c r="AV45" s="16">
        <v>26</v>
      </c>
      <c r="AW45" s="16">
        <v>0</v>
      </c>
      <c r="AX45" s="16">
        <v>0</v>
      </c>
      <c r="AY45" s="16">
        <v>1</v>
      </c>
      <c r="AZ45" s="16">
        <v>0</v>
      </c>
      <c r="BA45" s="16">
        <v>0</v>
      </c>
      <c r="BB45" s="16">
        <v>0</v>
      </c>
      <c r="BC45" s="16">
        <v>0</v>
      </c>
      <c r="BD45" s="16">
        <v>0</v>
      </c>
      <c r="BE45" s="16">
        <v>0</v>
      </c>
      <c r="BF45" s="16">
        <v>5</v>
      </c>
      <c r="BG45" s="16">
        <v>5</v>
      </c>
      <c r="BH45" s="16">
        <v>1</v>
      </c>
      <c r="BI45" s="16">
        <v>0</v>
      </c>
      <c r="BJ45" s="16">
        <v>0</v>
      </c>
      <c r="BK45" s="16">
        <v>0</v>
      </c>
      <c r="BL45" s="16">
        <v>5</v>
      </c>
      <c r="BM45" s="16">
        <v>0</v>
      </c>
      <c r="BN45" s="16">
        <v>0</v>
      </c>
      <c r="BO45" s="16">
        <v>0</v>
      </c>
      <c r="BP45" s="16">
        <v>5</v>
      </c>
    </row>
    <row r="46" spans="1:68" s="5" customFormat="1" ht="21.9" customHeight="1" x14ac:dyDescent="0.25">
      <c r="A46" s="125" t="s">
        <v>260</v>
      </c>
      <c r="B46" s="4"/>
      <c r="C46" s="47" t="s">
        <v>75</v>
      </c>
      <c r="D46" s="48"/>
      <c r="E46" s="16">
        <v>13760</v>
      </c>
      <c r="F46" s="16">
        <v>172</v>
      </c>
      <c r="G46" s="16">
        <v>177</v>
      </c>
      <c r="H46" s="16">
        <v>0</v>
      </c>
      <c r="I46" s="16">
        <v>0</v>
      </c>
      <c r="J46" s="16">
        <v>71</v>
      </c>
      <c r="K46" s="16">
        <v>4</v>
      </c>
      <c r="L46" s="16">
        <v>258</v>
      </c>
      <c r="M46" s="16">
        <v>49</v>
      </c>
      <c r="N46" s="16">
        <v>121</v>
      </c>
      <c r="O46" s="16">
        <v>95</v>
      </c>
      <c r="P46" s="16">
        <v>0</v>
      </c>
      <c r="Q46" s="16">
        <v>7</v>
      </c>
      <c r="R46" s="16">
        <v>83</v>
      </c>
      <c r="S46" s="16">
        <v>73</v>
      </c>
      <c r="T46" s="16">
        <v>490</v>
      </c>
      <c r="U46" s="16">
        <v>88</v>
      </c>
      <c r="V46" s="16">
        <v>232</v>
      </c>
      <c r="W46" s="16">
        <v>142</v>
      </c>
      <c r="X46" s="16">
        <v>52</v>
      </c>
      <c r="Y46" s="16">
        <v>17</v>
      </c>
      <c r="Z46" s="16">
        <v>867</v>
      </c>
      <c r="AA46" s="16">
        <v>235</v>
      </c>
      <c r="AB46" s="16">
        <v>211</v>
      </c>
      <c r="AC46" s="16">
        <v>43</v>
      </c>
      <c r="AD46" s="16">
        <v>13</v>
      </c>
      <c r="AE46" s="16">
        <v>1952</v>
      </c>
      <c r="AF46" s="16">
        <v>598</v>
      </c>
      <c r="AG46" s="16">
        <v>100</v>
      </c>
      <c r="AH46" s="16">
        <v>244</v>
      </c>
      <c r="AI46" s="16">
        <v>26</v>
      </c>
      <c r="AJ46" s="16">
        <v>490</v>
      </c>
      <c r="AK46" s="16">
        <v>20</v>
      </c>
      <c r="AL46" s="98">
        <v>12</v>
      </c>
      <c r="AM46" s="16">
        <v>56</v>
      </c>
      <c r="AN46" s="16">
        <v>1</v>
      </c>
      <c r="AO46" s="16">
        <v>332</v>
      </c>
      <c r="AP46" s="16">
        <v>15</v>
      </c>
      <c r="AQ46" s="16">
        <v>10</v>
      </c>
      <c r="AR46" s="16">
        <v>9</v>
      </c>
      <c r="AS46" s="16">
        <v>20</v>
      </c>
      <c r="AT46" s="16">
        <v>55</v>
      </c>
      <c r="AU46" s="16">
        <v>1133</v>
      </c>
      <c r="AV46" s="16">
        <v>1838</v>
      </c>
      <c r="AW46" s="16">
        <v>705</v>
      </c>
      <c r="AX46" s="16">
        <v>5</v>
      </c>
      <c r="AY46" s="16">
        <v>796</v>
      </c>
      <c r="AZ46" s="16">
        <v>14</v>
      </c>
      <c r="BA46" s="16">
        <v>2</v>
      </c>
      <c r="BB46" s="16">
        <v>10</v>
      </c>
      <c r="BC46" s="16">
        <v>5</v>
      </c>
      <c r="BD46" s="16">
        <v>35</v>
      </c>
      <c r="BE46" s="16">
        <v>309</v>
      </c>
      <c r="BF46" s="16">
        <v>372</v>
      </c>
      <c r="BG46" s="16">
        <v>101</v>
      </c>
      <c r="BH46" s="16">
        <v>2</v>
      </c>
      <c r="BI46" s="16">
        <v>103</v>
      </c>
      <c r="BJ46" s="16">
        <v>404</v>
      </c>
      <c r="BK46" s="16">
        <v>257</v>
      </c>
      <c r="BL46" s="16">
        <v>62</v>
      </c>
      <c r="BM46" s="16">
        <v>13</v>
      </c>
      <c r="BN46" s="16">
        <v>148</v>
      </c>
      <c r="BO46" s="16">
        <v>2</v>
      </c>
      <c r="BP46" s="16">
        <v>4</v>
      </c>
    </row>
    <row r="47" spans="1:68" s="5" customFormat="1" ht="21.9" customHeight="1" x14ac:dyDescent="0.25">
      <c r="A47" s="125"/>
      <c r="B47" s="4"/>
      <c r="C47" s="47" t="s">
        <v>76</v>
      </c>
      <c r="D47" s="48"/>
      <c r="E47" s="16">
        <v>93</v>
      </c>
      <c r="F47" s="16">
        <v>0</v>
      </c>
      <c r="G47" s="16">
        <v>0</v>
      </c>
      <c r="H47" s="16">
        <v>0</v>
      </c>
      <c r="I47" s="16">
        <v>0</v>
      </c>
      <c r="J47" s="16">
        <v>0</v>
      </c>
      <c r="K47" s="16">
        <v>0</v>
      </c>
      <c r="L47" s="16">
        <v>0</v>
      </c>
      <c r="M47" s="16">
        <v>0</v>
      </c>
      <c r="N47" s="16">
        <v>0</v>
      </c>
      <c r="O47" s="16">
        <v>5</v>
      </c>
      <c r="P47" s="16">
        <v>0</v>
      </c>
      <c r="Q47" s="16">
        <v>0</v>
      </c>
      <c r="R47" s="16">
        <v>9</v>
      </c>
      <c r="S47" s="16">
        <v>7</v>
      </c>
      <c r="T47" s="16">
        <v>6</v>
      </c>
      <c r="U47" s="16">
        <v>1</v>
      </c>
      <c r="V47" s="16">
        <v>2</v>
      </c>
      <c r="W47" s="16">
        <v>0</v>
      </c>
      <c r="X47" s="16">
        <v>0</v>
      </c>
      <c r="Y47" s="16">
        <v>1</v>
      </c>
      <c r="Z47" s="16">
        <v>0</v>
      </c>
      <c r="AA47" s="16">
        <v>0</v>
      </c>
      <c r="AB47" s="16">
        <v>0</v>
      </c>
      <c r="AC47" s="16">
        <v>4</v>
      </c>
      <c r="AD47" s="16">
        <v>1</v>
      </c>
      <c r="AE47" s="16">
        <v>13</v>
      </c>
      <c r="AF47" s="16">
        <v>0</v>
      </c>
      <c r="AG47" s="16">
        <v>3</v>
      </c>
      <c r="AH47" s="16">
        <v>21</v>
      </c>
      <c r="AI47" s="16">
        <v>1</v>
      </c>
      <c r="AJ47" s="16">
        <v>1</v>
      </c>
      <c r="AK47" s="16">
        <v>0</v>
      </c>
      <c r="AL47" s="98">
        <v>0</v>
      </c>
      <c r="AM47" s="16">
        <v>1</v>
      </c>
      <c r="AN47" s="16">
        <v>1</v>
      </c>
      <c r="AO47" s="16">
        <v>1</v>
      </c>
      <c r="AP47" s="16">
        <v>0</v>
      </c>
      <c r="AQ47" s="16">
        <v>0</v>
      </c>
      <c r="AR47" s="16">
        <v>0</v>
      </c>
      <c r="AS47" s="16">
        <v>4</v>
      </c>
      <c r="AT47" s="16">
        <v>1</v>
      </c>
      <c r="AU47" s="16">
        <v>0</v>
      </c>
      <c r="AV47" s="16">
        <v>7</v>
      </c>
      <c r="AW47" s="16">
        <v>0</v>
      </c>
      <c r="AX47" s="16">
        <v>0</v>
      </c>
      <c r="AY47" s="16">
        <v>1</v>
      </c>
      <c r="AZ47" s="16">
        <v>0</v>
      </c>
      <c r="BA47" s="16">
        <v>0</v>
      </c>
      <c r="BB47" s="16">
        <v>0</v>
      </c>
      <c r="BC47" s="16">
        <v>0</v>
      </c>
      <c r="BD47" s="16">
        <v>0</v>
      </c>
      <c r="BE47" s="16">
        <v>0</v>
      </c>
      <c r="BF47" s="16">
        <v>0</v>
      </c>
      <c r="BG47" s="16">
        <v>0</v>
      </c>
      <c r="BH47" s="16">
        <v>0</v>
      </c>
      <c r="BI47" s="16">
        <v>0</v>
      </c>
      <c r="BJ47" s="16">
        <v>0</v>
      </c>
      <c r="BK47" s="16">
        <v>0</v>
      </c>
      <c r="BL47" s="16">
        <v>1</v>
      </c>
      <c r="BM47" s="16">
        <v>0</v>
      </c>
      <c r="BN47" s="16">
        <v>0</v>
      </c>
      <c r="BO47" s="16">
        <v>0</v>
      </c>
      <c r="BP47" s="16">
        <v>1</v>
      </c>
    </row>
    <row r="48" spans="1:68" s="5" customFormat="1" ht="21.9" customHeight="1" x14ac:dyDescent="0.25">
      <c r="A48" s="125" t="s">
        <v>92</v>
      </c>
      <c r="B48" s="4"/>
      <c r="C48" s="47" t="s">
        <v>75</v>
      </c>
      <c r="D48" s="48"/>
      <c r="E48" s="16">
        <v>7657</v>
      </c>
      <c r="F48" s="16">
        <v>30</v>
      </c>
      <c r="G48" s="16">
        <v>33</v>
      </c>
      <c r="H48" s="16">
        <v>5</v>
      </c>
      <c r="I48" s="16">
        <v>0</v>
      </c>
      <c r="J48" s="16">
        <v>27</v>
      </c>
      <c r="K48" s="16">
        <v>18</v>
      </c>
      <c r="L48" s="16">
        <v>558</v>
      </c>
      <c r="M48" s="16">
        <v>59</v>
      </c>
      <c r="N48" s="16">
        <v>0</v>
      </c>
      <c r="O48" s="16">
        <v>42</v>
      </c>
      <c r="P48" s="16">
        <v>5</v>
      </c>
      <c r="Q48" s="16">
        <v>0</v>
      </c>
      <c r="R48" s="16">
        <v>97</v>
      </c>
      <c r="S48" s="16">
        <v>78</v>
      </c>
      <c r="T48" s="16">
        <v>1</v>
      </c>
      <c r="U48" s="16">
        <v>124</v>
      </c>
      <c r="V48" s="16">
        <v>677</v>
      </c>
      <c r="W48" s="16">
        <v>22</v>
      </c>
      <c r="X48" s="16">
        <v>125</v>
      </c>
      <c r="Y48" s="16">
        <v>95</v>
      </c>
      <c r="Z48" s="16">
        <v>11</v>
      </c>
      <c r="AA48" s="16">
        <v>162</v>
      </c>
      <c r="AB48" s="16">
        <v>11</v>
      </c>
      <c r="AC48" s="16">
        <v>23</v>
      </c>
      <c r="AD48" s="16">
        <v>60</v>
      </c>
      <c r="AE48" s="16">
        <v>994</v>
      </c>
      <c r="AF48" s="16">
        <v>256</v>
      </c>
      <c r="AG48" s="16">
        <v>129</v>
      </c>
      <c r="AH48" s="16">
        <v>482</v>
      </c>
      <c r="AI48" s="16">
        <v>69</v>
      </c>
      <c r="AJ48" s="16">
        <v>178</v>
      </c>
      <c r="AK48" s="16">
        <v>25</v>
      </c>
      <c r="AL48" s="98">
        <v>53</v>
      </c>
      <c r="AM48" s="16">
        <v>5</v>
      </c>
      <c r="AN48" s="16">
        <v>6</v>
      </c>
      <c r="AO48" s="16">
        <v>85</v>
      </c>
      <c r="AP48" s="16">
        <v>12</v>
      </c>
      <c r="AQ48" s="16">
        <v>20</v>
      </c>
      <c r="AR48" s="16">
        <v>140</v>
      </c>
      <c r="AS48" s="16">
        <v>33</v>
      </c>
      <c r="AT48" s="16">
        <v>17</v>
      </c>
      <c r="AU48" s="16">
        <v>4</v>
      </c>
      <c r="AV48" s="16">
        <v>141</v>
      </c>
      <c r="AW48" s="16">
        <v>21</v>
      </c>
      <c r="AX48" s="16">
        <v>0</v>
      </c>
      <c r="AY48" s="16">
        <v>32</v>
      </c>
      <c r="AZ48" s="16">
        <v>149</v>
      </c>
      <c r="BA48" s="16">
        <v>0</v>
      </c>
      <c r="BB48" s="16">
        <v>94</v>
      </c>
      <c r="BC48" s="16">
        <v>42</v>
      </c>
      <c r="BD48" s="16">
        <v>0</v>
      </c>
      <c r="BE48" s="16">
        <v>29</v>
      </c>
      <c r="BF48" s="16">
        <v>69</v>
      </c>
      <c r="BG48" s="16">
        <v>37</v>
      </c>
      <c r="BH48" s="16">
        <v>376</v>
      </c>
      <c r="BI48" s="16">
        <v>175</v>
      </c>
      <c r="BJ48" s="16">
        <v>568</v>
      </c>
      <c r="BK48" s="16">
        <v>250</v>
      </c>
      <c r="BL48" s="16">
        <v>684</v>
      </c>
      <c r="BM48" s="16">
        <v>175</v>
      </c>
      <c r="BN48" s="16">
        <v>0</v>
      </c>
      <c r="BO48" s="16">
        <v>3</v>
      </c>
      <c r="BP48" s="16">
        <v>41</v>
      </c>
    </row>
    <row r="49" spans="1:192" s="5" customFormat="1" ht="21.9" customHeight="1" x14ac:dyDescent="0.25">
      <c r="A49" s="125"/>
      <c r="B49" s="4"/>
      <c r="C49" s="47" t="s">
        <v>76</v>
      </c>
      <c r="D49" s="48"/>
      <c r="E49" s="16">
        <v>61</v>
      </c>
      <c r="F49" s="16">
        <v>0</v>
      </c>
      <c r="G49" s="16">
        <v>0</v>
      </c>
      <c r="H49" s="16">
        <v>0</v>
      </c>
      <c r="I49" s="16">
        <v>0</v>
      </c>
      <c r="J49" s="16">
        <v>0</v>
      </c>
      <c r="K49" s="16">
        <v>0</v>
      </c>
      <c r="L49" s="16">
        <v>2</v>
      </c>
      <c r="M49" s="16">
        <v>1</v>
      </c>
      <c r="N49" s="16">
        <v>0</v>
      </c>
      <c r="O49" s="16">
        <v>0</v>
      </c>
      <c r="P49" s="16">
        <v>1</v>
      </c>
      <c r="Q49" s="16">
        <v>0</v>
      </c>
      <c r="R49" s="16">
        <v>2</v>
      </c>
      <c r="S49" s="16">
        <v>1</v>
      </c>
      <c r="T49" s="16">
        <v>0</v>
      </c>
      <c r="U49" s="16">
        <v>1</v>
      </c>
      <c r="V49" s="16">
        <v>0</v>
      </c>
      <c r="W49" s="16">
        <v>0</v>
      </c>
      <c r="X49" s="16">
        <v>2</v>
      </c>
      <c r="Y49" s="16">
        <v>1</v>
      </c>
      <c r="Z49" s="16">
        <v>0</v>
      </c>
      <c r="AA49" s="16">
        <v>0</v>
      </c>
      <c r="AB49" s="16">
        <v>0</v>
      </c>
      <c r="AC49" s="16">
        <v>0</v>
      </c>
      <c r="AD49" s="16">
        <v>0</v>
      </c>
      <c r="AE49" s="16">
        <v>9</v>
      </c>
      <c r="AF49" s="16">
        <v>2</v>
      </c>
      <c r="AG49" s="16">
        <v>0</v>
      </c>
      <c r="AH49" s="16">
        <v>0</v>
      </c>
      <c r="AI49" s="16">
        <v>5</v>
      </c>
      <c r="AJ49" s="16">
        <v>5</v>
      </c>
      <c r="AK49" s="16">
        <v>0</v>
      </c>
      <c r="AL49" s="98">
        <v>0</v>
      </c>
      <c r="AM49" s="16">
        <v>0</v>
      </c>
      <c r="AN49" s="16">
        <v>0</v>
      </c>
      <c r="AO49" s="16">
        <v>0</v>
      </c>
      <c r="AP49" s="16">
        <v>0</v>
      </c>
      <c r="AQ49" s="16">
        <v>0</v>
      </c>
      <c r="AR49" s="16">
        <v>0</v>
      </c>
      <c r="AS49" s="16">
        <v>7</v>
      </c>
      <c r="AT49" s="16">
        <v>0</v>
      </c>
      <c r="AU49" s="16">
        <v>0</v>
      </c>
      <c r="AV49" s="16">
        <v>4</v>
      </c>
      <c r="AW49" s="16">
        <v>0</v>
      </c>
      <c r="AX49" s="16">
        <v>0</v>
      </c>
      <c r="AY49" s="16">
        <v>0</v>
      </c>
      <c r="AZ49" s="16">
        <v>0</v>
      </c>
      <c r="BA49" s="16">
        <v>0</v>
      </c>
      <c r="BB49" s="16">
        <v>0</v>
      </c>
      <c r="BC49" s="16">
        <v>1</v>
      </c>
      <c r="BD49" s="16">
        <v>0</v>
      </c>
      <c r="BE49" s="16">
        <v>0</v>
      </c>
      <c r="BF49" s="16">
        <v>1</v>
      </c>
      <c r="BG49" s="16">
        <v>2</v>
      </c>
      <c r="BH49" s="16">
        <v>0</v>
      </c>
      <c r="BI49" s="16">
        <v>0</v>
      </c>
      <c r="BJ49" s="16">
        <v>12</v>
      </c>
      <c r="BK49" s="16">
        <v>2</v>
      </c>
      <c r="BL49" s="16">
        <v>0</v>
      </c>
      <c r="BM49" s="16">
        <v>0</v>
      </c>
      <c r="BN49" s="16">
        <v>0</v>
      </c>
      <c r="BO49" s="16">
        <v>0</v>
      </c>
      <c r="BP49" s="16">
        <v>0</v>
      </c>
    </row>
    <row r="50" spans="1:192" s="5" customFormat="1" ht="21.9" customHeight="1" x14ac:dyDescent="0.25">
      <c r="A50" s="125" t="s">
        <v>93</v>
      </c>
      <c r="C50" s="47" t="s">
        <v>75</v>
      </c>
      <c r="D50" s="48"/>
      <c r="E50" s="16">
        <v>13121</v>
      </c>
      <c r="F50" s="16">
        <v>108</v>
      </c>
      <c r="G50" s="16">
        <v>24</v>
      </c>
      <c r="H50" s="16">
        <v>3</v>
      </c>
      <c r="I50" s="16">
        <v>0</v>
      </c>
      <c r="J50" s="16">
        <v>6</v>
      </c>
      <c r="K50" s="16">
        <v>75</v>
      </c>
      <c r="L50" s="16">
        <v>556</v>
      </c>
      <c r="M50" s="16">
        <v>236</v>
      </c>
      <c r="N50" s="16">
        <v>8</v>
      </c>
      <c r="O50" s="16">
        <v>394</v>
      </c>
      <c r="P50" s="16">
        <v>65</v>
      </c>
      <c r="Q50" s="16">
        <v>0</v>
      </c>
      <c r="R50" s="16">
        <v>207</v>
      </c>
      <c r="S50" s="16">
        <v>153</v>
      </c>
      <c r="T50" s="16">
        <v>11</v>
      </c>
      <c r="U50" s="16">
        <v>192</v>
      </c>
      <c r="V50" s="16">
        <v>513</v>
      </c>
      <c r="W50" s="16">
        <v>120</v>
      </c>
      <c r="X50" s="16">
        <v>57</v>
      </c>
      <c r="Y50" s="16">
        <v>45</v>
      </c>
      <c r="Z50" s="16">
        <v>106</v>
      </c>
      <c r="AA50" s="16">
        <v>67</v>
      </c>
      <c r="AB50" s="16">
        <v>38</v>
      </c>
      <c r="AC50" s="16">
        <v>190</v>
      </c>
      <c r="AD50" s="16">
        <v>121</v>
      </c>
      <c r="AE50" s="16">
        <v>1044</v>
      </c>
      <c r="AF50" s="16">
        <v>934</v>
      </c>
      <c r="AG50" s="16">
        <v>135</v>
      </c>
      <c r="AH50" s="16">
        <v>2896</v>
      </c>
      <c r="AI50" s="16">
        <v>67</v>
      </c>
      <c r="AJ50" s="16">
        <v>195</v>
      </c>
      <c r="AK50" s="16">
        <v>0</v>
      </c>
      <c r="AL50" s="98">
        <v>128</v>
      </c>
      <c r="AM50" s="16">
        <v>9</v>
      </c>
      <c r="AN50" s="16">
        <v>4</v>
      </c>
      <c r="AO50" s="16">
        <v>70</v>
      </c>
      <c r="AP50" s="16">
        <v>1</v>
      </c>
      <c r="AQ50" s="16">
        <v>1</v>
      </c>
      <c r="AR50" s="16">
        <v>299</v>
      </c>
      <c r="AS50" s="16">
        <v>5</v>
      </c>
      <c r="AT50" s="16">
        <v>2</v>
      </c>
      <c r="AU50" s="16">
        <v>155</v>
      </c>
      <c r="AV50" s="16">
        <v>345</v>
      </c>
      <c r="AW50" s="16">
        <v>359</v>
      </c>
      <c r="AX50" s="16">
        <v>22</v>
      </c>
      <c r="AY50" s="16">
        <v>112</v>
      </c>
      <c r="AZ50" s="16">
        <v>607</v>
      </c>
      <c r="BA50" s="16">
        <v>0</v>
      </c>
      <c r="BB50" s="16">
        <v>0</v>
      </c>
      <c r="BC50" s="16">
        <v>1</v>
      </c>
      <c r="BD50" s="16">
        <v>0</v>
      </c>
      <c r="BE50" s="16">
        <v>41</v>
      </c>
      <c r="BF50" s="16">
        <v>155</v>
      </c>
      <c r="BG50" s="16">
        <v>249</v>
      </c>
      <c r="BH50" s="16">
        <v>105</v>
      </c>
      <c r="BI50" s="16">
        <v>1212</v>
      </c>
      <c r="BJ50" s="16">
        <v>116</v>
      </c>
      <c r="BK50" s="16">
        <v>6</v>
      </c>
      <c r="BL50" s="16">
        <v>345</v>
      </c>
      <c r="BM50" s="16">
        <v>155</v>
      </c>
      <c r="BN50" s="16">
        <v>0</v>
      </c>
      <c r="BO50" s="16">
        <v>0</v>
      </c>
      <c r="BP50" s="16">
        <v>51</v>
      </c>
    </row>
    <row r="51" spans="1:192" s="5" customFormat="1" ht="21.9" customHeight="1" x14ac:dyDescent="0.25">
      <c r="A51" s="125"/>
      <c r="C51" s="47" t="s">
        <v>76</v>
      </c>
      <c r="D51" s="48"/>
      <c r="E51" s="16">
        <v>16</v>
      </c>
      <c r="F51" s="16">
        <v>0</v>
      </c>
      <c r="G51" s="16">
        <v>0</v>
      </c>
      <c r="H51" s="16">
        <v>0</v>
      </c>
      <c r="I51" s="16">
        <v>0</v>
      </c>
      <c r="J51" s="16">
        <v>0</v>
      </c>
      <c r="K51" s="16">
        <v>0</v>
      </c>
      <c r="L51" s="16">
        <v>0</v>
      </c>
      <c r="M51" s="16">
        <v>1</v>
      </c>
      <c r="N51" s="16">
        <v>0</v>
      </c>
      <c r="O51" s="16">
        <v>0</v>
      </c>
      <c r="P51" s="16">
        <v>0</v>
      </c>
      <c r="Q51" s="16">
        <v>0</v>
      </c>
      <c r="R51" s="16">
        <v>0</v>
      </c>
      <c r="S51" s="16">
        <v>0</v>
      </c>
      <c r="T51" s="16">
        <v>0</v>
      </c>
      <c r="U51" s="16">
        <v>1</v>
      </c>
      <c r="V51" s="16">
        <v>0</v>
      </c>
      <c r="W51" s="16">
        <v>0</v>
      </c>
      <c r="X51" s="16">
        <v>0</v>
      </c>
      <c r="Y51" s="16">
        <v>1</v>
      </c>
      <c r="Z51" s="16">
        <v>0</v>
      </c>
      <c r="AA51" s="16">
        <v>2</v>
      </c>
      <c r="AB51" s="16">
        <v>0</v>
      </c>
      <c r="AC51" s="16">
        <v>1</v>
      </c>
      <c r="AD51" s="16">
        <v>0</v>
      </c>
      <c r="AE51" s="16">
        <v>5</v>
      </c>
      <c r="AF51" s="16">
        <v>0</v>
      </c>
      <c r="AG51" s="16">
        <v>0</v>
      </c>
      <c r="AH51" s="16">
        <v>0</v>
      </c>
      <c r="AI51" s="16">
        <v>0</v>
      </c>
      <c r="AJ51" s="16">
        <v>0</v>
      </c>
      <c r="AK51" s="16">
        <v>0</v>
      </c>
      <c r="AL51" s="98">
        <v>0</v>
      </c>
      <c r="AM51" s="16">
        <v>0</v>
      </c>
      <c r="AN51" s="16">
        <v>0</v>
      </c>
      <c r="AO51" s="16">
        <v>1</v>
      </c>
      <c r="AP51" s="16">
        <v>0</v>
      </c>
      <c r="AQ51" s="16">
        <v>0</v>
      </c>
      <c r="AR51" s="16">
        <v>0</v>
      </c>
      <c r="AS51" s="16">
        <v>0</v>
      </c>
      <c r="AT51" s="16">
        <v>0</v>
      </c>
      <c r="AU51" s="16">
        <v>0</v>
      </c>
      <c r="AV51" s="16">
        <v>2</v>
      </c>
      <c r="AW51" s="16">
        <v>0</v>
      </c>
      <c r="AX51" s="16">
        <v>0</v>
      </c>
      <c r="AY51" s="16">
        <v>0</v>
      </c>
      <c r="AZ51" s="16">
        <v>0</v>
      </c>
      <c r="BA51" s="16">
        <v>0</v>
      </c>
      <c r="BB51" s="16">
        <v>0</v>
      </c>
      <c r="BC51" s="16">
        <v>0</v>
      </c>
      <c r="BD51" s="16">
        <v>0</v>
      </c>
      <c r="BE51" s="16">
        <v>0</v>
      </c>
      <c r="BF51" s="16">
        <v>0</v>
      </c>
      <c r="BG51" s="16">
        <v>0</v>
      </c>
      <c r="BH51" s="16">
        <v>0</v>
      </c>
      <c r="BI51" s="16">
        <v>0</v>
      </c>
      <c r="BJ51" s="16">
        <v>1</v>
      </c>
      <c r="BK51" s="16">
        <v>0</v>
      </c>
      <c r="BL51" s="16">
        <v>0</v>
      </c>
      <c r="BM51" s="16">
        <v>1</v>
      </c>
      <c r="BN51" s="16">
        <v>0</v>
      </c>
      <c r="BO51" s="16">
        <v>0</v>
      </c>
      <c r="BP51" s="16">
        <v>0</v>
      </c>
    </row>
    <row r="52" spans="1:192" s="5" customFormat="1" ht="21.9" customHeight="1" x14ac:dyDescent="0.25">
      <c r="A52" s="125" t="s">
        <v>94</v>
      </c>
      <c r="B52" s="4"/>
      <c r="C52" s="47" t="s">
        <v>75</v>
      </c>
      <c r="D52" s="48"/>
      <c r="E52" s="16">
        <v>15152</v>
      </c>
      <c r="F52" s="16">
        <v>52</v>
      </c>
      <c r="G52" s="16">
        <v>30</v>
      </c>
      <c r="H52" s="16">
        <v>33</v>
      </c>
      <c r="I52" s="16">
        <v>14</v>
      </c>
      <c r="J52" s="16">
        <v>83</v>
      </c>
      <c r="K52" s="16">
        <v>135</v>
      </c>
      <c r="L52" s="16">
        <v>642</v>
      </c>
      <c r="M52" s="16">
        <v>378</v>
      </c>
      <c r="N52" s="16">
        <v>64</v>
      </c>
      <c r="O52" s="16">
        <v>27</v>
      </c>
      <c r="P52" s="16">
        <v>46</v>
      </c>
      <c r="Q52" s="16">
        <v>0</v>
      </c>
      <c r="R52" s="16">
        <v>275</v>
      </c>
      <c r="S52" s="16">
        <v>457</v>
      </c>
      <c r="T52" s="16">
        <v>264</v>
      </c>
      <c r="U52" s="16">
        <v>299</v>
      </c>
      <c r="V52" s="16">
        <v>504</v>
      </c>
      <c r="W52" s="16">
        <v>108</v>
      </c>
      <c r="X52" s="16">
        <v>150</v>
      </c>
      <c r="Y52" s="16">
        <v>116</v>
      </c>
      <c r="Z52" s="16">
        <v>641</v>
      </c>
      <c r="AA52" s="16">
        <v>147</v>
      </c>
      <c r="AB52" s="16">
        <v>55</v>
      </c>
      <c r="AC52" s="16">
        <v>55</v>
      </c>
      <c r="AD52" s="16">
        <v>170</v>
      </c>
      <c r="AE52" s="16">
        <v>2016</v>
      </c>
      <c r="AF52" s="16">
        <v>1080</v>
      </c>
      <c r="AG52" s="16">
        <v>361</v>
      </c>
      <c r="AH52" s="16">
        <v>1428</v>
      </c>
      <c r="AI52" s="16">
        <v>116</v>
      </c>
      <c r="AJ52" s="16">
        <v>457</v>
      </c>
      <c r="AK52" s="16">
        <v>1</v>
      </c>
      <c r="AL52" s="98">
        <v>92</v>
      </c>
      <c r="AM52" s="16">
        <v>5</v>
      </c>
      <c r="AN52" s="16">
        <v>13</v>
      </c>
      <c r="AO52" s="16">
        <v>81</v>
      </c>
      <c r="AP52" s="16">
        <v>0</v>
      </c>
      <c r="AQ52" s="16">
        <v>7</v>
      </c>
      <c r="AR52" s="16">
        <v>195</v>
      </c>
      <c r="AS52" s="16">
        <v>83</v>
      </c>
      <c r="AT52" s="16">
        <v>34</v>
      </c>
      <c r="AU52" s="16">
        <v>90</v>
      </c>
      <c r="AV52" s="16">
        <v>888</v>
      </c>
      <c r="AW52" s="16">
        <v>340</v>
      </c>
      <c r="AX52" s="16">
        <v>9</v>
      </c>
      <c r="AY52" s="16">
        <v>397</v>
      </c>
      <c r="AZ52" s="16">
        <v>37</v>
      </c>
      <c r="BA52" s="16">
        <v>0</v>
      </c>
      <c r="BB52" s="16">
        <v>8</v>
      </c>
      <c r="BC52" s="16">
        <v>10</v>
      </c>
      <c r="BD52" s="16">
        <v>3</v>
      </c>
      <c r="BE52" s="16">
        <v>451</v>
      </c>
      <c r="BF52" s="16">
        <v>387</v>
      </c>
      <c r="BG52" s="16">
        <v>503</v>
      </c>
      <c r="BH52" s="16">
        <v>89</v>
      </c>
      <c r="BI52" s="16">
        <v>156</v>
      </c>
      <c r="BJ52" s="16">
        <v>364</v>
      </c>
      <c r="BK52" s="16">
        <v>101</v>
      </c>
      <c r="BL52" s="16">
        <v>330</v>
      </c>
      <c r="BM52" s="16">
        <v>173</v>
      </c>
      <c r="BN52" s="16">
        <v>6</v>
      </c>
      <c r="BO52" s="16">
        <v>4</v>
      </c>
      <c r="BP52" s="16">
        <v>92</v>
      </c>
    </row>
    <row r="53" spans="1:192" s="5" customFormat="1" ht="21.9" customHeight="1" x14ac:dyDescent="0.25">
      <c r="A53" s="125"/>
      <c r="B53" s="4"/>
      <c r="C53" s="47" t="s">
        <v>76</v>
      </c>
      <c r="D53" s="48"/>
      <c r="E53" s="16">
        <v>100</v>
      </c>
      <c r="F53" s="16">
        <v>0</v>
      </c>
      <c r="G53" s="16">
        <v>0</v>
      </c>
      <c r="H53" s="16">
        <v>0</v>
      </c>
      <c r="I53" s="16">
        <v>0</v>
      </c>
      <c r="J53" s="16">
        <v>0</v>
      </c>
      <c r="K53" s="16">
        <v>1</v>
      </c>
      <c r="L53" s="16">
        <v>0</v>
      </c>
      <c r="M53" s="16">
        <v>0</v>
      </c>
      <c r="N53" s="16">
        <v>0</v>
      </c>
      <c r="O53" s="16">
        <v>1</v>
      </c>
      <c r="P53" s="16">
        <v>0</v>
      </c>
      <c r="Q53" s="16">
        <v>0</v>
      </c>
      <c r="R53" s="16">
        <v>1</v>
      </c>
      <c r="S53" s="16">
        <v>2</v>
      </c>
      <c r="T53" s="16">
        <v>0</v>
      </c>
      <c r="U53" s="16">
        <v>1</v>
      </c>
      <c r="V53" s="16">
        <v>4</v>
      </c>
      <c r="W53" s="16">
        <v>2</v>
      </c>
      <c r="X53" s="16">
        <v>1</v>
      </c>
      <c r="Y53" s="16">
        <v>0</v>
      </c>
      <c r="Z53" s="16">
        <v>1</v>
      </c>
      <c r="AA53" s="16">
        <v>0</v>
      </c>
      <c r="AB53" s="16">
        <v>0</v>
      </c>
      <c r="AC53" s="16">
        <v>0</v>
      </c>
      <c r="AD53" s="16">
        <v>3</v>
      </c>
      <c r="AE53" s="16">
        <v>17</v>
      </c>
      <c r="AF53" s="16">
        <v>9</v>
      </c>
      <c r="AG53" s="16">
        <v>6</v>
      </c>
      <c r="AH53" s="16">
        <v>3</v>
      </c>
      <c r="AI53" s="16">
        <v>1</v>
      </c>
      <c r="AJ53" s="16">
        <v>1</v>
      </c>
      <c r="AK53" s="16">
        <v>0</v>
      </c>
      <c r="AL53" s="98">
        <v>0</v>
      </c>
      <c r="AM53" s="16">
        <v>0</v>
      </c>
      <c r="AN53" s="16">
        <v>0</v>
      </c>
      <c r="AO53" s="16">
        <v>4</v>
      </c>
      <c r="AP53" s="16">
        <v>0</v>
      </c>
      <c r="AQ53" s="16">
        <v>0</v>
      </c>
      <c r="AR53" s="16">
        <v>0</v>
      </c>
      <c r="AS53" s="16">
        <v>3</v>
      </c>
      <c r="AT53" s="16">
        <v>0</v>
      </c>
      <c r="AU53" s="16">
        <v>0</v>
      </c>
      <c r="AV53" s="16">
        <v>2</v>
      </c>
      <c r="AW53" s="16">
        <v>9</v>
      </c>
      <c r="AX53" s="16">
        <v>0</v>
      </c>
      <c r="AY53" s="16">
        <v>0</v>
      </c>
      <c r="AZ53" s="16">
        <v>0</v>
      </c>
      <c r="BA53" s="16">
        <v>0</v>
      </c>
      <c r="BB53" s="16">
        <v>3</v>
      </c>
      <c r="BC53" s="16">
        <v>1</v>
      </c>
      <c r="BD53" s="16">
        <v>0</v>
      </c>
      <c r="BE53" s="16">
        <v>0</v>
      </c>
      <c r="BF53" s="16">
        <v>0</v>
      </c>
      <c r="BG53" s="16">
        <v>4</v>
      </c>
      <c r="BH53" s="16">
        <v>3</v>
      </c>
      <c r="BI53" s="16">
        <v>0</v>
      </c>
      <c r="BJ53" s="16">
        <v>7</v>
      </c>
      <c r="BK53" s="16">
        <v>4</v>
      </c>
      <c r="BL53" s="16">
        <v>1</v>
      </c>
      <c r="BM53" s="16">
        <v>1</v>
      </c>
      <c r="BN53" s="16">
        <v>0</v>
      </c>
      <c r="BO53" s="16">
        <v>0</v>
      </c>
      <c r="BP53" s="16">
        <v>4</v>
      </c>
    </row>
    <row r="54" spans="1:192" s="5" customFormat="1" ht="21.9" customHeight="1" x14ac:dyDescent="0.25">
      <c r="A54" s="125" t="s">
        <v>95</v>
      </c>
      <c r="B54" s="4"/>
      <c r="C54" s="47" t="s">
        <v>140</v>
      </c>
      <c r="D54" s="48"/>
      <c r="E54" s="16">
        <v>1684</v>
      </c>
      <c r="F54" s="16">
        <v>0</v>
      </c>
      <c r="G54" s="16">
        <v>0</v>
      </c>
      <c r="H54" s="16">
        <v>0</v>
      </c>
      <c r="I54" s="16">
        <v>0</v>
      </c>
      <c r="J54" s="16">
        <v>0</v>
      </c>
      <c r="K54" s="16">
        <v>0</v>
      </c>
      <c r="L54" s="16">
        <v>63</v>
      </c>
      <c r="M54" s="16">
        <v>72</v>
      </c>
      <c r="N54" s="16">
        <v>0</v>
      </c>
      <c r="O54" s="16">
        <v>48</v>
      </c>
      <c r="P54" s="16">
        <v>8</v>
      </c>
      <c r="Q54" s="16">
        <v>0</v>
      </c>
      <c r="R54" s="16">
        <v>36</v>
      </c>
      <c r="S54" s="16">
        <v>20</v>
      </c>
      <c r="T54" s="16">
        <v>0</v>
      </c>
      <c r="U54" s="16">
        <v>16</v>
      </c>
      <c r="V54" s="16">
        <v>154</v>
      </c>
      <c r="W54" s="16">
        <v>10</v>
      </c>
      <c r="X54" s="16">
        <v>41</v>
      </c>
      <c r="Y54" s="16">
        <v>18</v>
      </c>
      <c r="Z54" s="16">
        <v>24</v>
      </c>
      <c r="AA54" s="16">
        <v>42</v>
      </c>
      <c r="AB54" s="16">
        <v>0</v>
      </c>
      <c r="AC54" s="16">
        <v>210</v>
      </c>
      <c r="AD54" s="16">
        <v>18</v>
      </c>
      <c r="AE54" s="16">
        <v>101</v>
      </c>
      <c r="AF54" s="16">
        <v>18</v>
      </c>
      <c r="AG54" s="16">
        <v>22</v>
      </c>
      <c r="AH54" s="16">
        <v>304</v>
      </c>
      <c r="AI54" s="16">
        <v>74</v>
      </c>
      <c r="AJ54" s="16">
        <v>26</v>
      </c>
      <c r="AK54" s="16">
        <v>0</v>
      </c>
      <c r="AL54" s="98">
        <v>0</v>
      </c>
      <c r="AM54" s="16">
        <v>0</v>
      </c>
      <c r="AN54" s="16">
        <v>0</v>
      </c>
      <c r="AO54" s="16">
        <v>10</v>
      </c>
      <c r="AP54" s="16">
        <v>1</v>
      </c>
      <c r="AQ54" s="16">
        <v>3</v>
      </c>
      <c r="AR54" s="16">
        <v>2</v>
      </c>
      <c r="AS54" s="16">
        <v>0</v>
      </c>
      <c r="AT54" s="16">
        <v>0</v>
      </c>
      <c r="AU54" s="16">
        <v>0</v>
      </c>
      <c r="AV54" s="16">
        <v>86</v>
      </c>
      <c r="AW54" s="16">
        <v>38</v>
      </c>
      <c r="AX54" s="16">
        <v>0</v>
      </c>
      <c r="AY54" s="16">
        <v>2</v>
      </c>
      <c r="AZ54" s="16">
        <v>13</v>
      </c>
      <c r="BA54" s="16">
        <v>0</v>
      </c>
      <c r="BB54" s="16">
        <v>0</v>
      </c>
      <c r="BC54" s="16">
        <v>0</v>
      </c>
      <c r="BD54" s="16">
        <v>0</v>
      </c>
      <c r="BE54" s="16">
        <v>0</v>
      </c>
      <c r="BF54" s="16">
        <v>31</v>
      </c>
      <c r="BG54" s="16">
        <v>0</v>
      </c>
      <c r="BH54" s="16">
        <v>5</v>
      </c>
      <c r="BI54" s="16">
        <v>25</v>
      </c>
      <c r="BJ54" s="16">
        <v>98</v>
      </c>
      <c r="BK54" s="16">
        <v>12</v>
      </c>
      <c r="BL54" s="16">
        <v>0</v>
      </c>
      <c r="BM54" s="16">
        <v>1</v>
      </c>
      <c r="BN54" s="16">
        <v>6</v>
      </c>
      <c r="BO54" s="16">
        <v>0</v>
      </c>
      <c r="BP54" s="16">
        <v>26</v>
      </c>
    </row>
    <row r="55" spans="1:192" s="5" customFormat="1" ht="21.9" customHeight="1" x14ac:dyDescent="0.25">
      <c r="A55" s="125"/>
      <c r="B55" s="4"/>
      <c r="C55" s="47" t="s">
        <v>76</v>
      </c>
      <c r="D55" s="48"/>
      <c r="E55" s="16">
        <v>8</v>
      </c>
      <c r="F55" s="16">
        <v>0</v>
      </c>
      <c r="G55" s="16">
        <v>0</v>
      </c>
      <c r="H55" s="16">
        <v>0</v>
      </c>
      <c r="I55" s="16">
        <v>0</v>
      </c>
      <c r="J55" s="16">
        <v>0</v>
      </c>
      <c r="K55" s="16">
        <v>0</v>
      </c>
      <c r="L55" s="16">
        <v>1</v>
      </c>
      <c r="M55" s="16">
        <v>0</v>
      </c>
      <c r="N55" s="16">
        <v>0</v>
      </c>
      <c r="O55" s="16">
        <v>1</v>
      </c>
      <c r="P55" s="16">
        <v>0</v>
      </c>
      <c r="Q55" s="16">
        <v>0</v>
      </c>
      <c r="R55" s="16">
        <v>0</v>
      </c>
      <c r="S55" s="16">
        <v>0</v>
      </c>
      <c r="T55" s="16">
        <v>0</v>
      </c>
      <c r="U55" s="16">
        <v>0</v>
      </c>
      <c r="V55" s="16">
        <v>0</v>
      </c>
      <c r="W55" s="16">
        <v>0</v>
      </c>
      <c r="X55" s="16">
        <v>0</v>
      </c>
      <c r="Y55" s="16">
        <v>0</v>
      </c>
      <c r="Z55" s="16">
        <v>0</v>
      </c>
      <c r="AA55" s="16">
        <v>0</v>
      </c>
      <c r="AB55" s="16">
        <v>0</v>
      </c>
      <c r="AC55" s="16">
        <v>1</v>
      </c>
      <c r="AD55" s="16">
        <v>0</v>
      </c>
      <c r="AE55" s="16">
        <v>0</v>
      </c>
      <c r="AF55" s="16">
        <v>0</v>
      </c>
      <c r="AG55" s="16">
        <v>0</v>
      </c>
      <c r="AH55" s="16">
        <v>2</v>
      </c>
      <c r="AI55" s="16">
        <v>0</v>
      </c>
      <c r="AJ55" s="16">
        <v>0</v>
      </c>
      <c r="AK55" s="16">
        <v>0</v>
      </c>
      <c r="AL55" s="98">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1</v>
      </c>
      <c r="BI55" s="16">
        <v>0</v>
      </c>
      <c r="BJ55" s="16">
        <v>2</v>
      </c>
      <c r="BK55" s="16">
        <v>0</v>
      </c>
      <c r="BL55" s="16">
        <v>0</v>
      </c>
      <c r="BM55" s="16">
        <v>0</v>
      </c>
      <c r="BN55" s="16">
        <v>0</v>
      </c>
      <c r="BO55" s="16">
        <v>0</v>
      </c>
      <c r="BP55" s="16">
        <v>0</v>
      </c>
    </row>
    <row r="56" spans="1:192" s="5" customFormat="1" ht="21.9" customHeight="1" x14ac:dyDescent="0.25">
      <c r="A56" s="125" t="s">
        <v>96</v>
      </c>
      <c r="B56" s="4"/>
      <c r="C56" s="47" t="s">
        <v>75</v>
      </c>
      <c r="D56" s="48"/>
      <c r="E56" s="16">
        <v>811</v>
      </c>
      <c r="F56" s="16">
        <v>0</v>
      </c>
      <c r="G56" s="16">
        <v>0</v>
      </c>
      <c r="H56" s="16">
        <v>0</v>
      </c>
      <c r="I56" s="16">
        <v>0</v>
      </c>
      <c r="J56" s="16">
        <v>0</v>
      </c>
      <c r="K56" s="16">
        <v>0</v>
      </c>
      <c r="L56" s="16">
        <v>64</v>
      </c>
      <c r="M56" s="16">
        <v>10</v>
      </c>
      <c r="N56" s="16">
        <v>0</v>
      </c>
      <c r="O56" s="16">
        <v>50</v>
      </c>
      <c r="P56" s="16">
        <v>0</v>
      </c>
      <c r="Q56" s="16">
        <v>0</v>
      </c>
      <c r="R56" s="16">
        <v>102</v>
      </c>
      <c r="S56" s="16">
        <v>32</v>
      </c>
      <c r="T56" s="16">
        <v>0</v>
      </c>
      <c r="U56" s="16">
        <v>20</v>
      </c>
      <c r="V56" s="16">
        <v>27</v>
      </c>
      <c r="W56" s="16">
        <v>65</v>
      </c>
      <c r="X56" s="16">
        <v>20</v>
      </c>
      <c r="Y56" s="16">
        <v>8</v>
      </c>
      <c r="Z56" s="16">
        <v>0</v>
      </c>
      <c r="AA56" s="16">
        <v>15</v>
      </c>
      <c r="AB56" s="16">
        <v>0</v>
      </c>
      <c r="AC56" s="16">
        <v>0</v>
      </c>
      <c r="AD56" s="16">
        <v>12</v>
      </c>
      <c r="AE56" s="16">
        <v>85</v>
      </c>
      <c r="AF56" s="16">
        <v>4</v>
      </c>
      <c r="AG56" s="16">
        <v>11</v>
      </c>
      <c r="AH56" s="16">
        <v>161</v>
      </c>
      <c r="AI56" s="16">
        <v>18</v>
      </c>
      <c r="AJ56" s="16">
        <v>24</v>
      </c>
      <c r="AK56" s="16">
        <v>0</v>
      </c>
      <c r="AL56" s="98">
        <v>4</v>
      </c>
      <c r="AM56" s="16">
        <v>0</v>
      </c>
      <c r="AN56" s="16">
        <v>0</v>
      </c>
      <c r="AO56" s="16">
        <v>6</v>
      </c>
      <c r="AP56" s="16">
        <v>0</v>
      </c>
      <c r="AQ56" s="16">
        <v>0</v>
      </c>
      <c r="AR56" s="16">
        <v>0</v>
      </c>
      <c r="AS56" s="16">
        <v>11</v>
      </c>
      <c r="AT56" s="16">
        <v>0</v>
      </c>
      <c r="AU56" s="16">
        <v>0</v>
      </c>
      <c r="AV56" s="16">
        <v>12</v>
      </c>
      <c r="AW56" s="16">
        <v>0</v>
      </c>
      <c r="AX56" s="16">
        <v>0</v>
      </c>
      <c r="AY56" s="16">
        <v>0</v>
      </c>
      <c r="AZ56" s="16">
        <v>0</v>
      </c>
      <c r="BA56" s="16">
        <v>0</v>
      </c>
      <c r="BB56" s="16">
        <v>0</v>
      </c>
      <c r="BC56" s="16">
        <v>0</v>
      </c>
      <c r="BD56" s="16">
        <v>0</v>
      </c>
      <c r="BE56" s="16">
        <v>0</v>
      </c>
      <c r="BF56" s="16">
        <v>2</v>
      </c>
      <c r="BG56" s="16">
        <v>0</v>
      </c>
      <c r="BH56" s="16">
        <v>4</v>
      </c>
      <c r="BI56" s="16">
        <v>0</v>
      </c>
      <c r="BJ56" s="16">
        <v>20</v>
      </c>
      <c r="BK56" s="16">
        <v>6</v>
      </c>
      <c r="BL56" s="16">
        <v>0</v>
      </c>
      <c r="BM56" s="16">
        <v>6</v>
      </c>
      <c r="BN56" s="16">
        <v>0</v>
      </c>
      <c r="BO56" s="16">
        <v>0</v>
      </c>
      <c r="BP56" s="16">
        <v>12</v>
      </c>
    </row>
    <row r="57" spans="1:192" s="5" customFormat="1" ht="21.9" customHeight="1" x14ac:dyDescent="0.25">
      <c r="A57" s="134"/>
      <c r="B57" s="6"/>
      <c r="C57" s="49" t="s">
        <v>76</v>
      </c>
      <c r="D57" s="50"/>
      <c r="E57" s="55">
        <v>9</v>
      </c>
      <c r="F57" s="57">
        <v>0</v>
      </c>
      <c r="G57" s="57">
        <v>0</v>
      </c>
      <c r="H57" s="57">
        <v>0</v>
      </c>
      <c r="I57" s="57">
        <v>0</v>
      </c>
      <c r="J57" s="57">
        <v>0</v>
      </c>
      <c r="K57" s="57">
        <v>0</v>
      </c>
      <c r="L57" s="57">
        <v>0</v>
      </c>
      <c r="M57" s="57">
        <v>0</v>
      </c>
      <c r="N57" s="57">
        <v>0</v>
      </c>
      <c r="O57" s="57">
        <v>0</v>
      </c>
      <c r="P57" s="57">
        <v>0</v>
      </c>
      <c r="Q57" s="57">
        <v>0</v>
      </c>
      <c r="R57" s="57">
        <v>1</v>
      </c>
      <c r="S57" s="57">
        <v>0</v>
      </c>
      <c r="T57" s="57">
        <v>0</v>
      </c>
      <c r="U57" s="57">
        <v>0</v>
      </c>
      <c r="V57" s="57">
        <v>1</v>
      </c>
      <c r="W57" s="57">
        <v>0</v>
      </c>
      <c r="X57" s="57">
        <v>0</v>
      </c>
      <c r="Y57" s="57">
        <v>0</v>
      </c>
      <c r="Z57" s="57">
        <v>0</v>
      </c>
      <c r="AA57" s="57">
        <v>0</v>
      </c>
      <c r="AB57" s="57">
        <v>0</v>
      </c>
      <c r="AC57" s="57">
        <v>0</v>
      </c>
      <c r="AD57" s="57">
        <v>0</v>
      </c>
      <c r="AE57" s="57">
        <v>2</v>
      </c>
      <c r="AF57" s="57">
        <v>0</v>
      </c>
      <c r="AG57" s="57">
        <v>0</v>
      </c>
      <c r="AH57" s="57">
        <v>4</v>
      </c>
      <c r="AI57" s="57">
        <v>0</v>
      </c>
      <c r="AJ57" s="57">
        <v>0</v>
      </c>
      <c r="AK57" s="57">
        <v>0</v>
      </c>
      <c r="AL57" s="55">
        <v>0</v>
      </c>
      <c r="AM57" s="57">
        <v>0</v>
      </c>
      <c r="AN57" s="57">
        <v>0</v>
      </c>
      <c r="AO57" s="57">
        <v>0</v>
      </c>
      <c r="AP57" s="57">
        <v>0</v>
      </c>
      <c r="AQ57" s="57">
        <v>0</v>
      </c>
      <c r="AR57" s="57">
        <v>0</v>
      </c>
      <c r="AS57" s="57">
        <v>1</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row>
    <row r="58" spans="1:192" s="58" customFormat="1" ht="21.9" customHeight="1" x14ac:dyDescent="0.3">
      <c r="AA58" s="59"/>
      <c r="AC58" s="60"/>
      <c r="AG58" s="61"/>
      <c r="AI58" s="62"/>
      <c r="AJ58" s="62"/>
      <c r="AK58" s="62"/>
      <c r="AL58" s="63" t="s">
        <v>191</v>
      </c>
      <c r="AM58" s="63"/>
      <c r="AN58" s="63"/>
      <c r="AO58" s="64"/>
      <c r="AP58" s="64"/>
      <c r="AQ58" s="63" t="s">
        <v>178</v>
      </c>
      <c r="AR58" s="63"/>
      <c r="AS58" s="5"/>
      <c r="AT58" s="63"/>
      <c r="AU58" s="5"/>
      <c r="AW58" s="63"/>
      <c r="AX58" s="5" t="s">
        <v>179</v>
      </c>
      <c r="AY58" s="64"/>
      <c r="AZ58" s="64"/>
      <c r="BA58" s="5"/>
      <c r="BC58" s="63"/>
      <c r="BD58" s="5"/>
      <c r="BE58" s="65"/>
      <c r="BF58" s="64"/>
      <c r="BG58" s="5" t="s">
        <v>180</v>
      </c>
      <c r="BI58" s="76"/>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row>
    <row r="59" spans="1:192" s="58" customFormat="1" ht="21.9" customHeight="1" x14ac:dyDescent="0.3">
      <c r="AG59" s="61"/>
      <c r="AI59" s="62"/>
      <c r="AJ59" s="62"/>
      <c r="AK59" s="62"/>
      <c r="AL59" s="63"/>
      <c r="AM59" s="63"/>
      <c r="AN59" s="63"/>
      <c r="AO59" s="64"/>
      <c r="AP59" s="64"/>
      <c r="AQ59" s="64"/>
      <c r="AR59" s="65"/>
      <c r="AS59" s="63"/>
      <c r="AT59" s="63"/>
      <c r="AU59" s="63"/>
      <c r="AW59" s="63"/>
      <c r="AX59" s="65" t="s">
        <v>181</v>
      </c>
      <c r="AY59" s="63"/>
      <c r="AZ59" s="63"/>
      <c r="BA59" s="5"/>
      <c r="BB59" s="63"/>
      <c r="BC59" s="63"/>
      <c r="BD59" s="5"/>
      <c r="BE59" s="65"/>
      <c r="BF59" s="63"/>
      <c r="BG59" s="5"/>
      <c r="BH59" s="59"/>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row>
    <row r="60" spans="1:192" s="58" customFormat="1" ht="21.9" customHeight="1" x14ac:dyDescent="0.3">
      <c r="AG60" s="61"/>
      <c r="AI60" s="62"/>
      <c r="AJ60" s="62"/>
      <c r="AK60" s="62"/>
      <c r="AL60" s="76" t="s">
        <v>192</v>
      </c>
      <c r="AM60" s="5"/>
      <c r="AO60" s="76"/>
      <c r="AP60" s="76"/>
      <c r="AQ60" s="77"/>
      <c r="AR60" s="76"/>
      <c r="AS60" s="104"/>
      <c r="AT60" s="76"/>
      <c r="AU60" s="76"/>
      <c r="AV60" s="76"/>
      <c r="AW60" s="76"/>
      <c r="AX60" s="76"/>
      <c r="AY60" s="77"/>
      <c r="AZ60" s="76"/>
      <c r="BA60" s="76"/>
      <c r="BB60" s="76"/>
      <c r="BC60" s="76"/>
      <c r="BD60" s="59"/>
      <c r="BE60" s="59"/>
      <c r="BF60" s="59"/>
      <c r="BG60" s="75"/>
      <c r="BH60" s="59"/>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row>
    <row r="61" spans="1:192" s="58" customFormat="1" ht="21.9" customHeight="1" x14ac:dyDescent="0.3">
      <c r="Z61" s="73"/>
      <c r="AA61" s="74"/>
      <c r="AB61" s="73"/>
      <c r="AC61" s="75"/>
      <c r="AD61" s="75"/>
      <c r="AE61" s="75"/>
      <c r="AF61" s="75"/>
      <c r="AI61" s="62"/>
      <c r="AJ61" s="62"/>
      <c r="AK61" s="62"/>
      <c r="AL61" s="5" t="s">
        <v>195</v>
      </c>
      <c r="AM61" s="5"/>
      <c r="AO61" s="76"/>
      <c r="AP61" s="76"/>
      <c r="AQ61" s="77"/>
      <c r="AR61" s="76"/>
      <c r="AS61" s="104"/>
      <c r="AT61" s="76"/>
      <c r="AU61" s="76"/>
      <c r="AV61" s="76"/>
      <c r="AW61" s="76"/>
      <c r="AX61" s="76"/>
      <c r="AY61" s="77"/>
      <c r="AZ61" s="76"/>
      <c r="BA61" s="76"/>
      <c r="BB61" s="76"/>
      <c r="BC61" s="76"/>
      <c r="BD61" s="59"/>
      <c r="BE61" s="59"/>
      <c r="BF61" s="59"/>
      <c r="BG61" s="75"/>
      <c r="BH61" s="78"/>
      <c r="BI61" s="78"/>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row>
    <row r="62" spans="1:192" s="58" customFormat="1" ht="21.9" customHeight="1" x14ac:dyDescent="0.3">
      <c r="Z62" s="73"/>
      <c r="AA62" s="74"/>
      <c r="AB62" s="73"/>
      <c r="AC62" s="75"/>
      <c r="AD62" s="75"/>
      <c r="AE62" s="75"/>
      <c r="AF62" s="75"/>
      <c r="AI62" s="62"/>
      <c r="AJ62" s="62"/>
      <c r="AK62" s="62"/>
      <c r="AL62" s="76" t="s">
        <v>193</v>
      </c>
      <c r="AM62" s="76"/>
      <c r="AN62" s="76"/>
      <c r="AO62" s="77"/>
      <c r="AP62" s="76"/>
      <c r="AQ62" s="104"/>
      <c r="AR62" s="104"/>
      <c r="AS62" s="104"/>
      <c r="AT62" s="76"/>
      <c r="AU62" s="76"/>
      <c r="AV62" s="76"/>
      <c r="AW62" s="76"/>
      <c r="AX62" s="76"/>
      <c r="AY62" s="77"/>
      <c r="AZ62" s="76"/>
      <c r="BA62" s="76"/>
      <c r="BB62" s="76"/>
      <c r="BC62" s="76"/>
      <c r="BD62" s="59"/>
      <c r="BE62" s="59"/>
      <c r="BF62" s="59"/>
      <c r="BG62" s="75"/>
      <c r="BH62" s="78"/>
      <c r="BI62" s="78"/>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row>
    <row r="63" spans="1:192" s="5" customFormat="1" ht="21.9" customHeight="1" x14ac:dyDescent="0.25"/>
    <row r="64" spans="1:192" s="5" customFormat="1" ht="21.9" customHeight="1" x14ac:dyDescent="0.25"/>
    <row r="65" s="5" customFormat="1" ht="21.9" customHeight="1" x14ac:dyDescent="0.25"/>
  </sheetData>
  <mergeCells count="120">
    <mergeCell ref="A3:AK3"/>
    <mergeCell ref="AL3:BP3"/>
    <mergeCell ref="A4:AK4"/>
    <mergeCell ref="AL4:BP4"/>
    <mergeCell ref="AG1:AH1"/>
    <mergeCell ref="AI1:AK1"/>
    <mergeCell ref="AL1:AM1"/>
    <mergeCell ref="BL1:BM1"/>
    <mergeCell ref="BN1:BP1"/>
    <mergeCell ref="AG2:AH2"/>
    <mergeCell ref="A1:B1"/>
    <mergeCell ref="A2:B2"/>
    <mergeCell ref="AI2:AK2"/>
    <mergeCell ref="AL2:AM2"/>
    <mergeCell ref="BL2:BM2"/>
    <mergeCell ref="BN2:BP2"/>
    <mergeCell ref="A52:A53"/>
    <mergeCell ref="A36:A37"/>
    <mergeCell ref="A38:A39"/>
    <mergeCell ref="A40:A41"/>
    <mergeCell ref="A54:A55"/>
    <mergeCell ref="A56:A57"/>
    <mergeCell ref="A42:A43"/>
    <mergeCell ref="A44:A45"/>
    <mergeCell ref="A46:A47"/>
    <mergeCell ref="A48:A49"/>
    <mergeCell ref="A50:A51"/>
    <mergeCell ref="A30:A31"/>
    <mergeCell ref="A32:A33"/>
    <mergeCell ref="A34:A35"/>
    <mergeCell ref="BI6:BI11"/>
    <mergeCell ref="BJ6:BM6"/>
    <mergeCell ref="AV7:AV11"/>
    <mergeCell ref="A18:A19"/>
    <mergeCell ref="A20:A21"/>
    <mergeCell ref="A22:A23"/>
    <mergeCell ref="BL7:BL11"/>
    <mergeCell ref="BM7:BM11"/>
    <mergeCell ref="AU7:AU11"/>
    <mergeCell ref="A12:A13"/>
    <mergeCell ref="A14:A15"/>
    <mergeCell ref="A16:A17"/>
    <mergeCell ref="BF7:BF11"/>
    <mergeCell ref="BG7:BG11"/>
    <mergeCell ref="BJ7:BJ11"/>
    <mergeCell ref="AZ7:AZ11"/>
    <mergeCell ref="AK7:AK11"/>
    <mergeCell ref="AW7:AW11"/>
    <mergeCell ref="AE7:AE11"/>
    <mergeCell ref="AF7:AF11"/>
    <mergeCell ref="AG7:AG11"/>
    <mergeCell ref="A24:A25"/>
    <mergeCell ref="A26:A27"/>
    <mergeCell ref="A28:A29"/>
    <mergeCell ref="U6:AG6"/>
    <mergeCell ref="AH6:AK6"/>
    <mergeCell ref="AL6:AO6"/>
    <mergeCell ref="AA7:AA11"/>
    <mergeCell ref="AB7:AB11"/>
    <mergeCell ref="AC7:AC11"/>
    <mergeCell ref="AD7:AD11"/>
    <mergeCell ref="L7:L11"/>
    <mergeCell ref="A6:D11"/>
    <mergeCell ref="E6:E11"/>
    <mergeCell ref="F6:K6"/>
    <mergeCell ref="L6:N6"/>
    <mergeCell ref="O6:Q6"/>
    <mergeCell ref="M7:M11"/>
    <mergeCell ref="N7:N11"/>
    <mergeCell ref="O7:O11"/>
    <mergeCell ref="P7:P11"/>
    <mergeCell ref="F7:F11"/>
    <mergeCell ref="G7:G11"/>
    <mergeCell ref="H7:H11"/>
    <mergeCell ref="I7:I11"/>
    <mergeCell ref="AZ6:BA6"/>
    <mergeCell ref="AX6:AY6"/>
    <mergeCell ref="T7:T11"/>
    <mergeCell ref="U7:U11"/>
    <mergeCell ref="V7:V11"/>
    <mergeCell ref="W7:W11"/>
    <mergeCell ref="X7:X11"/>
    <mergeCell ref="Y7:Y11"/>
    <mergeCell ref="Z7:Z11"/>
    <mergeCell ref="AX7:AX11"/>
    <mergeCell ref="AY7:AY11"/>
    <mergeCell ref="AL7:AL11"/>
    <mergeCell ref="AM7:AM11"/>
    <mergeCell ref="AN7:AN11"/>
    <mergeCell ref="AO7:AO11"/>
    <mergeCell ref="AP7:AP11"/>
    <mergeCell ref="AQ7:AQ11"/>
    <mergeCell ref="R6:T6"/>
    <mergeCell ref="AH7:AH11"/>
    <mergeCell ref="AI7:AI11"/>
    <mergeCell ref="AJ7:AJ11"/>
    <mergeCell ref="J7:J11"/>
    <mergeCell ref="K7:K11"/>
    <mergeCell ref="Q7:Q11"/>
    <mergeCell ref="R7:R11"/>
    <mergeCell ref="S7:S11"/>
    <mergeCell ref="BN6:BP6"/>
    <mergeCell ref="BN7:BN11"/>
    <mergeCell ref="BO7:BO11"/>
    <mergeCell ref="BP7:BP11"/>
    <mergeCell ref="BK7:BK11"/>
    <mergeCell ref="AP6:AR6"/>
    <mergeCell ref="AS6:AT6"/>
    <mergeCell ref="AU6:AW6"/>
    <mergeCell ref="BB6:BC6"/>
    <mergeCell ref="BD6:BD11"/>
    <mergeCell ref="BE6:BG6"/>
    <mergeCell ref="AR7:AR11"/>
    <mergeCell ref="AS7:AS11"/>
    <mergeCell ref="AT7:AT11"/>
    <mergeCell ref="BH6:BH11"/>
    <mergeCell ref="BA7:BA11"/>
    <mergeCell ref="BB7:BB11"/>
    <mergeCell ref="BC7:BC11"/>
    <mergeCell ref="BE7:BE11"/>
  </mergeCells>
  <phoneticPr fontId="5"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K65"/>
  <sheetViews>
    <sheetView zoomScale="80" zoomScaleNormal="80" workbookViewId="0">
      <selection sqref="A1:B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9" width="16" style="1" customWidth="1"/>
    <col min="70" max="16384" width="9.6640625" style="1"/>
  </cols>
  <sheetData>
    <row r="1" spans="1:74"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E1" s="5"/>
      <c r="AG1" s="70"/>
      <c r="AH1" s="183" t="s">
        <v>45</v>
      </c>
      <c r="AI1" s="171"/>
      <c r="AJ1" s="172" t="s">
        <v>46</v>
      </c>
      <c r="AK1" s="173"/>
      <c r="AL1" s="174"/>
      <c r="AM1" s="161" t="s">
        <v>44</v>
      </c>
      <c r="AN1" s="162"/>
      <c r="AO1" s="35"/>
      <c r="AP1" s="5"/>
      <c r="AQ1" s="5"/>
      <c r="AR1" s="5"/>
      <c r="AS1" s="5"/>
      <c r="AT1" s="5"/>
      <c r="AU1" s="5"/>
      <c r="AV1" s="5"/>
      <c r="AW1" s="5"/>
      <c r="AX1" s="5"/>
      <c r="AY1" s="5"/>
      <c r="AZ1" s="5"/>
      <c r="BA1" s="5"/>
      <c r="BB1" s="5"/>
      <c r="BC1" s="5"/>
      <c r="BD1" s="5"/>
      <c r="BE1" s="5"/>
      <c r="BF1" s="5"/>
      <c r="BG1" s="5"/>
      <c r="BH1" s="5"/>
      <c r="BI1" s="5"/>
      <c r="BJ1" s="38"/>
      <c r="BL1" s="69"/>
      <c r="BM1" s="170" t="s">
        <v>45</v>
      </c>
      <c r="BN1" s="171"/>
      <c r="BO1" s="172" t="s">
        <v>46</v>
      </c>
      <c r="BP1" s="173"/>
      <c r="BQ1" s="174"/>
      <c r="BR1" s="38"/>
      <c r="BS1" s="38"/>
    </row>
    <row r="2" spans="1:74"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33"/>
      <c r="AF2" s="41"/>
      <c r="AG2" s="71"/>
      <c r="AH2" s="184" t="s">
        <v>187</v>
      </c>
      <c r="AI2" s="166"/>
      <c r="AJ2" s="167" t="s">
        <v>10</v>
      </c>
      <c r="AK2" s="168"/>
      <c r="AL2" s="169"/>
      <c r="AM2" s="163" t="s">
        <v>279</v>
      </c>
      <c r="AN2" s="164"/>
      <c r="AO2" s="7" t="s">
        <v>290</v>
      </c>
      <c r="AP2" s="33"/>
      <c r="AQ2" s="33"/>
      <c r="AR2" s="33"/>
      <c r="AS2" s="33"/>
      <c r="AT2" s="33"/>
      <c r="AU2" s="33"/>
      <c r="AV2" s="33"/>
      <c r="AW2" s="33"/>
      <c r="AX2" s="33"/>
      <c r="AY2" s="33"/>
      <c r="AZ2" s="33"/>
      <c r="BA2" s="33"/>
      <c r="BB2" s="33"/>
      <c r="BC2" s="33"/>
      <c r="BD2" s="33"/>
      <c r="BE2" s="33"/>
      <c r="BF2" s="33"/>
      <c r="BG2" s="33"/>
      <c r="BH2" s="33"/>
      <c r="BI2" s="33"/>
      <c r="BJ2" s="42"/>
      <c r="BK2" s="41"/>
      <c r="BL2" s="72"/>
      <c r="BM2" s="165" t="s">
        <v>187</v>
      </c>
      <c r="BN2" s="166"/>
      <c r="BO2" s="167" t="s">
        <v>10</v>
      </c>
      <c r="BP2" s="168"/>
      <c r="BQ2" s="169"/>
      <c r="BR2" s="43"/>
      <c r="BS2" s="43"/>
    </row>
    <row r="3" spans="1:74" s="53" customFormat="1" ht="30" customHeight="1" x14ac:dyDescent="0.25">
      <c r="A3" s="159" t="s">
        <v>384</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t="s">
        <v>387</v>
      </c>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96"/>
      <c r="BS3" s="96"/>
      <c r="BT3" s="96"/>
      <c r="BU3" s="96"/>
      <c r="BV3" s="96"/>
    </row>
    <row r="4" spans="1:74" s="37" customFormat="1" ht="26.1" customHeight="1" x14ac:dyDescent="0.25">
      <c r="A4" s="160" t="s">
        <v>320</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t="s">
        <v>320</v>
      </c>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row>
    <row r="5" spans="1:74" s="37" customFormat="1" ht="20.100000000000001" customHeight="1" x14ac:dyDescent="0.25">
      <c r="A5" s="40"/>
      <c r="B5" s="41"/>
      <c r="C5" s="41"/>
      <c r="D5" s="67"/>
      <c r="E5" s="67"/>
      <c r="F5" s="67"/>
      <c r="G5" s="67"/>
      <c r="H5" s="67"/>
      <c r="I5" s="67"/>
      <c r="J5" s="41"/>
      <c r="K5" s="41"/>
      <c r="L5" s="41"/>
      <c r="M5" s="67"/>
      <c r="N5" s="67"/>
      <c r="O5" s="67"/>
      <c r="P5" s="41"/>
      <c r="Q5" s="67"/>
      <c r="R5" s="41"/>
      <c r="S5" s="67"/>
      <c r="T5" s="44"/>
      <c r="U5" s="67"/>
      <c r="V5" s="33"/>
      <c r="W5" s="33"/>
      <c r="X5" s="33"/>
      <c r="Y5" s="68"/>
      <c r="Z5" s="5"/>
      <c r="AA5" s="33"/>
      <c r="AB5" s="33"/>
      <c r="AC5" s="33"/>
      <c r="AD5" s="33"/>
      <c r="AE5" s="33"/>
      <c r="AF5" s="33"/>
      <c r="AG5" s="33"/>
      <c r="AI5" s="33"/>
      <c r="AJ5" s="33"/>
      <c r="AL5" s="45" t="s">
        <v>48</v>
      </c>
      <c r="AM5" s="33"/>
      <c r="AN5" s="33"/>
      <c r="AO5" s="33"/>
      <c r="AP5" s="33"/>
      <c r="AQ5" s="33"/>
      <c r="AR5" s="33"/>
      <c r="AS5" s="33"/>
      <c r="AT5" s="33"/>
      <c r="AU5" s="33"/>
      <c r="AV5" s="33"/>
      <c r="AW5" s="33"/>
      <c r="AX5" s="33"/>
      <c r="AY5" s="44"/>
      <c r="AZ5" s="45"/>
      <c r="BA5" s="45"/>
      <c r="BB5" s="45"/>
      <c r="BC5" s="45"/>
      <c r="BD5" s="33"/>
      <c r="BE5" s="33"/>
      <c r="BF5" s="33"/>
      <c r="BG5" s="33"/>
      <c r="BH5" s="33"/>
      <c r="BI5" s="33"/>
      <c r="BJ5" s="33"/>
      <c r="BK5" s="33"/>
      <c r="BL5" s="33"/>
      <c r="BM5" s="33"/>
      <c r="BN5" s="33"/>
      <c r="BO5" s="33"/>
      <c r="BP5" s="33"/>
      <c r="BQ5" s="46" t="s">
        <v>49</v>
      </c>
    </row>
    <row r="6" spans="1:74" s="5" customFormat="1" ht="27.9" customHeight="1" x14ac:dyDescent="0.25">
      <c r="A6" s="125" t="s">
        <v>144</v>
      </c>
      <c r="B6" s="125"/>
      <c r="C6" s="125"/>
      <c r="D6" s="125"/>
      <c r="E6" s="136" t="s">
        <v>50</v>
      </c>
      <c r="F6" s="187" t="s">
        <v>51</v>
      </c>
      <c r="G6" s="188"/>
      <c r="H6" s="188"/>
      <c r="I6" s="188"/>
      <c r="J6" s="188"/>
      <c r="K6" s="188"/>
      <c r="L6" s="189"/>
      <c r="M6" s="190" t="s">
        <v>52</v>
      </c>
      <c r="N6" s="191"/>
      <c r="O6" s="192"/>
      <c r="P6" s="193" t="s">
        <v>53</v>
      </c>
      <c r="Q6" s="194"/>
      <c r="R6" s="195"/>
      <c r="S6" s="193" t="s">
        <v>54</v>
      </c>
      <c r="T6" s="194"/>
      <c r="U6" s="195"/>
      <c r="V6" s="187" t="s">
        <v>55</v>
      </c>
      <c r="W6" s="188"/>
      <c r="X6" s="188"/>
      <c r="Y6" s="188"/>
      <c r="Z6" s="188"/>
      <c r="AA6" s="188"/>
      <c r="AB6" s="188"/>
      <c r="AC6" s="188"/>
      <c r="AD6" s="188"/>
      <c r="AE6" s="188"/>
      <c r="AF6" s="188"/>
      <c r="AG6" s="188"/>
      <c r="AH6" s="189"/>
      <c r="AI6" s="198" t="s">
        <v>229</v>
      </c>
      <c r="AJ6" s="199"/>
      <c r="AK6" s="199"/>
      <c r="AL6" s="199"/>
      <c r="AM6" s="198" t="s">
        <v>323</v>
      </c>
      <c r="AN6" s="199"/>
      <c r="AO6" s="199"/>
      <c r="AP6" s="200"/>
      <c r="AQ6" s="187" t="s">
        <v>56</v>
      </c>
      <c r="AR6" s="188"/>
      <c r="AS6" s="189"/>
      <c r="AT6" s="187" t="s">
        <v>57</v>
      </c>
      <c r="AU6" s="189"/>
      <c r="AV6" s="187" t="s">
        <v>58</v>
      </c>
      <c r="AW6" s="188"/>
      <c r="AX6" s="189"/>
      <c r="AY6" s="187" t="s">
        <v>59</v>
      </c>
      <c r="AZ6" s="189"/>
      <c r="BA6" s="196" t="s">
        <v>60</v>
      </c>
      <c r="BB6" s="197"/>
      <c r="BC6" s="196" t="s">
        <v>61</v>
      </c>
      <c r="BD6" s="197"/>
      <c r="BE6" s="180" t="s">
        <v>62</v>
      </c>
      <c r="BF6" s="196" t="s">
        <v>63</v>
      </c>
      <c r="BG6" s="201"/>
      <c r="BH6" s="197"/>
      <c r="BI6" s="176" t="s">
        <v>36</v>
      </c>
      <c r="BJ6" s="180" t="s">
        <v>64</v>
      </c>
      <c r="BK6" s="187" t="s">
        <v>97</v>
      </c>
      <c r="BL6" s="188"/>
      <c r="BM6" s="188"/>
      <c r="BN6" s="189"/>
      <c r="BO6" s="187" t="s">
        <v>65</v>
      </c>
      <c r="BP6" s="188"/>
      <c r="BQ6" s="188"/>
    </row>
    <row r="7" spans="1:74" s="5" customFormat="1" ht="30" customHeight="1" x14ac:dyDescent="0.25">
      <c r="A7" s="125"/>
      <c r="B7" s="125"/>
      <c r="C7" s="125"/>
      <c r="D7" s="125"/>
      <c r="E7" s="136"/>
      <c r="F7" s="139" t="s">
        <v>221</v>
      </c>
      <c r="G7" s="139" t="s">
        <v>291</v>
      </c>
      <c r="H7" s="139" t="s">
        <v>219</v>
      </c>
      <c r="I7" s="139" t="s">
        <v>292</v>
      </c>
      <c r="J7" s="139" t="s">
        <v>66</v>
      </c>
      <c r="K7" s="139" t="s">
        <v>200</v>
      </c>
      <c r="L7" s="139" t="s">
        <v>220</v>
      </c>
      <c r="M7" s="139" t="s">
        <v>67</v>
      </c>
      <c r="N7" s="130" t="s">
        <v>333</v>
      </c>
      <c r="O7" s="139" t="s">
        <v>68</v>
      </c>
      <c r="P7" s="139" t="s">
        <v>293</v>
      </c>
      <c r="Q7" s="139" t="s">
        <v>70</v>
      </c>
      <c r="R7" s="139" t="s">
        <v>71</v>
      </c>
      <c r="S7" s="139" t="s">
        <v>294</v>
      </c>
      <c r="T7" s="130" t="s">
        <v>321</v>
      </c>
      <c r="U7" s="130" t="s">
        <v>322</v>
      </c>
      <c r="V7" s="139" t="s">
        <v>295</v>
      </c>
      <c r="W7" s="139" t="s">
        <v>296</v>
      </c>
      <c r="X7" s="139" t="s">
        <v>182</v>
      </c>
      <c r="Y7" s="139" t="s">
        <v>118</v>
      </c>
      <c r="Z7" s="139" t="s">
        <v>107</v>
      </c>
      <c r="AA7" s="139" t="s">
        <v>98</v>
      </c>
      <c r="AB7" s="139" t="s">
        <v>108</v>
      </c>
      <c r="AC7" s="130" t="s">
        <v>319</v>
      </c>
      <c r="AD7" s="139" t="s">
        <v>99</v>
      </c>
      <c r="AE7" s="139" t="s">
        <v>114</v>
      </c>
      <c r="AF7" s="139" t="s">
        <v>297</v>
      </c>
      <c r="AG7" s="139" t="s">
        <v>298</v>
      </c>
      <c r="AH7" s="139" t="s">
        <v>299</v>
      </c>
      <c r="AI7" s="139" t="s">
        <v>300</v>
      </c>
      <c r="AJ7" s="139" t="s">
        <v>301</v>
      </c>
      <c r="AK7" s="139" t="s">
        <v>302</v>
      </c>
      <c r="AL7" s="179" t="s">
        <v>303</v>
      </c>
      <c r="AM7" s="139" t="s">
        <v>304</v>
      </c>
      <c r="AN7" s="139" t="s">
        <v>305</v>
      </c>
      <c r="AO7" s="139" t="s">
        <v>306</v>
      </c>
      <c r="AP7" s="139" t="s">
        <v>307</v>
      </c>
      <c r="AQ7" s="130" t="s">
        <v>274</v>
      </c>
      <c r="AR7" s="157" t="s">
        <v>233</v>
      </c>
      <c r="AS7" s="139" t="s">
        <v>183</v>
      </c>
      <c r="AT7" s="139" t="s">
        <v>308</v>
      </c>
      <c r="AU7" s="139" t="s">
        <v>309</v>
      </c>
      <c r="AV7" s="130" t="s">
        <v>318</v>
      </c>
      <c r="AW7" s="139" t="s">
        <v>310</v>
      </c>
      <c r="AX7" s="139" t="s">
        <v>311</v>
      </c>
      <c r="AY7" s="139" t="s">
        <v>312</v>
      </c>
      <c r="AZ7" s="139" t="s">
        <v>313</v>
      </c>
      <c r="BA7" s="139" t="s">
        <v>314</v>
      </c>
      <c r="BB7" s="139" t="s">
        <v>315</v>
      </c>
      <c r="BC7" s="139" t="s">
        <v>316</v>
      </c>
      <c r="BD7" s="139" t="s">
        <v>317</v>
      </c>
      <c r="BE7" s="177"/>
      <c r="BF7" s="139" t="s">
        <v>116</v>
      </c>
      <c r="BG7" s="139" t="s">
        <v>73</v>
      </c>
      <c r="BH7" s="139" t="s">
        <v>138</v>
      </c>
      <c r="BI7" s="177"/>
      <c r="BJ7" s="177"/>
      <c r="BK7" s="139" t="s">
        <v>119</v>
      </c>
      <c r="BL7" s="139" t="s">
        <v>74</v>
      </c>
      <c r="BM7" s="132" t="s">
        <v>272</v>
      </c>
      <c r="BN7" s="139" t="s">
        <v>126</v>
      </c>
      <c r="BO7" s="139" t="s">
        <v>112</v>
      </c>
      <c r="BP7" s="139" t="s">
        <v>117</v>
      </c>
      <c r="BQ7" s="179" t="s">
        <v>65</v>
      </c>
    </row>
    <row r="8" spans="1:74"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79"/>
      <c r="AM8" s="139"/>
      <c r="AN8" s="139"/>
      <c r="AO8" s="139"/>
      <c r="AP8" s="139"/>
      <c r="AQ8" s="139"/>
      <c r="AR8" s="158"/>
      <c r="AS8" s="139"/>
      <c r="AT8" s="139"/>
      <c r="AU8" s="139"/>
      <c r="AV8" s="139"/>
      <c r="AW8" s="139"/>
      <c r="AX8" s="139"/>
      <c r="AY8" s="139"/>
      <c r="AZ8" s="139"/>
      <c r="BA8" s="139"/>
      <c r="BB8" s="139"/>
      <c r="BC8" s="139"/>
      <c r="BD8" s="139"/>
      <c r="BE8" s="177"/>
      <c r="BF8" s="139"/>
      <c r="BG8" s="139"/>
      <c r="BH8" s="139"/>
      <c r="BI8" s="177"/>
      <c r="BJ8" s="177"/>
      <c r="BK8" s="139"/>
      <c r="BL8" s="139"/>
      <c r="BM8" s="139"/>
      <c r="BN8" s="139"/>
      <c r="BO8" s="139"/>
      <c r="BP8" s="139"/>
      <c r="BQ8" s="179"/>
    </row>
    <row r="9" spans="1:74"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79"/>
      <c r="AM9" s="139"/>
      <c r="AN9" s="139"/>
      <c r="AO9" s="139"/>
      <c r="AP9" s="139"/>
      <c r="AQ9" s="139"/>
      <c r="AR9" s="158"/>
      <c r="AS9" s="139"/>
      <c r="AT9" s="139"/>
      <c r="AU9" s="139"/>
      <c r="AV9" s="139"/>
      <c r="AW9" s="139"/>
      <c r="AX9" s="139"/>
      <c r="AY9" s="139"/>
      <c r="AZ9" s="139"/>
      <c r="BA9" s="139"/>
      <c r="BB9" s="139"/>
      <c r="BC9" s="139"/>
      <c r="BD9" s="139"/>
      <c r="BE9" s="177"/>
      <c r="BF9" s="139"/>
      <c r="BG9" s="139"/>
      <c r="BH9" s="139"/>
      <c r="BI9" s="177"/>
      <c r="BJ9" s="177"/>
      <c r="BK9" s="139"/>
      <c r="BL9" s="139"/>
      <c r="BM9" s="139"/>
      <c r="BN9" s="139"/>
      <c r="BO9" s="139"/>
      <c r="BP9" s="139"/>
      <c r="BQ9" s="179"/>
    </row>
    <row r="10" spans="1:74"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79"/>
      <c r="AM10" s="139"/>
      <c r="AN10" s="139"/>
      <c r="AO10" s="139"/>
      <c r="AP10" s="139"/>
      <c r="AQ10" s="139"/>
      <c r="AR10" s="158"/>
      <c r="AS10" s="139"/>
      <c r="AT10" s="139"/>
      <c r="AU10" s="139"/>
      <c r="AV10" s="139"/>
      <c r="AW10" s="139"/>
      <c r="AX10" s="139"/>
      <c r="AY10" s="139"/>
      <c r="AZ10" s="139"/>
      <c r="BA10" s="139"/>
      <c r="BB10" s="139"/>
      <c r="BC10" s="139"/>
      <c r="BD10" s="139"/>
      <c r="BE10" s="177"/>
      <c r="BF10" s="139"/>
      <c r="BG10" s="139"/>
      <c r="BH10" s="139"/>
      <c r="BI10" s="177"/>
      <c r="BJ10" s="177"/>
      <c r="BK10" s="139"/>
      <c r="BL10" s="139"/>
      <c r="BM10" s="139"/>
      <c r="BN10" s="139"/>
      <c r="BO10" s="139"/>
      <c r="BP10" s="139"/>
      <c r="BQ10" s="179"/>
    </row>
    <row r="11" spans="1:74"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79"/>
      <c r="AM11" s="139"/>
      <c r="AN11" s="139"/>
      <c r="AO11" s="139"/>
      <c r="AP11" s="139"/>
      <c r="AQ11" s="139"/>
      <c r="AR11" s="158"/>
      <c r="AS11" s="139"/>
      <c r="AT11" s="139"/>
      <c r="AU11" s="139"/>
      <c r="AV11" s="139"/>
      <c r="AW11" s="139"/>
      <c r="AX11" s="139"/>
      <c r="AY11" s="139"/>
      <c r="AZ11" s="139"/>
      <c r="BA11" s="139"/>
      <c r="BB11" s="139"/>
      <c r="BC11" s="139"/>
      <c r="BD11" s="139"/>
      <c r="BE11" s="178"/>
      <c r="BF11" s="139"/>
      <c r="BG11" s="139"/>
      <c r="BH11" s="139"/>
      <c r="BI11" s="178"/>
      <c r="BJ11" s="178"/>
      <c r="BK11" s="139"/>
      <c r="BL11" s="139"/>
      <c r="BM11" s="139"/>
      <c r="BN11" s="139"/>
      <c r="BO11" s="139"/>
      <c r="BP11" s="139"/>
      <c r="BQ11" s="179"/>
    </row>
    <row r="12" spans="1:74" s="3" customFormat="1" ht="21.9" customHeight="1" x14ac:dyDescent="0.25">
      <c r="A12" s="125" t="s">
        <v>343</v>
      </c>
      <c r="B12" s="32"/>
      <c r="C12" s="51" t="s">
        <v>75</v>
      </c>
      <c r="D12" s="52"/>
      <c r="E12" s="16">
        <v>388293</v>
      </c>
      <c r="F12" s="16">
        <v>5071</v>
      </c>
      <c r="G12" s="16">
        <v>3639</v>
      </c>
      <c r="H12" s="16">
        <v>1945</v>
      </c>
      <c r="I12" s="16">
        <v>326</v>
      </c>
      <c r="J12" s="16">
        <v>1445</v>
      </c>
      <c r="K12" s="16">
        <v>2358</v>
      </c>
      <c r="L12" s="16">
        <v>1162</v>
      </c>
      <c r="M12" s="16">
        <v>20719</v>
      </c>
      <c r="N12" s="16">
        <v>5941</v>
      </c>
      <c r="O12" s="16">
        <v>1491</v>
      </c>
      <c r="P12" s="16">
        <v>4910</v>
      </c>
      <c r="Q12" s="16">
        <v>1624</v>
      </c>
      <c r="R12" s="16">
        <v>126</v>
      </c>
      <c r="S12" s="16">
        <v>4707</v>
      </c>
      <c r="T12" s="16">
        <v>4982</v>
      </c>
      <c r="U12" s="16">
        <v>2672</v>
      </c>
      <c r="V12" s="16">
        <v>7470</v>
      </c>
      <c r="W12" s="16">
        <v>16233</v>
      </c>
      <c r="X12" s="16">
        <v>2703</v>
      </c>
      <c r="Y12" s="16">
        <v>3997</v>
      </c>
      <c r="Z12" s="16">
        <v>3459</v>
      </c>
      <c r="AA12" s="16">
        <v>9598</v>
      </c>
      <c r="AB12" s="16">
        <v>5130</v>
      </c>
      <c r="AC12" s="16">
        <v>2726</v>
      </c>
      <c r="AD12" s="16">
        <v>2491</v>
      </c>
      <c r="AE12" s="16">
        <v>3722</v>
      </c>
      <c r="AF12" s="16">
        <v>39000</v>
      </c>
      <c r="AG12" s="16">
        <v>13582</v>
      </c>
      <c r="AH12" s="16">
        <v>6133</v>
      </c>
      <c r="AI12" s="16">
        <v>18217</v>
      </c>
      <c r="AJ12" s="16">
        <v>3083</v>
      </c>
      <c r="AK12" s="16">
        <v>6115</v>
      </c>
      <c r="AL12" s="16">
        <v>736</v>
      </c>
      <c r="AM12" s="98">
        <v>3996</v>
      </c>
      <c r="AN12" s="16">
        <v>1653</v>
      </c>
      <c r="AO12" s="16">
        <v>1163</v>
      </c>
      <c r="AP12" s="16">
        <v>5570</v>
      </c>
      <c r="AQ12" s="16">
        <v>1274</v>
      </c>
      <c r="AR12" s="16">
        <v>1144</v>
      </c>
      <c r="AS12" s="16">
        <v>2781</v>
      </c>
      <c r="AT12" s="16">
        <v>2161</v>
      </c>
      <c r="AU12" s="16">
        <v>1105</v>
      </c>
      <c r="AV12" s="16">
        <v>3954</v>
      </c>
      <c r="AW12" s="16">
        <v>33988</v>
      </c>
      <c r="AX12" s="16">
        <v>7919</v>
      </c>
      <c r="AY12" s="16">
        <v>1162</v>
      </c>
      <c r="AZ12" s="16">
        <v>12066</v>
      </c>
      <c r="BA12" s="16">
        <v>7452</v>
      </c>
      <c r="BB12" s="16">
        <v>629</v>
      </c>
      <c r="BC12" s="16">
        <v>2954</v>
      </c>
      <c r="BD12" s="16">
        <v>1845</v>
      </c>
      <c r="BE12" s="16">
        <v>1879</v>
      </c>
      <c r="BF12" s="16">
        <v>7952</v>
      </c>
      <c r="BG12" s="16">
        <v>5428</v>
      </c>
      <c r="BH12" s="16">
        <v>9351</v>
      </c>
      <c r="BI12" s="16">
        <v>6905</v>
      </c>
      <c r="BJ12" s="16">
        <v>10884</v>
      </c>
      <c r="BK12" s="16">
        <v>8232</v>
      </c>
      <c r="BL12" s="16">
        <v>4666</v>
      </c>
      <c r="BM12" s="16">
        <v>5879</v>
      </c>
      <c r="BN12" s="16">
        <v>5319</v>
      </c>
      <c r="BO12" s="16">
        <v>3563</v>
      </c>
      <c r="BP12" s="16">
        <v>3055</v>
      </c>
      <c r="BQ12" s="16">
        <v>14851</v>
      </c>
      <c r="BR12" s="5"/>
      <c r="BS12" s="5"/>
      <c r="BT12" s="5"/>
    </row>
    <row r="13" spans="1:74" s="3" customFormat="1" ht="21.9" customHeight="1" x14ac:dyDescent="0.25">
      <c r="A13" s="125"/>
      <c r="B13" s="5"/>
      <c r="C13" s="47" t="s">
        <v>76</v>
      </c>
      <c r="D13" s="48"/>
      <c r="E13" s="16">
        <v>4309</v>
      </c>
      <c r="F13" s="26">
        <v>3</v>
      </c>
      <c r="G13" s="26">
        <v>6</v>
      </c>
      <c r="H13" s="26">
        <v>10</v>
      </c>
      <c r="I13" s="26">
        <v>2</v>
      </c>
      <c r="J13" s="26">
        <v>7</v>
      </c>
      <c r="K13" s="26">
        <v>19</v>
      </c>
      <c r="L13" s="26">
        <v>1</v>
      </c>
      <c r="M13" s="26">
        <v>73</v>
      </c>
      <c r="N13" s="26">
        <v>57</v>
      </c>
      <c r="O13" s="26">
        <v>9</v>
      </c>
      <c r="P13" s="26">
        <v>18</v>
      </c>
      <c r="Q13" s="26">
        <v>20</v>
      </c>
      <c r="R13" s="26">
        <v>0</v>
      </c>
      <c r="S13" s="26">
        <v>95</v>
      </c>
      <c r="T13" s="26">
        <v>92</v>
      </c>
      <c r="U13" s="26">
        <v>26</v>
      </c>
      <c r="V13" s="26">
        <v>41</v>
      </c>
      <c r="W13" s="26">
        <v>215</v>
      </c>
      <c r="X13" s="26">
        <v>9</v>
      </c>
      <c r="Y13" s="26">
        <v>64</v>
      </c>
      <c r="Z13" s="26">
        <v>26</v>
      </c>
      <c r="AA13" s="26">
        <v>57</v>
      </c>
      <c r="AB13" s="26">
        <v>136</v>
      </c>
      <c r="AC13" s="26">
        <v>10</v>
      </c>
      <c r="AD13" s="26">
        <v>31</v>
      </c>
      <c r="AE13" s="26">
        <v>74</v>
      </c>
      <c r="AF13" s="26">
        <v>358</v>
      </c>
      <c r="AG13" s="26">
        <v>124</v>
      </c>
      <c r="AH13" s="26">
        <v>58</v>
      </c>
      <c r="AI13" s="26">
        <v>417</v>
      </c>
      <c r="AJ13" s="26">
        <v>111</v>
      </c>
      <c r="AK13" s="26">
        <v>139</v>
      </c>
      <c r="AL13" s="26">
        <v>2</v>
      </c>
      <c r="AM13" s="99">
        <v>143</v>
      </c>
      <c r="AN13" s="26">
        <v>6</v>
      </c>
      <c r="AO13" s="26">
        <v>1</v>
      </c>
      <c r="AP13" s="26">
        <v>68</v>
      </c>
      <c r="AQ13" s="26">
        <v>0</v>
      </c>
      <c r="AR13" s="26">
        <v>0</v>
      </c>
      <c r="AS13" s="26">
        <v>1</v>
      </c>
      <c r="AT13" s="26">
        <v>137</v>
      </c>
      <c r="AU13" s="26">
        <v>54</v>
      </c>
      <c r="AV13" s="26">
        <v>10</v>
      </c>
      <c r="AW13" s="26">
        <v>307</v>
      </c>
      <c r="AX13" s="26">
        <v>112</v>
      </c>
      <c r="AY13" s="26">
        <v>0</v>
      </c>
      <c r="AZ13" s="26">
        <v>23</v>
      </c>
      <c r="BA13" s="26">
        <v>81</v>
      </c>
      <c r="BB13" s="26">
        <v>11</v>
      </c>
      <c r="BC13" s="26">
        <v>44</v>
      </c>
      <c r="BD13" s="26">
        <v>15</v>
      </c>
      <c r="BE13" s="26">
        <v>14</v>
      </c>
      <c r="BF13" s="26">
        <v>19</v>
      </c>
      <c r="BG13" s="26">
        <v>69</v>
      </c>
      <c r="BH13" s="26">
        <v>122</v>
      </c>
      <c r="BI13" s="26">
        <v>147</v>
      </c>
      <c r="BJ13" s="26">
        <v>25</v>
      </c>
      <c r="BK13" s="26">
        <v>162</v>
      </c>
      <c r="BL13" s="26">
        <v>102</v>
      </c>
      <c r="BM13" s="26">
        <v>55</v>
      </c>
      <c r="BN13" s="26">
        <v>14</v>
      </c>
      <c r="BO13" s="26">
        <v>0</v>
      </c>
      <c r="BP13" s="26">
        <v>2</v>
      </c>
      <c r="BQ13" s="26">
        <v>255</v>
      </c>
      <c r="BR13" s="5"/>
      <c r="BS13" s="5"/>
      <c r="BT13" s="5"/>
    </row>
    <row r="14" spans="1:74" s="5" customFormat="1" ht="21.9" customHeight="1" x14ac:dyDescent="0.25">
      <c r="A14" s="125" t="s">
        <v>341</v>
      </c>
      <c r="B14" s="4"/>
      <c r="C14" s="47" t="s">
        <v>75</v>
      </c>
      <c r="D14" s="48"/>
      <c r="E14" s="16">
        <v>16878</v>
      </c>
      <c r="F14" s="16">
        <v>93</v>
      </c>
      <c r="G14" s="16">
        <v>78</v>
      </c>
      <c r="H14" s="16">
        <v>56</v>
      </c>
      <c r="I14" s="16">
        <v>0</v>
      </c>
      <c r="J14" s="16">
        <v>44</v>
      </c>
      <c r="K14" s="16">
        <v>176</v>
      </c>
      <c r="L14" s="16">
        <v>7</v>
      </c>
      <c r="M14" s="16">
        <v>3587</v>
      </c>
      <c r="N14" s="16">
        <v>86</v>
      </c>
      <c r="O14" s="16">
        <v>0</v>
      </c>
      <c r="P14" s="16">
        <v>56</v>
      </c>
      <c r="Q14" s="16">
        <v>97</v>
      </c>
      <c r="R14" s="16">
        <v>0</v>
      </c>
      <c r="S14" s="16">
        <v>186</v>
      </c>
      <c r="T14" s="16">
        <v>117</v>
      </c>
      <c r="U14" s="16">
        <v>4</v>
      </c>
      <c r="V14" s="16">
        <v>255</v>
      </c>
      <c r="W14" s="16">
        <v>523</v>
      </c>
      <c r="X14" s="16">
        <v>26</v>
      </c>
      <c r="Y14" s="16">
        <v>247</v>
      </c>
      <c r="Z14" s="16">
        <v>28</v>
      </c>
      <c r="AA14" s="16">
        <v>452</v>
      </c>
      <c r="AB14" s="16">
        <v>318</v>
      </c>
      <c r="AC14" s="16">
        <v>0</v>
      </c>
      <c r="AD14" s="16">
        <v>24</v>
      </c>
      <c r="AE14" s="16">
        <v>194</v>
      </c>
      <c r="AF14" s="16">
        <v>1096</v>
      </c>
      <c r="AG14" s="16">
        <v>149</v>
      </c>
      <c r="AH14" s="16">
        <v>84</v>
      </c>
      <c r="AI14" s="16">
        <v>804</v>
      </c>
      <c r="AJ14" s="16">
        <v>68</v>
      </c>
      <c r="AK14" s="16">
        <v>29</v>
      </c>
      <c r="AL14" s="16">
        <v>0</v>
      </c>
      <c r="AM14" s="98">
        <v>80</v>
      </c>
      <c r="AN14" s="16">
        <v>6</v>
      </c>
      <c r="AO14" s="16">
        <v>5</v>
      </c>
      <c r="AP14" s="16">
        <v>133</v>
      </c>
      <c r="AQ14" s="16">
        <v>0</v>
      </c>
      <c r="AR14" s="16">
        <v>0</v>
      </c>
      <c r="AS14" s="16">
        <v>0</v>
      </c>
      <c r="AT14" s="16">
        <v>121</v>
      </c>
      <c r="AU14" s="16">
        <v>68</v>
      </c>
      <c r="AV14" s="16">
        <v>33</v>
      </c>
      <c r="AW14" s="16">
        <v>744</v>
      </c>
      <c r="AX14" s="16">
        <v>236</v>
      </c>
      <c r="AY14" s="16">
        <v>0</v>
      </c>
      <c r="AZ14" s="16">
        <v>271</v>
      </c>
      <c r="BA14" s="16">
        <v>311</v>
      </c>
      <c r="BB14" s="16">
        <v>13</v>
      </c>
      <c r="BC14" s="16">
        <v>146</v>
      </c>
      <c r="BD14" s="16">
        <v>93</v>
      </c>
      <c r="BE14" s="16">
        <v>0</v>
      </c>
      <c r="BF14" s="16">
        <v>53</v>
      </c>
      <c r="BG14" s="16">
        <v>80</v>
      </c>
      <c r="BH14" s="16">
        <v>204</v>
      </c>
      <c r="BI14" s="16">
        <v>12</v>
      </c>
      <c r="BJ14" s="16">
        <v>80</v>
      </c>
      <c r="BK14" s="16">
        <v>269</v>
      </c>
      <c r="BL14" s="16">
        <v>254</v>
      </c>
      <c r="BM14" s="16">
        <v>22</v>
      </c>
      <c r="BN14" s="16">
        <v>27</v>
      </c>
      <c r="BO14" s="16">
        <v>2</v>
      </c>
      <c r="BP14" s="16">
        <v>1</v>
      </c>
      <c r="BQ14" s="16">
        <v>4730</v>
      </c>
    </row>
    <row r="15" spans="1:74" s="5" customFormat="1" ht="21.9" customHeight="1" x14ac:dyDescent="0.25">
      <c r="A15" s="125"/>
      <c r="B15" s="4"/>
      <c r="C15" s="47" t="s">
        <v>76</v>
      </c>
      <c r="D15" s="48"/>
      <c r="E15" s="16">
        <v>639</v>
      </c>
      <c r="F15" s="16">
        <v>0</v>
      </c>
      <c r="G15" s="16">
        <v>0</v>
      </c>
      <c r="H15" s="16">
        <v>3</v>
      </c>
      <c r="I15" s="16">
        <v>0</v>
      </c>
      <c r="J15" s="16">
        <v>1</v>
      </c>
      <c r="K15" s="16">
        <v>6</v>
      </c>
      <c r="L15" s="16">
        <v>0</v>
      </c>
      <c r="M15" s="16">
        <v>23</v>
      </c>
      <c r="N15" s="16">
        <v>8</v>
      </c>
      <c r="O15" s="16">
        <v>0</v>
      </c>
      <c r="P15" s="16">
        <v>1</v>
      </c>
      <c r="Q15" s="16">
        <v>14</v>
      </c>
      <c r="R15" s="16">
        <v>0</v>
      </c>
      <c r="S15" s="16">
        <v>20</v>
      </c>
      <c r="T15" s="16">
        <v>9</v>
      </c>
      <c r="U15" s="16">
        <v>1</v>
      </c>
      <c r="V15" s="16">
        <v>1</v>
      </c>
      <c r="W15" s="16">
        <v>26</v>
      </c>
      <c r="X15" s="16">
        <v>2</v>
      </c>
      <c r="Y15" s="16">
        <v>15</v>
      </c>
      <c r="Z15" s="16">
        <v>3</v>
      </c>
      <c r="AA15" s="16">
        <v>6</v>
      </c>
      <c r="AB15" s="16">
        <v>12</v>
      </c>
      <c r="AC15" s="16">
        <v>0</v>
      </c>
      <c r="AD15" s="16">
        <v>2</v>
      </c>
      <c r="AE15" s="16">
        <v>7</v>
      </c>
      <c r="AF15" s="16">
        <v>30</v>
      </c>
      <c r="AG15" s="16">
        <v>15</v>
      </c>
      <c r="AH15" s="16">
        <v>2</v>
      </c>
      <c r="AI15" s="16">
        <v>56</v>
      </c>
      <c r="AJ15" s="16">
        <v>7</v>
      </c>
      <c r="AK15" s="16">
        <v>4</v>
      </c>
      <c r="AL15" s="16">
        <v>0</v>
      </c>
      <c r="AM15" s="98">
        <v>3</v>
      </c>
      <c r="AN15" s="16">
        <v>0</v>
      </c>
      <c r="AO15" s="16">
        <v>0</v>
      </c>
      <c r="AP15" s="16">
        <v>4</v>
      </c>
      <c r="AQ15" s="16">
        <v>0</v>
      </c>
      <c r="AR15" s="16">
        <v>0</v>
      </c>
      <c r="AS15" s="16">
        <v>0</v>
      </c>
      <c r="AT15" s="16">
        <v>30</v>
      </c>
      <c r="AU15" s="16">
        <v>7</v>
      </c>
      <c r="AV15" s="16">
        <v>3</v>
      </c>
      <c r="AW15" s="16">
        <v>39</v>
      </c>
      <c r="AX15" s="16">
        <v>0</v>
      </c>
      <c r="AY15" s="16">
        <v>0</v>
      </c>
      <c r="AZ15" s="16">
        <v>8</v>
      </c>
      <c r="BA15" s="16">
        <v>10</v>
      </c>
      <c r="BB15" s="16">
        <v>3</v>
      </c>
      <c r="BC15" s="16">
        <v>13</v>
      </c>
      <c r="BD15" s="16">
        <v>0</v>
      </c>
      <c r="BE15" s="16">
        <v>0</v>
      </c>
      <c r="BF15" s="16">
        <v>0</v>
      </c>
      <c r="BG15" s="16">
        <v>10</v>
      </c>
      <c r="BH15" s="16">
        <v>25</v>
      </c>
      <c r="BI15" s="16">
        <v>3</v>
      </c>
      <c r="BJ15" s="16">
        <v>15</v>
      </c>
      <c r="BK15" s="16">
        <v>12</v>
      </c>
      <c r="BL15" s="16">
        <v>16</v>
      </c>
      <c r="BM15" s="16">
        <v>6</v>
      </c>
      <c r="BN15" s="16">
        <v>0</v>
      </c>
      <c r="BO15" s="16">
        <v>0</v>
      </c>
      <c r="BP15" s="16">
        <v>0</v>
      </c>
      <c r="BQ15" s="16">
        <v>158</v>
      </c>
    </row>
    <row r="16" spans="1:74" s="5" customFormat="1" ht="21.9" customHeight="1" x14ac:dyDescent="0.25">
      <c r="A16" s="125" t="s">
        <v>342</v>
      </c>
      <c r="B16" s="4"/>
      <c r="C16" s="47" t="s">
        <v>75</v>
      </c>
      <c r="D16" s="48"/>
      <c r="E16" s="16">
        <v>82732</v>
      </c>
      <c r="F16" s="16">
        <v>939</v>
      </c>
      <c r="G16" s="16">
        <v>998</v>
      </c>
      <c r="H16" s="16">
        <v>657</v>
      </c>
      <c r="I16" s="16">
        <v>255</v>
      </c>
      <c r="J16" s="16">
        <v>714</v>
      </c>
      <c r="K16" s="16">
        <v>784</v>
      </c>
      <c r="L16" s="16">
        <v>614</v>
      </c>
      <c r="M16" s="16">
        <v>3014</v>
      </c>
      <c r="N16" s="16">
        <v>1668</v>
      </c>
      <c r="O16" s="16">
        <v>712</v>
      </c>
      <c r="P16" s="16">
        <v>638</v>
      </c>
      <c r="Q16" s="16">
        <v>581</v>
      </c>
      <c r="R16" s="16">
        <v>114</v>
      </c>
      <c r="S16" s="16">
        <v>818</v>
      </c>
      <c r="T16" s="16">
        <v>952</v>
      </c>
      <c r="U16" s="16">
        <v>746</v>
      </c>
      <c r="V16" s="16">
        <v>2621</v>
      </c>
      <c r="W16" s="16">
        <v>3290</v>
      </c>
      <c r="X16" s="16">
        <v>1135</v>
      </c>
      <c r="Y16" s="16">
        <v>1079</v>
      </c>
      <c r="Z16" s="16">
        <v>2251</v>
      </c>
      <c r="AA16" s="16">
        <v>1145</v>
      </c>
      <c r="AB16" s="16">
        <v>1285</v>
      </c>
      <c r="AC16" s="16">
        <v>1520</v>
      </c>
      <c r="AD16" s="16">
        <v>1187</v>
      </c>
      <c r="AE16" s="16">
        <v>412</v>
      </c>
      <c r="AF16" s="16">
        <v>2694</v>
      </c>
      <c r="AG16" s="16">
        <v>2046</v>
      </c>
      <c r="AH16" s="16">
        <v>1185</v>
      </c>
      <c r="AI16" s="16">
        <v>1869</v>
      </c>
      <c r="AJ16" s="16">
        <v>643</v>
      </c>
      <c r="AK16" s="16">
        <v>1081</v>
      </c>
      <c r="AL16" s="16">
        <v>609</v>
      </c>
      <c r="AM16" s="98">
        <v>1212</v>
      </c>
      <c r="AN16" s="16">
        <v>762</v>
      </c>
      <c r="AO16" s="16">
        <v>903</v>
      </c>
      <c r="AP16" s="16">
        <v>956</v>
      </c>
      <c r="AQ16" s="16">
        <v>597</v>
      </c>
      <c r="AR16" s="16">
        <v>818</v>
      </c>
      <c r="AS16" s="16">
        <v>1055</v>
      </c>
      <c r="AT16" s="16">
        <v>242</v>
      </c>
      <c r="AU16" s="16">
        <v>376</v>
      </c>
      <c r="AV16" s="16">
        <v>1475</v>
      </c>
      <c r="AW16" s="16">
        <v>2005</v>
      </c>
      <c r="AX16" s="16">
        <v>872</v>
      </c>
      <c r="AY16" s="16">
        <v>927</v>
      </c>
      <c r="AZ16" s="16">
        <v>1240</v>
      </c>
      <c r="BA16" s="16">
        <v>599</v>
      </c>
      <c r="BB16" s="16">
        <v>5</v>
      </c>
      <c r="BC16" s="16">
        <v>608</v>
      </c>
      <c r="BD16" s="16">
        <v>383</v>
      </c>
      <c r="BE16" s="16">
        <v>422</v>
      </c>
      <c r="BF16" s="16">
        <v>1732</v>
      </c>
      <c r="BG16" s="16">
        <v>1317</v>
      </c>
      <c r="BH16" s="16">
        <v>1110</v>
      </c>
      <c r="BI16" s="16">
        <v>2030</v>
      </c>
      <c r="BJ16" s="16">
        <v>4891</v>
      </c>
      <c r="BK16" s="16">
        <v>876</v>
      </c>
      <c r="BL16" s="16">
        <v>1454</v>
      </c>
      <c r="BM16" s="16">
        <v>2112</v>
      </c>
      <c r="BN16" s="16">
        <v>1067</v>
      </c>
      <c r="BO16" s="16">
        <v>2485</v>
      </c>
      <c r="BP16" s="16">
        <v>2836</v>
      </c>
      <c r="BQ16" s="16">
        <v>5109</v>
      </c>
    </row>
    <row r="17" spans="1:69" s="5" customFormat="1" ht="21.9" customHeight="1" x14ac:dyDescent="0.25">
      <c r="A17" s="125"/>
      <c r="B17" s="4"/>
      <c r="C17" s="47" t="s">
        <v>76</v>
      </c>
      <c r="D17" s="48"/>
      <c r="E17" s="16">
        <v>333</v>
      </c>
      <c r="F17" s="16">
        <v>0</v>
      </c>
      <c r="G17" s="16">
        <v>0</v>
      </c>
      <c r="H17" s="16">
        <v>0</v>
      </c>
      <c r="I17" s="16">
        <v>0</v>
      </c>
      <c r="J17" s="16">
        <v>1</v>
      </c>
      <c r="K17" s="16">
        <v>3</v>
      </c>
      <c r="L17" s="16">
        <v>0</v>
      </c>
      <c r="M17" s="16">
        <v>0</v>
      </c>
      <c r="N17" s="16">
        <v>2</v>
      </c>
      <c r="O17" s="16">
        <v>0</v>
      </c>
      <c r="P17" s="16">
        <v>2</v>
      </c>
      <c r="Q17" s="16">
        <v>0</v>
      </c>
      <c r="R17" s="16">
        <v>0</v>
      </c>
      <c r="S17" s="16">
        <v>10</v>
      </c>
      <c r="T17" s="16">
        <v>4</v>
      </c>
      <c r="U17" s="16">
        <v>0</v>
      </c>
      <c r="V17" s="16">
        <v>0</v>
      </c>
      <c r="W17" s="16">
        <v>27</v>
      </c>
      <c r="X17" s="16">
        <v>1</v>
      </c>
      <c r="Y17" s="16">
        <v>4</v>
      </c>
      <c r="Z17" s="16">
        <v>1</v>
      </c>
      <c r="AA17" s="16">
        <v>3</v>
      </c>
      <c r="AB17" s="16">
        <v>41</v>
      </c>
      <c r="AC17" s="16">
        <v>0</v>
      </c>
      <c r="AD17" s="16">
        <v>0</v>
      </c>
      <c r="AE17" s="16">
        <v>5</v>
      </c>
      <c r="AF17" s="16">
        <v>4</v>
      </c>
      <c r="AG17" s="16">
        <v>3</v>
      </c>
      <c r="AH17" s="16">
        <v>1</v>
      </c>
      <c r="AI17" s="16">
        <v>39</v>
      </c>
      <c r="AJ17" s="16">
        <v>12</v>
      </c>
      <c r="AK17" s="16">
        <v>0</v>
      </c>
      <c r="AL17" s="16">
        <v>0</v>
      </c>
      <c r="AM17" s="98">
        <v>29</v>
      </c>
      <c r="AN17" s="16">
        <v>0</v>
      </c>
      <c r="AO17" s="16">
        <v>0</v>
      </c>
      <c r="AP17" s="16">
        <v>3</v>
      </c>
      <c r="AQ17" s="16">
        <v>0</v>
      </c>
      <c r="AR17" s="16">
        <v>0</v>
      </c>
      <c r="AS17" s="16">
        <v>0</v>
      </c>
      <c r="AT17" s="16">
        <v>0</v>
      </c>
      <c r="AU17" s="16">
        <v>25</v>
      </c>
      <c r="AV17" s="16">
        <v>0</v>
      </c>
      <c r="AW17" s="16">
        <v>42</v>
      </c>
      <c r="AX17" s="16">
        <v>1</v>
      </c>
      <c r="AY17" s="16">
        <v>0</v>
      </c>
      <c r="AZ17" s="16">
        <v>1</v>
      </c>
      <c r="BA17" s="16">
        <v>10</v>
      </c>
      <c r="BB17" s="16">
        <v>0</v>
      </c>
      <c r="BC17" s="16">
        <v>1</v>
      </c>
      <c r="BD17" s="16">
        <v>0</v>
      </c>
      <c r="BE17" s="16">
        <v>0</v>
      </c>
      <c r="BF17" s="16">
        <v>1</v>
      </c>
      <c r="BG17" s="16">
        <v>6</v>
      </c>
      <c r="BH17" s="16">
        <v>8</v>
      </c>
      <c r="BI17" s="16">
        <v>6</v>
      </c>
      <c r="BJ17" s="16">
        <v>0</v>
      </c>
      <c r="BK17" s="16">
        <v>0</v>
      </c>
      <c r="BL17" s="16">
        <v>3</v>
      </c>
      <c r="BM17" s="16">
        <v>21</v>
      </c>
      <c r="BN17" s="16">
        <v>0</v>
      </c>
      <c r="BO17" s="16">
        <v>0</v>
      </c>
      <c r="BP17" s="16">
        <v>0</v>
      </c>
      <c r="BQ17" s="16">
        <v>13</v>
      </c>
    </row>
    <row r="18" spans="1:69" s="5" customFormat="1" ht="21.9" customHeight="1" x14ac:dyDescent="0.25">
      <c r="A18" s="125" t="s">
        <v>176</v>
      </c>
      <c r="C18" s="47" t="s">
        <v>75</v>
      </c>
      <c r="D18" s="48"/>
      <c r="E18" s="16">
        <v>17004</v>
      </c>
      <c r="F18" s="16">
        <v>498</v>
      </c>
      <c r="G18" s="16">
        <v>330</v>
      </c>
      <c r="H18" s="16">
        <v>155</v>
      </c>
      <c r="I18" s="16">
        <v>3</v>
      </c>
      <c r="J18" s="16">
        <v>39</v>
      </c>
      <c r="K18" s="16">
        <v>135</v>
      </c>
      <c r="L18" s="16">
        <v>69</v>
      </c>
      <c r="M18" s="16">
        <v>260</v>
      </c>
      <c r="N18" s="16">
        <v>193</v>
      </c>
      <c r="O18" s="16">
        <v>44</v>
      </c>
      <c r="P18" s="16">
        <v>81</v>
      </c>
      <c r="Q18" s="16">
        <v>45</v>
      </c>
      <c r="R18" s="16">
        <v>0</v>
      </c>
      <c r="S18" s="16">
        <v>174</v>
      </c>
      <c r="T18" s="16">
        <v>120</v>
      </c>
      <c r="U18" s="16">
        <v>100</v>
      </c>
      <c r="V18" s="16">
        <v>440</v>
      </c>
      <c r="W18" s="16">
        <v>1212</v>
      </c>
      <c r="X18" s="16">
        <v>49</v>
      </c>
      <c r="Y18" s="16">
        <v>101</v>
      </c>
      <c r="Z18" s="16">
        <v>51</v>
      </c>
      <c r="AA18" s="16">
        <v>1255</v>
      </c>
      <c r="AB18" s="16">
        <v>218</v>
      </c>
      <c r="AC18" s="16">
        <v>44</v>
      </c>
      <c r="AD18" s="16">
        <v>62</v>
      </c>
      <c r="AE18" s="16">
        <v>218</v>
      </c>
      <c r="AF18" s="16">
        <v>1358</v>
      </c>
      <c r="AG18" s="16">
        <v>509</v>
      </c>
      <c r="AH18" s="16">
        <v>276</v>
      </c>
      <c r="AI18" s="16">
        <v>530</v>
      </c>
      <c r="AJ18" s="16">
        <v>65</v>
      </c>
      <c r="AK18" s="16">
        <v>153</v>
      </c>
      <c r="AL18" s="16">
        <v>4</v>
      </c>
      <c r="AM18" s="98">
        <v>69</v>
      </c>
      <c r="AN18" s="16">
        <v>22</v>
      </c>
      <c r="AO18" s="16">
        <v>11</v>
      </c>
      <c r="AP18" s="16">
        <v>103</v>
      </c>
      <c r="AQ18" s="16">
        <v>7</v>
      </c>
      <c r="AR18" s="16">
        <v>26</v>
      </c>
      <c r="AS18" s="16">
        <v>1</v>
      </c>
      <c r="AT18" s="16">
        <v>184</v>
      </c>
      <c r="AU18" s="16">
        <v>44</v>
      </c>
      <c r="AV18" s="16">
        <v>144</v>
      </c>
      <c r="AW18" s="16">
        <v>2450</v>
      </c>
      <c r="AX18" s="16">
        <v>380</v>
      </c>
      <c r="AY18" s="16">
        <v>18</v>
      </c>
      <c r="AZ18" s="16">
        <v>984</v>
      </c>
      <c r="BA18" s="16">
        <v>292</v>
      </c>
      <c r="BB18" s="16">
        <v>21</v>
      </c>
      <c r="BC18" s="16">
        <v>94</v>
      </c>
      <c r="BD18" s="16">
        <v>28</v>
      </c>
      <c r="BE18" s="16">
        <v>2</v>
      </c>
      <c r="BF18" s="16">
        <v>192</v>
      </c>
      <c r="BG18" s="16">
        <v>265</v>
      </c>
      <c r="BH18" s="16">
        <v>454</v>
      </c>
      <c r="BI18" s="16">
        <v>200</v>
      </c>
      <c r="BJ18" s="16">
        <v>450</v>
      </c>
      <c r="BK18" s="16">
        <v>221</v>
      </c>
      <c r="BL18" s="16">
        <v>66</v>
      </c>
      <c r="BM18" s="16">
        <v>149</v>
      </c>
      <c r="BN18" s="16">
        <v>693</v>
      </c>
      <c r="BO18" s="16">
        <v>0</v>
      </c>
      <c r="BP18" s="16">
        <v>14</v>
      </c>
      <c r="BQ18" s="16">
        <v>629</v>
      </c>
    </row>
    <row r="19" spans="1:69" s="5" customFormat="1" ht="21.9" customHeight="1" x14ac:dyDescent="0.25">
      <c r="A19" s="125"/>
      <c r="C19" s="47" t="s">
        <v>76</v>
      </c>
      <c r="D19" s="48"/>
      <c r="E19" s="16">
        <v>314</v>
      </c>
      <c r="F19" s="16">
        <v>0</v>
      </c>
      <c r="G19" s="16">
        <v>0</v>
      </c>
      <c r="H19" s="16">
        <v>1</v>
      </c>
      <c r="I19" s="16">
        <v>0</v>
      </c>
      <c r="J19" s="16">
        <v>1</v>
      </c>
      <c r="K19" s="16">
        <v>0</v>
      </c>
      <c r="L19" s="16">
        <v>0</v>
      </c>
      <c r="M19" s="16">
        <v>8</v>
      </c>
      <c r="N19" s="16">
        <v>10</v>
      </c>
      <c r="O19" s="16">
        <v>1</v>
      </c>
      <c r="P19" s="16">
        <v>0</v>
      </c>
      <c r="Q19" s="16">
        <v>2</v>
      </c>
      <c r="R19" s="16">
        <v>0</v>
      </c>
      <c r="S19" s="16">
        <v>3</v>
      </c>
      <c r="T19" s="16">
        <v>8</v>
      </c>
      <c r="U19" s="16">
        <v>1</v>
      </c>
      <c r="V19" s="16">
        <v>9</v>
      </c>
      <c r="W19" s="16">
        <v>17</v>
      </c>
      <c r="X19" s="16">
        <v>2</v>
      </c>
      <c r="Y19" s="16">
        <v>4</v>
      </c>
      <c r="Z19" s="16">
        <v>1</v>
      </c>
      <c r="AA19" s="16">
        <v>5</v>
      </c>
      <c r="AB19" s="16">
        <v>5</v>
      </c>
      <c r="AC19" s="16">
        <v>1</v>
      </c>
      <c r="AD19" s="16">
        <v>4</v>
      </c>
      <c r="AE19" s="16">
        <v>8</v>
      </c>
      <c r="AF19" s="16">
        <v>14</v>
      </c>
      <c r="AG19" s="16">
        <v>16</v>
      </c>
      <c r="AH19" s="16">
        <v>5</v>
      </c>
      <c r="AI19" s="16">
        <v>11</v>
      </c>
      <c r="AJ19" s="16">
        <v>4</v>
      </c>
      <c r="AK19" s="16">
        <v>16</v>
      </c>
      <c r="AL19" s="16">
        <v>0</v>
      </c>
      <c r="AM19" s="98">
        <v>7</v>
      </c>
      <c r="AN19" s="16">
        <v>1</v>
      </c>
      <c r="AO19" s="16">
        <v>0</v>
      </c>
      <c r="AP19" s="16">
        <v>2</v>
      </c>
      <c r="AQ19" s="16">
        <v>0</v>
      </c>
      <c r="AR19" s="16">
        <v>0</v>
      </c>
      <c r="AS19" s="16">
        <v>0</v>
      </c>
      <c r="AT19" s="16">
        <v>15</v>
      </c>
      <c r="AU19" s="16">
        <v>1</v>
      </c>
      <c r="AV19" s="16">
        <v>1</v>
      </c>
      <c r="AW19" s="16">
        <v>16</v>
      </c>
      <c r="AX19" s="16">
        <v>16</v>
      </c>
      <c r="AY19" s="16">
        <v>0</v>
      </c>
      <c r="AZ19" s="16">
        <v>4</v>
      </c>
      <c r="BA19" s="16">
        <v>10</v>
      </c>
      <c r="BB19" s="16">
        <v>2</v>
      </c>
      <c r="BC19" s="16">
        <v>7</v>
      </c>
      <c r="BD19" s="16">
        <v>4</v>
      </c>
      <c r="BE19" s="16">
        <v>0</v>
      </c>
      <c r="BF19" s="16">
        <v>1</v>
      </c>
      <c r="BG19" s="16">
        <v>9</v>
      </c>
      <c r="BH19" s="16">
        <v>14</v>
      </c>
      <c r="BI19" s="16">
        <v>1</v>
      </c>
      <c r="BJ19" s="16">
        <v>3</v>
      </c>
      <c r="BK19" s="16">
        <v>15</v>
      </c>
      <c r="BL19" s="16">
        <v>5</v>
      </c>
      <c r="BM19" s="16">
        <v>1</v>
      </c>
      <c r="BN19" s="16">
        <v>5</v>
      </c>
      <c r="BO19" s="16">
        <v>0</v>
      </c>
      <c r="BP19" s="16">
        <v>0</v>
      </c>
      <c r="BQ19" s="16">
        <v>17</v>
      </c>
    </row>
    <row r="20" spans="1:69" s="5" customFormat="1" ht="21.9" customHeight="1" x14ac:dyDescent="0.25">
      <c r="A20" s="125" t="s">
        <v>77</v>
      </c>
      <c r="B20" s="4"/>
      <c r="C20" s="47" t="s">
        <v>75</v>
      </c>
      <c r="D20" s="48"/>
      <c r="E20" s="16">
        <v>10669</v>
      </c>
      <c r="F20" s="16">
        <v>43</v>
      </c>
      <c r="G20" s="16">
        <v>9</v>
      </c>
      <c r="H20" s="16">
        <v>6</v>
      </c>
      <c r="I20" s="16">
        <v>4</v>
      </c>
      <c r="J20" s="16">
        <v>1</v>
      </c>
      <c r="K20" s="16">
        <v>124</v>
      </c>
      <c r="L20" s="16">
        <v>28</v>
      </c>
      <c r="M20" s="16">
        <v>633</v>
      </c>
      <c r="N20" s="16">
        <v>241</v>
      </c>
      <c r="O20" s="16">
        <v>28</v>
      </c>
      <c r="P20" s="16">
        <v>227</v>
      </c>
      <c r="Q20" s="16">
        <v>45</v>
      </c>
      <c r="R20" s="16">
        <v>2</v>
      </c>
      <c r="S20" s="16">
        <v>152</v>
      </c>
      <c r="T20" s="16">
        <v>168</v>
      </c>
      <c r="U20" s="16">
        <v>32</v>
      </c>
      <c r="V20" s="16">
        <v>128</v>
      </c>
      <c r="W20" s="16">
        <v>889</v>
      </c>
      <c r="X20" s="16">
        <v>59</v>
      </c>
      <c r="Y20" s="16">
        <v>221</v>
      </c>
      <c r="Z20" s="16">
        <v>71</v>
      </c>
      <c r="AA20" s="16">
        <v>207</v>
      </c>
      <c r="AB20" s="16">
        <v>165</v>
      </c>
      <c r="AC20" s="16">
        <v>42</v>
      </c>
      <c r="AD20" s="16">
        <v>57</v>
      </c>
      <c r="AE20" s="16">
        <v>100</v>
      </c>
      <c r="AF20" s="16">
        <v>769</v>
      </c>
      <c r="AG20" s="16">
        <v>359</v>
      </c>
      <c r="AH20" s="16">
        <v>120</v>
      </c>
      <c r="AI20" s="16">
        <v>1206</v>
      </c>
      <c r="AJ20" s="16">
        <v>156</v>
      </c>
      <c r="AK20" s="16">
        <v>273</v>
      </c>
      <c r="AL20" s="16">
        <v>6</v>
      </c>
      <c r="AM20" s="98">
        <v>98</v>
      </c>
      <c r="AN20" s="16">
        <v>16</v>
      </c>
      <c r="AO20" s="16">
        <v>33</v>
      </c>
      <c r="AP20" s="16">
        <v>197</v>
      </c>
      <c r="AQ20" s="16">
        <v>0</v>
      </c>
      <c r="AR20" s="16">
        <v>0</v>
      </c>
      <c r="AS20" s="16">
        <v>0</v>
      </c>
      <c r="AT20" s="16">
        <v>109</v>
      </c>
      <c r="AU20" s="16">
        <v>40</v>
      </c>
      <c r="AV20" s="16">
        <v>21</v>
      </c>
      <c r="AW20" s="16">
        <v>400</v>
      </c>
      <c r="AX20" s="16">
        <v>231</v>
      </c>
      <c r="AY20" s="16">
        <v>9</v>
      </c>
      <c r="AZ20" s="16">
        <v>511</v>
      </c>
      <c r="BA20" s="16">
        <v>76</v>
      </c>
      <c r="BB20" s="16">
        <v>3</v>
      </c>
      <c r="BC20" s="16">
        <v>67</v>
      </c>
      <c r="BD20" s="16">
        <v>94</v>
      </c>
      <c r="BE20" s="16">
        <v>0</v>
      </c>
      <c r="BF20" s="16">
        <v>355</v>
      </c>
      <c r="BG20" s="16">
        <v>164</v>
      </c>
      <c r="BH20" s="16">
        <v>229</v>
      </c>
      <c r="BI20" s="16">
        <v>81</v>
      </c>
      <c r="BJ20" s="16">
        <v>22</v>
      </c>
      <c r="BK20" s="16">
        <v>825</v>
      </c>
      <c r="BL20" s="16">
        <v>90</v>
      </c>
      <c r="BM20" s="16">
        <v>56</v>
      </c>
      <c r="BN20" s="16">
        <v>22</v>
      </c>
      <c r="BO20" s="16">
        <v>5</v>
      </c>
      <c r="BP20" s="16">
        <v>9</v>
      </c>
      <c r="BQ20" s="16">
        <v>335</v>
      </c>
    </row>
    <row r="21" spans="1:69" s="5" customFormat="1" ht="21.9" customHeight="1" x14ac:dyDescent="0.25">
      <c r="A21" s="125"/>
      <c r="B21" s="4"/>
      <c r="C21" s="47" t="s">
        <v>76</v>
      </c>
      <c r="D21" s="48"/>
      <c r="E21" s="16">
        <v>237</v>
      </c>
      <c r="F21" s="16">
        <v>0</v>
      </c>
      <c r="G21" s="16">
        <v>0</v>
      </c>
      <c r="H21" s="16">
        <v>0</v>
      </c>
      <c r="I21" s="16">
        <v>0</v>
      </c>
      <c r="J21" s="16">
        <v>0</v>
      </c>
      <c r="K21" s="16">
        <v>0</v>
      </c>
      <c r="L21" s="16">
        <v>0</v>
      </c>
      <c r="M21" s="16">
        <v>5</v>
      </c>
      <c r="N21" s="16">
        <v>4</v>
      </c>
      <c r="O21" s="16">
        <v>2</v>
      </c>
      <c r="P21" s="16">
        <v>0</v>
      </c>
      <c r="Q21" s="16">
        <v>0</v>
      </c>
      <c r="R21" s="16">
        <v>0</v>
      </c>
      <c r="S21" s="16">
        <v>1</v>
      </c>
      <c r="T21" s="16">
        <v>6</v>
      </c>
      <c r="U21" s="16">
        <v>0</v>
      </c>
      <c r="V21" s="16">
        <v>0</v>
      </c>
      <c r="W21" s="16">
        <v>5</v>
      </c>
      <c r="X21" s="16">
        <v>0</v>
      </c>
      <c r="Y21" s="16">
        <v>3</v>
      </c>
      <c r="Z21" s="16">
        <v>1</v>
      </c>
      <c r="AA21" s="16">
        <v>0</v>
      </c>
      <c r="AB21" s="16">
        <v>7</v>
      </c>
      <c r="AC21" s="16">
        <v>0</v>
      </c>
      <c r="AD21" s="16">
        <v>0</v>
      </c>
      <c r="AE21" s="16">
        <v>1</v>
      </c>
      <c r="AF21" s="16">
        <v>8</v>
      </c>
      <c r="AG21" s="16">
        <v>1</v>
      </c>
      <c r="AH21" s="16">
        <v>0</v>
      </c>
      <c r="AI21" s="16">
        <v>44</v>
      </c>
      <c r="AJ21" s="16">
        <v>4</v>
      </c>
      <c r="AK21" s="16">
        <v>8</v>
      </c>
      <c r="AL21" s="16">
        <v>0</v>
      </c>
      <c r="AM21" s="98">
        <v>3</v>
      </c>
      <c r="AN21" s="16">
        <v>1</v>
      </c>
      <c r="AO21" s="16">
        <v>0</v>
      </c>
      <c r="AP21" s="16">
        <v>1</v>
      </c>
      <c r="AQ21" s="16">
        <v>0</v>
      </c>
      <c r="AR21" s="16">
        <v>0</v>
      </c>
      <c r="AS21" s="16">
        <v>0</v>
      </c>
      <c r="AT21" s="16">
        <v>5</v>
      </c>
      <c r="AU21" s="16">
        <v>0</v>
      </c>
      <c r="AV21" s="16">
        <v>0</v>
      </c>
      <c r="AW21" s="16">
        <v>10</v>
      </c>
      <c r="AX21" s="16">
        <v>1</v>
      </c>
      <c r="AY21" s="16">
        <v>0</v>
      </c>
      <c r="AZ21" s="16">
        <v>0</v>
      </c>
      <c r="BA21" s="16">
        <v>2</v>
      </c>
      <c r="BB21" s="16">
        <v>0</v>
      </c>
      <c r="BC21" s="16">
        <v>0</v>
      </c>
      <c r="BD21" s="16">
        <v>0</v>
      </c>
      <c r="BE21" s="16">
        <v>0</v>
      </c>
      <c r="BF21" s="16">
        <v>0</v>
      </c>
      <c r="BG21" s="16">
        <v>12</v>
      </c>
      <c r="BH21" s="16">
        <v>10</v>
      </c>
      <c r="BI21" s="16">
        <v>0</v>
      </c>
      <c r="BJ21" s="16">
        <v>0</v>
      </c>
      <c r="BK21" s="16">
        <v>71</v>
      </c>
      <c r="BL21" s="16">
        <v>8</v>
      </c>
      <c r="BM21" s="16">
        <v>6</v>
      </c>
      <c r="BN21" s="16">
        <v>4</v>
      </c>
      <c r="BO21" s="16">
        <v>0</v>
      </c>
      <c r="BP21" s="16">
        <v>0</v>
      </c>
      <c r="BQ21" s="16">
        <v>3</v>
      </c>
    </row>
    <row r="22" spans="1:69" s="5" customFormat="1" ht="21.9" customHeight="1" x14ac:dyDescent="0.25">
      <c r="A22" s="125" t="s">
        <v>79</v>
      </c>
      <c r="B22" s="4"/>
      <c r="C22" s="47" t="s">
        <v>75</v>
      </c>
      <c r="D22" s="48"/>
      <c r="E22" s="16">
        <v>15413</v>
      </c>
      <c r="F22" s="16">
        <v>222</v>
      </c>
      <c r="G22" s="16">
        <v>76</v>
      </c>
      <c r="H22" s="16">
        <v>47</v>
      </c>
      <c r="I22" s="16">
        <v>6</v>
      </c>
      <c r="J22" s="16">
        <v>20</v>
      </c>
      <c r="K22" s="16">
        <v>66</v>
      </c>
      <c r="L22" s="16">
        <v>106</v>
      </c>
      <c r="M22" s="16">
        <v>775</v>
      </c>
      <c r="N22" s="16">
        <v>244</v>
      </c>
      <c r="O22" s="16">
        <v>37</v>
      </c>
      <c r="P22" s="16">
        <v>168</v>
      </c>
      <c r="Q22" s="16">
        <v>36</v>
      </c>
      <c r="R22" s="16">
        <v>0</v>
      </c>
      <c r="S22" s="16">
        <v>337</v>
      </c>
      <c r="T22" s="16">
        <v>387</v>
      </c>
      <c r="U22" s="16">
        <v>106</v>
      </c>
      <c r="V22" s="16">
        <v>247</v>
      </c>
      <c r="W22" s="16">
        <v>686</v>
      </c>
      <c r="X22" s="16">
        <v>45</v>
      </c>
      <c r="Y22" s="16">
        <v>198</v>
      </c>
      <c r="Z22" s="16">
        <v>119</v>
      </c>
      <c r="AA22" s="16">
        <v>374</v>
      </c>
      <c r="AB22" s="16">
        <v>122</v>
      </c>
      <c r="AC22" s="16">
        <v>62</v>
      </c>
      <c r="AD22" s="16">
        <v>48</v>
      </c>
      <c r="AE22" s="16">
        <v>357</v>
      </c>
      <c r="AF22" s="16">
        <v>1921</v>
      </c>
      <c r="AG22" s="16">
        <v>894</v>
      </c>
      <c r="AH22" s="16">
        <v>443</v>
      </c>
      <c r="AI22" s="16">
        <v>1283</v>
      </c>
      <c r="AJ22" s="16">
        <v>236</v>
      </c>
      <c r="AK22" s="16">
        <v>361</v>
      </c>
      <c r="AL22" s="16">
        <v>3</v>
      </c>
      <c r="AM22" s="98">
        <v>161</v>
      </c>
      <c r="AN22" s="16">
        <v>57</v>
      </c>
      <c r="AO22" s="16">
        <v>17</v>
      </c>
      <c r="AP22" s="16">
        <v>296</v>
      </c>
      <c r="AQ22" s="16">
        <v>3</v>
      </c>
      <c r="AR22" s="16">
        <v>7</v>
      </c>
      <c r="AS22" s="16">
        <v>2</v>
      </c>
      <c r="AT22" s="16">
        <v>120</v>
      </c>
      <c r="AU22" s="16">
        <v>47</v>
      </c>
      <c r="AV22" s="16">
        <v>67</v>
      </c>
      <c r="AW22" s="16">
        <v>1539</v>
      </c>
      <c r="AX22" s="16">
        <v>301</v>
      </c>
      <c r="AY22" s="16">
        <v>22</v>
      </c>
      <c r="AZ22" s="16">
        <v>443</v>
      </c>
      <c r="BA22" s="16">
        <v>160</v>
      </c>
      <c r="BB22" s="16">
        <v>10</v>
      </c>
      <c r="BC22" s="16">
        <v>54</v>
      </c>
      <c r="BD22" s="16">
        <v>15</v>
      </c>
      <c r="BE22" s="16">
        <v>30</v>
      </c>
      <c r="BF22" s="16">
        <v>206</v>
      </c>
      <c r="BG22" s="16">
        <v>109</v>
      </c>
      <c r="BH22" s="16">
        <v>330</v>
      </c>
      <c r="BI22" s="16">
        <v>194</v>
      </c>
      <c r="BJ22" s="16">
        <v>44</v>
      </c>
      <c r="BK22" s="16">
        <v>391</v>
      </c>
      <c r="BL22" s="16">
        <v>103</v>
      </c>
      <c r="BM22" s="16">
        <v>194</v>
      </c>
      <c r="BN22" s="16">
        <v>256</v>
      </c>
      <c r="BO22" s="16">
        <v>3</v>
      </c>
      <c r="BP22" s="16">
        <v>8</v>
      </c>
      <c r="BQ22" s="16">
        <v>192</v>
      </c>
    </row>
    <row r="23" spans="1:69" s="5" customFormat="1" ht="21.9" customHeight="1" x14ac:dyDescent="0.25">
      <c r="A23" s="125"/>
      <c r="B23" s="4"/>
      <c r="C23" s="47" t="s">
        <v>76</v>
      </c>
      <c r="D23" s="48"/>
      <c r="E23" s="16">
        <v>298</v>
      </c>
      <c r="F23" s="16">
        <v>0</v>
      </c>
      <c r="G23" s="16">
        <v>0</v>
      </c>
      <c r="H23" s="16">
        <v>6</v>
      </c>
      <c r="I23" s="16">
        <v>0</v>
      </c>
      <c r="J23" s="16">
        <v>0</v>
      </c>
      <c r="K23" s="16">
        <v>1</v>
      </c>
      <c r="L23" s="16">
        <v>0</v>
      </c>
      <c r="M23" s="16">
        <v>6</v>
      </c>
      <c r="N23" s="16">
        <v>2</v>
      </c>
      <c r="O23" s="16">
        <v>2</v>
      </c>
      <c r="P23" s="16">
        <v>6</v>
      </c>
      <c r="Q23" s="16">
        <v>0</v>
      </c>
      <c r="R23" s="16">
        <v>0</v>
      </c>
      <c r="S23" s="16">
        <v>5</v>
      </c>
      <c r="T23" s="16">
        <v>6</v>
      </c>
      <c r="U23" s="16">
        <v>0</v>
      </c>
      <c r="V23" s="16">
        <v>10</v>
      </c>
      <c r="W23" s="16">
        <v>15</v>
      </c>
      <c r="X23" s="16">
        <v>0</v>
      </c>
      <c r="Y23" s="16">
        <v>2</v>
      </c>
      <c r="Z23" s="16">
        <v>0</v>
      </c>
      <c r="AA23" s="16">
        <v>6</v>
      </c>
      <c r="AB23" s="16">
        <v>4</v>
      </c>
      <c r="AC23" s="16">
        <v>0</v>
      </c>
      <c r="AD23" s="16">
        <v>0</v>
      </c>
      <c r="AE23" s="16">
        <v>6</v>
      </c>
      <c r="AF23" s="16">
        <v>21</v>
      </c>
      <c r="AG23" s="16">
        <v>12</v>
      </c>
      <c r="AH23" s="16">
        <v>6</v>
      </c>
      <c r="AI23" s="16">
        <v>31</v>
      </c>
      <c r="AJ23" s="16">
        <v>16</v>
      </c>
      <c r="AK23" s="16">
        <v>16</v>
      </c>
      <c r="AL23" s="16">
        <v>0</v>
      </c>
      <c r="AM23" s="98">
        <v>3</v>
      </c>
      <c r="AN23" s="16">
        <v>0</v>
      </c>
      <c r="AO23" s="16">
        <v>0</v>
      </c>
      <c r="AP23" s="16">
        <v>5</v>
      </c>
      <c r="AQ23" s="16">
        <v>0</v>
      </c>
      <c r="AR23" s="16">
        <v>0</v>
      </c>
      <c r="AS23" s="16">
        <v>0</v>
      </c>
      <c r="AT23" s="16">
        <v>6</v>
      </c>
      <c r="AU23" s="16">
        <v>2</v>
      </c>
      <c r="AV23" s="16">
        <v>0</v>
      </c>
      <c r="AW23" s="16">
        <v>20</v>
      </c>
      <c r="AX23" s="16">
        <v>0</v>
      </c>
      <c r="AY23" s="16">
        <v>0</v>
      </c>
      <c r="AZ23" s="16">
        <v>0</v>
      </c>
      <c r="BA23" s="16">
        <v>4</v>
      </c>
      <c r="BB23" s="16">
        <v>1</v>
      </c>
      <c r="BC23" s="16">
        <v>6</v>
      </c>
      <c r="BD23" s="16">
        <v>2</v>
      </c>
      <c r="BE23" s="16">
        <v>0</v>
      </c>
      <c r="BF23" s="16">
        <v>6</v>
      </c>
      <c r="BG23" s="16">
        <v>7</v>
      </c>
      <c r="BH23" s="16">
        <v>15</v>
      </c>
      <c r="BI23" s="16">
        <v>6</v>
      </c>
      <c r="BJ23" s="16">
        <v>0</v>
      </c>
      <c r="BK23" s="16">
        <v>9</v>
      </c>
      <c r="BL23" s="16">
        <v>1</v>
      </c>
      <c r="BM23" s="16">
        <v>10</v>
      </c>
      <c r="BN23" s="16">
        <v>0</v>
      </c>
      <c r="BO23" s="16">
        <v>0</v>
      </c>
      <c r="BP23" s="16">
        <v>0</v>
      </c>
      <c r="BQ23" s="16">
        <v>16</v>
      </c>
    </row>
    <row r="24" spans="1:69" s="5" customFormat="1" ht="21.9" customHeight="1" x14ac:dyDescent="0.25">
      <c r="A24" s="125" t="s">
        <v>280</v>
      </c>
      <c r="B24" s="4"/>
      <c r="C24" s="47" t="s">
        <v>75</v>
      </c>
      <c r="D24" s="48"/>
      <c r="E24" s="16">
        <v>44613</v>
      </c>
      <c r="F24" s="16">
        <v>426</v>
      </c>
      <c r="G24" s="16">
        <v>345</v>
      </c>
      <c r="H24" s="16">
        <v>135</v>
      </c>
      <c r="I24" s="16">
        <v>15</v>
      </c>
      <c r="J24" s="16">
        <v>258</v>
      </c>
      <c r="K24" s="16">
        <v>222</v>
      </c>
      <c r="L24" s="16">
        <v>87</v>
      </c>
      <c r="M24" s="16">
        <v>1633</v>
      </c>
      <c r="N24" s="16">
        <v>802</v>
      </c>
      <c r="O24" s="16">
        <v>148</v>
      </c>
      <c r="P24" s="16">
        <v>877</v>
      </c>
      <c r="Q24" s="16">
        <v>162</v>
      </c>
      <c r="R24" s="16">
        <v>1</v>
      </c>
      <c r="S24" s="16">
        <v>612</v>
      </c>
      <c r="T24" s="16">
        <v>544</v>
      </c>
      <c r="U24" s="16">
        <v>421</v>
      </c>
      <c r="V24" s="16">
        <v>791</v>
      </c>
      <c r="W24" s="16">
        <v>1768</v>
      </c>
      <c r="X24" s="16">
        <v>232</v>
      </c>
      <c r="Y24" s="16">
        <v>481</v>
      </c>
      <c r="Z24" s="16">
        <v>257</v>
      </c>
      <c r="AA24" s="16">
        <v>1627</v>
      </c>
      <c r="AB24" s="16">
        <v>588</v>
      </c>
      <c r="AC24" s="16">
        <v>326</v>
      </c>
      <c r="AD24" s="16">
        <v>126</v>
      </c>
      <c r="AE24" s="16">
        <v>546</v>
      </c>
      <c r="AF24" s="16">
        <v>6223</v>
      </c>
      <c r="AG24" s="16">
        <v>1581</v>
      </c>
      <c r="AH24" s="16">
        <v>725</v>
      </c>
      <c r="AI24" s="16">
        <v>1881</v>
      </c>
      <c r="AJ24" s="16">
        <v>289</v>
      </c>
      <c r="AK24" s="16">
        <v>940</v>
      </c>
      <c r="AL24" s="16">
        <v>51</v>
      </c>
      <c r="AM24" s="98">
        <v>400</v>
      </c>
      <c r="AN24" s="16">
        <v>108</v>
      </c>
      <c r="AO24" s="16">
        <v>55</v>
      </c>
      <c r="AP24" s="16">
        <v>451</v>
      </c>
      <c r="AQ24" s="16">
        <v>43</v>
      </c>
      <c r="AR24" s="16">
        <v>0</v>
      </c>
      <c r="AS24" s="16">
        <v>64</v>
      </c>
      <c r="AT24" s="16">
        <v>249</v>
      </c>
      <c r="AU24" s="16">
        <v>189</v>
      </c>
      <c r="AV24" s="16">
        <v>483</v>
      </c>
      <c r="AW24" s="16">
        <v>5101</v>
      </c>
      <c r="AX24" s="16">
        <v>1595</v>
      </c>
      <c r="AY24" s="16">
        <v>32</v>
      </c>
      <c r="AZ24" s="16">
        <v>1393</v>
      </c>
      <c r="BA24" s="16">
        <v>301</v>
      </c>
      <c r="BB24" s="16">
        <v>8</v>
      </c>
      <c r="BC24" s="16">
        <v>150</v>
      </c>
      <c r="BD24" s="16">
        <v>72</v>
      </c>
      <c r="BE24" s="16">
        <v>41</v>
      </c>
      <c r="BF24" s="16">
        <v>1073</v>
      </c>
      <c r="BG24" s="16">
        <v>1029</v>
      </c>
      <c r="BH24" s="16">
        <v>1452</v>
      </c>
      <c r="BI24" s="16">
        <v>856</v>
      </c>
      <c r="BJ24" s="16">
        <v>909</v>
      </c>
      <c r="BK24" s="16">
        <v>827</v>
      </c>
      <c r="BL24" s="16">
        <v>594</v>
      </c>
      <c r="BM24" s="16">
        <v>416</v>
      </c>
      <c r="BN24" s="16">
        <v>446</v>
      </c>
      <c r="BO24" s="16">
        <v>92</v>
      </c>
      <c r="BP24" s="16">
        <v>8</v>
      </c>
      <c r="BQ24" s="16">
        <v>1056</v>
      </c>
    </row>
    <row r="25" spans="1:69" s="5" customFormat="1" ht="21.9" customHeight="1" x14ac:dyDescent="0.25">
      <c r="A25" s="125"/>
      <c r="B25" s="4"/>
      <c r="C25" s="47" t="s">
        <v>184</v>
      </c>
      <c r="D25" s="48"/>
      <c r="E25" s="16">
        <v>516</v>
      </c>
      <c r="F25" s="16">
        <v>0</v>
      </c>
      <c r="G25" s="16">
        <v>3</v>
      </c>
      <c r="H25" s="16">
        <v>0</v>
      </c>
      <c r="I25" s="16">
        <v>0</v>
      </c>
      <c r="J25" s="16">
        <v>0</v>
      </c>
      <c r="K25" s="16">
        <v>6</v>
      </c>
      <c r="L25" s="16">
        <v>0</v>
      </c>
      <c r="M25" s="16">
        <v>7</v>
      </c>
      <c r="N25" s="16">
        <v>5</v>
      </c>
      <c r="O25" s="16">
        <v>0</v>
      </c>
      <c r="P25" s="16">
        <v>5</v>
      </c>
      <c r="Q25" s="16">
        <v>0</v>
      </c>
      <c r="R25" s="16">
        <v>0</v>
      </c>
      <c r="S25" s="16">
        <v>7</v>
      </c>
      <c r="T25" s="16">
        <v>2</v>
      </c>
      <c r="U25" s="16">
        <v>4</v>
      </c>
      <c r="V25" s="16">
        <v>4</v>
      </c>
      <c r="W25" s="16">
        <v>35</v>
      </c>
      <c r="X25" s="16">
        <v>1</v>
      </c>
      <c r="Y25" s="16">
        <v>14</v>
      </c>
      <c r="Z25" s="16">
        <v>1</v>
      </c>
      <c r="AA25" s="16">
        <v>14</v>
      </c>
      <c r="AB25" s="16">
        <v>14</v>
      </c>
      <c r="AC25" s="16">
        <v>2</v>
      </c>
      <c r="AD25" s="16">
        <v>2</v>
      </c>
      <c r="AE25" s="16">
        <v>7</v>
      </c>
      <c r="AF25" s="16">
        <v>22</v>
      </c>
      <c r="AG25" s="16">
        <v>17</v>
      </c>
      <c r="AH25" s="16">
        <v>1</v>
      </c>
      <c r="AI25" s="16">
        <v>56</v>
      </c>
      <c r="AJ25" s="16">
        <v>13</v>
      </c>
      <c r="AK25" s="16">
        <v>15</v>
      </c>
      <c r="AL25" s="16">
        <v>0</v>
      </c>
      <c r="AM25" s="98">
        <v>18</v>
      </c>
      <c r="AN25" s="16">
        <v>0</v>
      </c>
      <c r="AO25" s="16">
        <v>0</v>
      </c>
      <c r="AP25" s="16">
        <v>6</v>
      </c>
      <c r="AQ25" s="16">
        <v>0</v>
      </c>
      <c r="AR25" s="16">
        <v>0</v>
      </c>
      <c r="AS25" s="16">
        <v>1</v>
      </c>
      <c r="AT25" s="16">
        <v>14</v>
      </c>
      <c r="AU25" s="16">
        <v>5</v>
      </c>
      <c r="AV25" s="16">
        <v>0</v>
      </c>
      <c r="AW25" s="16">
        <v>34</v>
      </c>
      <c r="AX25" s="16">
        <v>0</v>
      </c>
      <c r="AY25" s="16">
        <v>0</v>
      </c>
      <c r="AZ25" s="16">
        <v>1</v>
      </c>
      <c r="BA25" s="16">
        <v>14</v>
      </c>
      <c r="BB25" s="16">
        <v>0</v>
      </c>
      <c r="BC25" s="16">
        <v>9</v>
      </c>
      <c r="BD25" s="16">
        <v>1</v>
      </c>
      <c r="BE25" s="16">
        <v>1</v>
      </c>
      <c r="BF25" s="16">
        <v>2</v>
      </c>
      <c r="BG25" s="16">
        <v>7</v>
      </c>
      <c r="BH25" s="16">
        <v>13</v>
      </c>
      <c r="BI25" s="16">
        <v>75</v>
      </c>
      <c r="BJ25" s="16">
        <v>3</v>
      </c>
      <c r="BK25" s="16">
        <v>10</v>
      </c>
      <c r="BL25" s="16">
        <v>27</v>
      </c>
      <c r="BM25" s="16">
        <v>3</v>
      </c>
      <c r="BN25" s="16">
        <v>3</v>
      </c>
      <c r="BO25" s="16">
        <v>0</v>
      </c>
      <c r="BP25" s="16">
        <v>0</v>
      </c>
      <c r="BQ25" s="16">
        <v>12</v>
      </c>
    </row>
    <row r="26" spans="1:69" s="5" customFormat="1" ht="21.9" customHeight="1" x14ac:dyDescent="0.25">
      <c r="A26" s="125" t="s">
        <v>345</v>
      </c>
      <c r="B26" s="4"/>
      <c r="C26" s="47" t="s">
        <v>75</v>
      </c>
      <c r="D26" s="48"/>
      <c r="E26" s="16">
        <v>14987</v>
      </c>
      <c r="F26" s="16">
        <v>82</v>
      </c>
      <c r="G26" s="16">
        <v>37</v>
      </c>
      <c r="H26" s="16">
        <v>23</v>
      </c>
      <c r="I26" s="16">
        <v>2</v>
      </c>
      <c r="J26" s="16">
        <v>18</v>
      </c>
      <c r="K26" s="16">
        <v>34</v>
      </c>
      <c r="L26" s="16">
        <v>18</v>
      </c>
      <c r="M26" s="16">
        <v>620</v>
      </c>
      <c r="N26" s="16">
        <v>109</v>
      </c>
      <c r="O26" s="16">
        <v>44</v>
      </c>
      <c r="P26" s="16">
        <v>145</v>
      </c>
      <c r="Q26" s="16">
        <v>35</v>
      </c>
      <c r="R26" s="16">
        <v>0</v>
      </c>
      <c r="S26" s="16">
        <v>158</v>
      </c>
      <c r="T26" s="16">
        <v>206</v>
      </c>
      <c r="U26" s="16">
        <v>192</v>
      </c>
      <c r="V26" s="16">
        <v>278</v>
      </c>
      <c r="W26" s="16">
        <v>524</v>
      </c>
      <c r="X26" s="16">
        <v>88</v>
      </c>
      <c r="Y26" s="16">
        <v>72</v>
      </c>
      <c r="Z26" s="16">
        <v>100</v>
      </c>
      <c r="AA26" s="16">
        <v>446</v>
      </c>
      <c r="AB26" s="16">
        <v>175</v>
      </c>
      <c r="AC26" s="16">
        <v>64</v>
      </c>
      <c r="AD26" s="16">
        <v>59</v>
      </c>
      <c r="AE26" s="16">
        <v>177</v>
      </c>
      <c r="AF26" s="16">
        <v>2993</v>
      </c>
      <c r="AG26" s="16">
        <v>918</v>
      </c>
      <c r="AH26" s="16">
        <v>252</v>
      </c>
      <c r="AI26" s="16">
        <v>1205</v>
      </c>
      <c r="AJ26" s="16">
        <v>94</v>
      </c>
      <c r="AK26" s="16">
        <v>321</v>
      </c>
      <c r="AL26" s="16">
        <v>2</v>
      </c>
      <c r="AM26" s="98">
        <v>121</v>
      </c>
      <c r="AN26" s="16">
        <v>68</v>
      </c>
      <c r="AO26" s="16">
        <v>8</v>
      </c>
      <c r="AP26" s="16">
        <v>532</v>
      </c>
      <c r="AQ26" s="16">
        <v>52</v>
      </c>
      <c r="AR26" s="16">
        <v>13</v>
      </c>
      <c r="AS26" s="16">
        <v>109</v>
      </c>
      <c r="AT26" s="16">
        <v>23</v>
      </c>
      <c r="AU26" s="16">
        <v>20</v>
      </c>
      <c r="AV26" s="16">
        <v>91</v>
      </c>
      <c r="AW26" s="16">
        <v>1344</v>
      </c>
      <c r="AX26" s="16">
        <v>114</v>
      </c>
      <c r="AY26" s="16">
        <v>4</v>
      </c>
      <c r="AZ26" s="16">
        <v>274</v>
      </c>
      <c r="BA26" s="16">
        <v>323</v>
      </c>
      <c r="BB26" s="16">
        <v>12</v>
      </c>
      <c r="BC26" s="16">
        <v>106</v>
      </c>
      <c r="BD26" s="16">
        <v>62</v>
      </c>
      <c r="BE26" s="16">
        <v>1</v>
      </c>
      <c r="BF26" s="16">
        <v>75</v>
      </c>
      <c r="BG26" s="16">
        <v>192</v>
      </c>
      <c r="BH26" s="16">
        <v>582</v>
      </c>
      <c r="BI26" s="16">
        <v>275</v>
      </c>
      <c r="BJ26" s="16">
        <v>236</v>
      </c>
      <c r="BK26" s="16">
        <v>320</v>
      </c>
      <c r="BL26" s="16">
        <v>139</v>
      </c>
      <c r="BM26" s="16">
        <v>132</v>
      </c>
      <c r="BN26" s="16">
        <v>118</v>
      </c>
      <c r="BO26" s="16">
        <v>2</v>
      </c>
      <c r="BP26" s="16">
        <v>0</v>
      </c>
      <c r="BQ26" s="16">
        <v>148</v>
      </c>
    </row>
    <row r="27" spans="1:69" s="5" customFormat="1" ht="21.9" customHeight="1" x14ac:dyDescent="0.25">
      <c r="A27" s="125"/>
      <c r="B27" s="4"/>
      <c r="C27" s="47" t="s">
        <v>76</v>
      </c>
      <c r="D27" s="48"/>
      <c r="E27" s="16">
        <v>226</v>
      </c>
      <c r="F27" s="16">
        <v>0</v>
      </c>
      <c r="G27" s="16">
        <v>0</v>
      </c>
      <c r="H27" s="16">
        <v>0</v>
      </c>
      <c r="I27" s="16">
        <v>1</v>
      </c>
      <c r="J27" s="16">
        <v>0</v>
      </c>
      <c r="K27" s="16">
        <v>1</v>
      </c>
      <c r="L27" s="16">
        <v>0</v>
      </c>
      <c r="M27" s="16">
        <v>7</v>
      </c>
      <c r="N27" s="16">
        <v>4</v>
      </c>
      <c r="O27" s="16">
        <v>0</v>
      </c>
      <c r="P27" s="16">
        <v>0</v>
      </c>
      <c r="Q27" s="16">
        <v>2</v>
      </c>
      <c r="R27" s="16">
        <v>0</v>
      </c>
      <c r="S27" s="16">
        <v>4</v>
      </c>
      <c r="T27" s="16">
        <v>7</v>
      </c>
      <c r="U27" s="16">
        <v>3</v>
      </c>
      <c r="V27" s="16">
        <v>2</v>
      </c>
      <c r="W27" s="16">
        <v>14</v>
      </c>
      <c r="X27" s="16">
        <v>0</v>
      </c>
      <c r="Y27" s="16">
        <v>0</v>
      </c>
      <c r="Z27" s="16">
        <v>2</v>
      </c>
      <c r="AA27" s="16">
        <v>0</v>
      </c>
      <c r="AB27" s="16">
        <v>12</v>
      </c>
      <c r="AC27" s="16">
        <v>0</v>
      </c>
      <c r="AD27" s="16">
        <v>2</v>
      </c>
      <c r="AE27" s="16">
        <v>2</v>
      </c>
      <c r="AF27" s="16">
        <v>64</v>
      </c>
      <c r="AG27" s="16">
        <v>16</v>
      </c>
      <c r="AH27" s="16">
        <v>7</v>
      </c>
      <c r="AI27" s="16">
        <v>6</v>
      </c>
      <c r="AJ27" s="16">
        <v>3</v>
      </c>
      <c r="AK27" s="16">
        <v>5</v>
      </c>
      <c r="AL27" s="16">
        <v>2</v>
      </c>
      <c r="AM27" s="98">
        <v>7</v>
      </c>
      <c r="AN27" s="16">
        <v>0</v>
      </c>
      <c r="AO27" s="16">
        <v>0</v>
      </c>
      <c r="AP27" s="16">
        <v>10</v>
      </c>
      <c r="AQ27" s="16">
        <v>0</v>
      </c>
      <c r="AR27" s="16">
        <v>0</v>
      </c>
      <c r="AS27" s="16">
        <v>0</v>
      </c>
      <c r="AT27" s="16">
        <v>6</v>
      </c>
      <c r="AU27" s="16">
        <v>1</v>
      </c>
      <c r="AV27" s="16">
        <v>0</v>
      </c>
      <c r="AW27" s="16">
        <v>7</v>
      </c>
      <c r="AX27" s="16">
        <v>3</v>
      </c>
      <c r="AY27" s="16">
        <v>0</v>
      </c>
      <c r="AZ27" s="16">
        <v>1</v>
      </c>
      <c r="BA27" s="16">
        <v>1</v>
      </c>
      <c r="BB27" s="16">
        <v>1</v>
      </c>
      <c r="BC27" s="16">
        <v>0</v>
      </c>
      <c r="BD27" s="16">
        <v>0</v>
      </c>
      <c r="BE27" s="16">
        <v>0</v>
      </c>
      <c r="BF27" s="16">
        <v>0</v>
      </c>
      <c r="BG27" s="16">
        <v>2</v>
      </c>
      <c r="BH27" s="16">
        <v>3</v>
      </c>
      <c r="BI27" s="16">
        <v>9</v>
      </c>
      <c r="BJ27" s="16">
        <v>1</v>
      </c>
      <c r="BK27" s="16">
        <v>1</v>
      </c>
      <c r="BL27" s="16">
        <v>1</v>
      </c>
      <c r="BM27" s="16">
        <v>4</v>
      </c>
      <c r="BN27" s="16">
        <v>0</v>
      </c>
      <c r="BO27" s="16">
        <v>0</v>
      </c>
      <c r="BP27" s="16">
        <v>0</v>
      </c>
      <c r="BQ27" s="16">
        <v>2</v>
      </c>
    </row>
    <row r="28" spans="1:69" s="5" customFormat="1" ht="21.9" customHeight="1" x14ac:dyDescent="0.25">
      <c r="A28" s="125" t="s">
        <v>82</v>
      </c>
      <c r="B28" s="4"/>
      <c r="C28" s="47" t="s">
        <v>75</v>
      </c>
      <c r="D28" s="48"/>
      <c r="E28" s="16">
        <v>6162</v>
      </c>
      <c r="F28" s="16">
        <v>19</v>
      </c>
      <c r="G28" s="16">
        <v>7</v>
      </c>
      <c r="H28" s="16">
        <v>11</v>
      </c>
      <c r="I28" s="16">
        <v>1</v>
      </c>
      <c r="J28" s="16">
        <v>1</v>
      </c>
      <c r="K28" s="16">
        <v>6</v>
      </c>
      <c r="L28" s="16">
        <v>12</v>
      </c>
      <c r="M28" s="16">
        <v>297</v>
      </c>
      <c r="N28" s="16">
        <v>71</v>
      </c>
      <c r="O28" s="16">
        <v>24</v>
      </c>
      <c r="P28" s="16">
        <v>100</v>
      </c>
      <c r="Q28" s="16">
        <v>12</v>
      </c>
      <c r="R28" s="16">
        <v>0</v>
      </c>
      <c r="S28" s="16">
        <v>36</v>
      </c>
      <c r="T28" s="16">
        <v>81</v>
      </c>
      <c r="U28" s="16">
        <v>76</v>
      </c>
      <c r="V28" s="16">
        <v>89</v>
      </c>
      <c r="W28" s="16">
        <v>166</v>
      </c>
      <c r="X28" s="16">
        <v>18</v>
      </c>
      <c r="Y28" s="16">
        <v>50</v>
      </c>
      <c r="Z28" s="16">
        <v>13</v>
      </c>
      <c r="AA28" s="16">
        <v>55</v>
      </c>
      <c r="AB28" s="16">
        <v>77</v>
      </c>
      <c r="AC28" s="16">
        <v>22</v>
      </c>
      <c r="AD28" s="16">
        <v>25</v>
      </c>
      <c r="AE28" s="16">
        <v>141</v>
      </c>
      <c r="AF28" s="16">
        <v>1742</v>
      </c>
      <c r="AG28" s="16">
        <v>611</v>
      </c>
      <c r="AH28" s="16">
        <v>195</v>
      </c>
      <c r="AI28" s="16">
        <v>360</v>
      </c>
      <c r="AJ28" s="16">
        <v>61</v>
      </c>
      <c r="AK28" s="16">
        <v>61</v>
      </c>
      <c r="AL28" s="16">
        <v>0</v>
      </c>
      <c r="AM28" s="98">
        <v>97</v>
      </c>
      <c r="AN28" s="16">
        <v>16</v>
      </c>
      <c r="AO28" s="16">
        <v>1</v>
      </c>
      <c r="AP28" s="16">
        <v>176</v>
      </c>
      <c r="AQ28" s="16">
        <v>0</v>
      </c>
      <c r="AR28" s="16">
        <v>0</v>
      </c>
      <c r="AS28" s="16">
        <v>9</v>
      </c>
      <c r="AT28" s="16">
        <v>60</v>
      </c>
      <c r="AU28" s="16">
        <v>53</v>
      </c>
      <c r="AV28" s="16">
        <v>29</v>
      </c>
      <c r="AW28" s="16">
        <v>307</v>
      </c>
      <c r="AX28" s="16">
        <v>82</v>
      </c>
      <c r="AY28" s="16">
        <v>6</v>
      </c>
      <c r="AZ28" s="16">
        <v>73</v>
      </c>
      <c r="BA28" s="16">
        <v>14</v>
      </c>
      <c r="BB28" s="16">
        <v>1</v>
      </c>
      <c r="BC28" s="16">
        <v>9</v>
      </c>
      <c r="BD28" s="16">
        <v>11</v>
      </c>
      <c r="BE28" s="16">
        <v>0</v>
      </c>
      <c r="BF28" s="16">
        <v>53</v>
      </c>
      <c r="BG28" s="16">
        <v>81</v>
      </c>
      <c r="BH28" s="16">
        <v>125</v>
      </c>
      <c r="BI28" s="16">
        <v>34</v>
      </c>
      <c r="BJ28" s="16">
        <v>44</v>
      </c>
      <c r="BK28" s="16">
        <v>160</v>
      </c>
      <c r="BL28" s="16">
        <v>62</v>
      </c>
      <c r="BM28" s="16">
        <v>93</v>
      </c>
      <c r="BN28" s="16">
        <v>104</v>
      </c>
      <c r="BO28" s="16">
        <v>0</v>
      </c>
      <c r="BP28" s="16">
        <v>0</v>
      </c>
      <c r="BQ28" s="16">
        <v>22</v>
      </c>
    </row>
    <row r="29" spans="1:69" s="5" customFormat="1" ht="21.9" customHeight="1" x14ac:dyDescent="0.25">
      <c r="A29" s="125"/>
      <c r="B29" s="4"/>
      <c r="C29" s="47" t="s">
        <v>76</v>
      </c>
      <c r="D29" s="48"/>
      <c r="E29" s="16">
        <v>90</v>
      </c>
      <c r="F29" s="16">
        <v>0</v>
      </c>
      <c r="G29" s="16">
        <v>0</v>
      </c>
      <c r="H29" s="16">
        <v>0</v>
      </c>
      <c r="I29" s="16">
        <v>1</v>
      </c>
      <c r="J29" s="16">
        <v>1</v>
      </c>
      <c r="K29" s="16">
        <v>0</v>
      </c>
      <c r="L29" s="16">
        <v>0</v>
      </c>
      <c r="M29" s="16">
        <v>2</v>
      </c>
      <c r="N29" s="16">
        <v>1</v>
      </c>
      <c r="O29" s="16">
        <v>0</v>
      </c>
      <c r="P29" s="16">
        <v>0</v>
      </c>
      <c r="Q29" s="16">
        <v>0</v>
      </c>
      <c r="R29" s="16">
        <v>0</v>
      </c>
      <c r="S29" s="16">
        <v>0</v>
      </c>
      <c r="T29" s="16">
        <v>1</v>
      </c>
      <c r="U29" s="16">
        <v>2</v>
      </c>
      <c r="V29" s="16">
        <v>2</v>
      </c>
      <c r="W29" s="16">
        <v>2</v>
      </c>
      <c r="X29" s="16">
        <v>0</v>
      </c>
      <c r="Y29" s="16">
        <v>2</v>
      </c>
      <c r="Z29" s="16">
        <v>0</v>
      </c>
      <c r="AA29" s="16">
        <v>3</v>
      </c>
      <c r="AB29" s="16">
        <v>1</v>
      </c>
      <c r="AC29" s="16">
        <v>0</v>
      </c>
      <c r="AD29" s="16">
        <v>0</v>
      </c>
      <c r="AE29" s="16">
        <v>0</v>
      </c>
      <c r="AF29" s="16">
        <v>14</v>
      </c>
      <c r="AG29" s="16">
        <v>3</v>
      </c>
      <c r="AH29" s="16">
        <v>0</v>
      </c>
      <c r="AI29" s="16">
        <v>3</v>
      </c>
      <c r="AJ29" s="16">
        <v>2</v>
      </c>
      <c r="AK29" s="16">
        <v>3</v>
      </c>
      <c r="AL29" s="16">
        <v>0</v>
      </c>
      <c r="AM29" s="98">
        <v>8</v>
      </c>
      <c r="AN29" s="16">
        <v>1</v>
      </c>
      <c r="AO29" s="16">
        <v>0</v>
      </c>
      <c r="AP29" s="16">
        <v>2</v>
      </c>
      <c r="AQ29" s="16">
        <v>0</v>
      </c>
      <c r="AR29" s="16">
        <v>0</v>
      </c>
      <c r="AS29" s="16">
        <v>0</v>
      </c>
      <c r="AT29" s="16">
        <v>12</v>
      </c>
      <c r="AU29" s="16">
        <v>5</v>
      </c>
      <c r="AV29" s="16">
        <v>0</v>
      </c>
      <c r="AW29" s="16">
        <v>4</v>
      </c>
      <c r="AX29" s="16">
        <v>1</v>
      </c>
      <c r="AY29" s="16">
        <v>0</v>
      </c>
      <c r="AZ29" s="16">
        <v>0</v>
      </c>
      <c r="BA29" s="16">
        <v>0</v>
      </c>
      <c r="BB29" s="16">
        <v>0</v>
      </c>
      <c r="BC29" s="16">
        <v>0</v>
      </c>
      <c r="BD29" s="16">
        <v>1</v>
      </c>
      <c r="BE29" s="16">
        <v>0</v>
      </c>
      <c r="BF29" s="16">
        <v>1</v>
      </c>
      <c r="BG29" s="16">
        <v>0</v>
      </c>
      <c r="BH29" s="16">
        <v>9</v>
      </c>
      <c r="BI29" s="16">
        <v>0</v>
      </c>
      <c r="BJ29" s="16">
        <v>2</v>
      </c>
      <c r="BK29" s="16">
        <v>0</v>
      </c>
      <c r="BL29" s="16">
        <v>0</v>
      </c>
      <c r="BM29" s="16">
        <v>1</v>
      </c>
      <c r="BN29" s="16">
        <v>0</v>
      </c>
      <c r="BO29" s="16">
        <v>0</v>
      </c>
      <c r="BP29" s="16">
        <v>0</v>
      </c>
      <c r="BQ29" s="16">
        <v>0</v>
      </c>
    </row>
    <row r="30" spans="1:69" s="5" customFormat="1" ht="21.9" customHeight="1" x14ac:dyDescent="0.25">
      <c r="A30" s="125" t="s">
        <v>83</v>
      </c>
      <c r="B30" s="4"/>
      <c r="C30" s="47" t="s">
        <v>75</v>
      </c>
      <c r="D30" s="48"/>
      <c r="E30" s="16">
        <v>11240</v>
      </c>
      <c r="F30" s="16">
        <v>202</v>
      </c>
      <c r="G30" s="16">
        <v>291</v>
      </c>
      <c r="H30" s="16">
        <v>58</v>
      </c>
      <c r="I30" s="16">
        <v>3</v>
      </c>
      <c r="J30" s="16">
        <v>25</v>
      </c>
      <c r="K30" s="16">
        <v>99</v>
      </c>
      <c r="L30" s="16">
        <v>55</v>
      </c>
      <c r="M30" s="16">
        <v>373</v>
      </c>
      <c r="N30" s="16">
        <v>54</v>
      </c>
      <c r="O30" s="16">
        <v>69</v>
      </c>
      <c r="P30" s="16">
        <v>111</v>
      </c>
      <c r="Q30" s="16">
        <v>2</v>
      </c>
      <c r="R30" s="16">
        <v>0</v>
      </c>
      <c r="S30" s="16">
        <v>142</v>
      </c>
      <c r="T30" s="16">
        <v>59</v>
      </c>
      <c r="U30" s="16">
        <v>19</v>
      </c>
      <c r="V30" s="16">
        <v>370</v>
      </c>
      <c r="W30" s="16">
        <v>601</v>
      </c>
      <c r="X30" s="16">
        <v>18</v>
      </c>
      <c r="Y30" s="16">
        <v>56</v>
      </c>
      <c r="Z30" s="16">
        <v>61</v>
      </c>
      <c r="AA30" s="16">
        <v>261</v>
      </c>
      <c r="AB30" s="16">
        <v>131</v>
      </c>
      <c r="AC30" s="16">
        <v>12</v>
      </c>
      <c r="AD30" s="16">
        <v>109</v>
      </c>
      <c r="AE30" s="16">
        <v>77</v>
      </c>
      <c r="AF30" s="16">
        <v>1052</v>
      </c>
      <c r="AG30" s="16">
        <v>214</v>
      </c>
      <c r="AH30" s="16">
        <v>278</v>
      </c>
      <c r="AI30" s="16">
        <v>642</v>
      </c>
      <c r="AJ30" s="16">
        <v>107</v>
      </c>
      <c r="AK30" s="16">
        <v>159</v>
      </c>
      <c r="AL30" s="16">
        <v>2</v>
      </c>
      <c r="AM30" s="98">
        <v>56</v>
      </c>
      <c r="AN30" s="16">
        <v>331</v>
      </c>
      <c r="AO30" s="16">
        <v>25</v>
      </c>
      <c r="AP30" s="16">
        <v>175</v>
      </c>
      <c r="AQ30" s="16">
        <v>48</v>
      </c>
      <c r="AR30" s="16">
        <v>12</v>
      </c>
      <c r="AS30" s="16">
        <v>152</v>
      </c>
      <c r="AT30" s="16">
        <v>57</v>
      </c>
      <c r="AU30" s="16">
        <v>13</v>
      </c>
      <c r="AV30" s="16">
        <v>130</v>
      </c>
      <c r="AW30" s="16">
        <v>810</v>
      </c>
      <c r="AX30" s="16">
        <v>192</v>
      </c>
      <c r="AY30" s="16">
        <v>2</v>
      </c>
      <c r="AZ30" s="16">
        <v>634</v>
      </c>
      <c r="BA30" s="16">
        <v>172</v>
      </c>
      <c r="BB30" s="16">
        <v>55</v>
      </c>
      <c r="BC30" s="16">
        <v>11</v>
      </c>
      <c r="BD30" s="16">
        <v>3</v>
      </c>
      <c r="BE30" s="16">
        <v>0</v>
      </c>
      <c r="BF30" s="16">
        <v>256</v>
      </c>
      <c r="BG30" s="16">
        <v>158</v>
      </c>
      <c r="BH30" s="16">
        <v>1184</v>
      </c>
      <c r="BI30" s="16">
        <v>2</v>
      </c>
      <c r="BJ30" s="16">
        <v>327</v>
      </c>
      <c r="BK30" s="16">
        <v>204</v>
      </c>
      <c r="BL30" s="16">
        <v>52</v>
      </c>
      <c r="BM30" s="16">
        <v>169</v>
      </c>
      <c r="BN30" s="16">
        <v>48</v>
      </c>
      <c r="BO30" s="16">
        <v>0</v>
      </c>
      <c r="BP30" s="16">
        <v>2</v>
      </c>
      <c r="BQ30" s="16">
        <v>248</v>
      </c>
    </row>
    <row r="31" spans="1:69" s="5" customFormat="1" ht="21.9" customHeight="1" x14ac:dyDescent="0.25">
      <c r="A31" s="125"/>
      <c r="B31" s="4"/>
      <c r="C31" s="47" t="s">
        <v>76</v>
      </c>
      <c r="D31" s="48"/>
      <c r="E31" s="16">
        <v>69</v>
      </c>
      <c r="F31" s="16">
        <v>0</v>
      </c>
      <c r="G31" s="16">
        <v>0</v>
      </c>
      <c r="H31" s="16">
        <v>0</v>
      </c>
      <c r="I31" s="16">
        <v>0</v>
      </c>
      <c r="J31" s="16">
        <v>1</v>
      </c>
      <c r="K31" s="16">
        <v>0</v>
      </c>
      <c r="L31" s="16">
        <v>0</v>
      </c>
      <c r="M31" s="16">
        <v>0</v>
      </c>
      <c r="N31" s="16">
        <v>0</v>
      </c>
      <c r="O31" s="16">
        <v>0</v>
      </c>
      <c r="P31" s="16">
        <v>0</v>
      </c>
      <c r="Q31" s="16">
        <v>0</v>
      </c>
      <c r="R31" s="16">
        <v>0</v>
      </c>
      <c r="S31" s="16">
        <v>0</v>
      </c>
      <c r="T31" s="16">
        <v>1</v>
      </c>
      <c r="U31" s="16">
        <v>0</v>
      </c>
      <c r="V31" s="16">
        <v>2</v>
      </c>
      <c r="W31" s="16">
        <v>2</v>
      </c>
      <c r="X31" s="16">
        <v>1</v>
      </c>
      <c r="Y31" s="16">
        <v>1</v>
      </c>
      <c r="Z31" s="16">
        <v>1</v>
      </c>
      <c r="AA31" s="16">
        <v>1</v>
      </c>
      <c r="AB31" s="16">
        <v>3</v>
      </c>
      <c r="AC31" s="16">
        <v>0</v>
      </c>
      <c r="AD31" s="16">
        <v>0</v>
      </c>
      <c r="AE31" s="16">
        <v>6</v>
      </c>
      <c r="AF31" s="16">
        <v>0</v>
      </c>
      <c r="AG31" s="16">
        <v>5</v>
      </c>
      <c r="AH31" s="16">
        <v>0</v>
      </c>
      <c r="AI31" s="16">
        <v>10</v>
      </c>
      <c r="AJ31" s="16">
        <v>0</v>
      </c>
      <c r="AK31" s="16">
        <v>0</v>
      </c>
      <c r="AL31" s="16">
        <v>0</v>
      </c>
      <c r="AM31" s="98">
        <v>1</v>
      </c>
      <c r="AN31" s="16">
        <v>0</v>
      </c>
      <c r="AO31" s="16">
        <v>0</v>
      </c>
      <c r="AP31" s="16">
        <v>0</v>
      </c>
      <c r="AQ31" s="16">
        <v>0</v>
      </c>
      <c r="AR31" s="16">
        <v>0</v>
      </c>
      <c r="AS31" s="16">
        <v>0</v>
      </c>
      <c r="AT31" s="16">
        <v>5</v>
      </c>
      <c r="AU31" s="16">
        <v>1</v>
      </c>
      <c r="AV31" s="16">
        <v>4</v>
      </c>
      <c r="AW31" s="16">
        <v>4</v>
      </c>
      <c r="AX31" s="16">
        <v>3</v>
      </c>
      <c r="AY31" s="16">
        <v>0</v>
      </c>
      <c r="AZ31" s="16">
        <v>0</v>
      </c>
      <c r="BA31" s="16">
        <v>10</v>
      </c>
      <c r="BB31" s="16">
        <v>2</v>
      </c>
      <c r="BC31" s="16">
        <v>0</v>
      </c>
      <c r="BD31" s="16">
        <v>0</v>
      </c>
      <c r="BE31" s="16">
        <v>0</v>
      </c>
      <c r="BF31" s="16">
        <v>0</v>
      </c>
      <c r="BG31" s="16">
        <v>1</v>
      </c>
      <c r="BH31" s="16">
        <v>0</v>
      </c>
      <c r="BI31" s="16">
        <v>0</v>
      </c>
      <c r="BJ31" s="16">
        <v>0</v>
      </c>
      <c r="BK31" s="16">
        <v>4</v>
      </c>
      <c r="BL31" s="16">
        <v>0</v>
      </c>
      <c r="BM31" s="16">
        <v>0</v>
      </c>
      <c r="BN31" s="16">
        <v>0</v>
      </c>
      <c r="BO31" s="16">
        <v>0</v>
      </c>
      <c r="BP31" s="16">
        <v>0</v>
      </c>
      <c r="BQ31" s="16">
        <v>0</v>
      </c>
    </row>
    <row r="32" spans="1:69" s="5" customFormat="1" ht="21.9" customHeight="1" x14ac:dyDescent="0.25">
      <c r="A32" s="125" t="s">
        <v>84</v>
      </c>
      <c r="B32" s="4"/>
      <c r="C32" s="47" t="s">
        <v>75</v>
      </c>
      <c r="D32" s="48"/>
      <c r="E32" s="16">
        <v>11204</v>
      </c>
      <c r="F32" s="16">
        <v>109</v>
      </c>
      <c r="G32" s="16">
        <v>155</v>
      </c>
      <c r="H32" s="16">
        <v>24</v>
      </c>
      <c r="I32" s="16">
        <v>0</v>
      </c>
      <c r="J32" s="16">
        <v>14</v>
      </c>
      <c r="K32" s="16">
        <v>13</v>
      </c>
      <c r="L32" s="16">
        <v>10</v>
      </c>
      <c r="M32" s="16">
        <v>595</v>
      </c>
      <c r="N32" s="16">
        <v>212</v>
      </c>
      <c r="O32" s="16">
        <v>11</v>
      </c>
      <c r="P32" s="16">
        <v>124</v>
      </c>
      <c r="Q32" s="16">
        <v>33</v>
      </c>
      <c r="R32" s="16">
        <v>0</v>
      </c>
      <c r="S32" s="16">
        <v>161</v>
      </c>
      <c r="T32" s="16">
        <v>123</v>
      </c>
      <c r="U32" s="16">
        <v>11</v>
      </c>
      <c r="V32" s="16">
        <v>90</v>
      </c>
      <c r="W32" s="16">
        <v>566</v>
      </c>
      <c r="X32" s="16">
        <v>51</v>
      </c>
      <c r="Y32" s="16">
        <v>186</v>
      </c>
      <c r="Z32" s="16">
        <v>31</v>
      </c>
      <c r="AA32" s="16">
        <v>488</v>
      </c>
      <c r="AB32" s="16">
        <v>228</v>
      </c>
      <c r="AC32" s="16">
        <v>58</v>
      </c>
      <c r="AD32" s="16">
        <v>36</v>
      </c>
      <c r="AE32" s="16">
        <v>148</v>
      </c>
      <c r="AF32" s="16">
        <v>859</v>
      </c>
      <c r="AG32" s="16">
        <v>146</v>
      </c>
      <c r="AH32" s="16">
        <v>130</v>
      </c>
      <c r="AI32" s="16">
        <v>582</v>
      </c>
      <c r="AJ32" s="16">
        <v>26</v>
      </c>
      <c r="AK32" s="16">
        <v>125</v>
      </c>
      <c r="AL32" s="16">
        <v>0</v>
      </c>
      <c r="AM32" s="98">
        <v>33</v>
      </c>
      <c r="AN32" s="16">
        <v>2</v>
      </c>
      <c r="AO32" s="16">
        <v>10</v>
      </c>
      <c r="AP32" s="16">
        <v>73</v>
      </c>
      <c r="AQ32" s="16">
        <v>180</v>
      </c>
      <c r="AR32" s="16">
        <v>40</v>
      </c>
      <c r="AS32" s="16">
        <v>173</v>
      </c>
      <c r="AT32" s="16">
        <v>47</v>
      </c>
      <c r="AU32" s="16">
        <v>5</v>
      </c>
      <c r="AV32" s="16">
        <v>26</v>
      </c>
      <c r="AW32" s="16">
        <v>1168</v>
      </c>
      <c r="AX32" s="16">
        <v>317</v>
      </c>
      <c r="AY32" s="16">
        <v>5</v>
      </c>
      <c r="AZ32" s="16">
        <v>680</v>
      </c>
      <c r="BA32" s="16">
        <v>994</v>
      </c>
      <c r="BB32" s="16">
        <v>316</v>
      </c>
      <c r="BC32" s="16">
        <v>85</v>
      </c>
      <c r="BD32" s="16">
        <v>33</v>
      </c>
      <c r="BE32" s="16">
        <v>16</v>
      </c>
      <c r="BF32" s="16">
        <v>74</v>
      </c>
      <c r="BG32" s="16">
        <v>58</v>
      </c>
      <c r="BH32" s="16">
        <v>95</v>
      </c>
      <c r="BI32" s="16">
        <v>449</v>
      </c>
      <c r="BJ32" s="16">
        <v>263</v>
      </c>
      <c r="BK32" s="16">
        <v>231</v>
      </c>
      <c r="BL32" s="16">
        <v>165</v>
      </c>
      <c r="BM32" s="16">
        <v>172</v>
      </c>
      <c r="BN32" s="16">
        <v>73</v>
      </c>
      <c r="BO32" s="16">
        <v>0</v>
      </c>
      <c r="BP32" s="16">
        <v>1</v>
      </c>
      <c r="BQ32" s="16">
        <v>75</v>
      </c>
    </row>
    <row r="33" spans="1:69" s="5" customFormat="1" ht="21.9" customHeight="1" x14ac:dyDescent="0.25">
      <c r="A33" s="125"/>
      <c r="B33" s="4"/>
      <c r="C33" s="47" t="s">
        <v>76</v>
      </c>
      <c r="D33" s="48"/>
      <c r="E33" s="16">
        <v>281</v>
      </c>
      <c r="F33" s="16">
        <v>2</v>
      </c>
      <c r="G33" s="16">
        <v>0</v>
      </c>
      <c r="H33" s="16">
        <v>0</v>
      </c>
      <c r="I33" s="16">
        <v>0</v>
      </c>
      <c r="J33" s="16">
        <v>1</v>
      </c>
      <c r="K33" s="16">
        <v>0</v>
      </c>
      <c r="L33" s="16">
        <v>0</v>
      </c>
      <c r="M33" s="16">
        <v>5</v>
      </c>
      <c r="N33" s="16">
        <v>2</v>
      </c>
      <c r="O33" s="16">
        <v>0</v>
      </c>
      <c r="P33" s="16">
        <v>1</v>
      </c>
      <c r="Q33" s="16">
        <v>1</v>
      </c>
      <c r="R33" s="16">
        <v>0</v>
      </c>
      <c r="S33" s="16">
        <v>5</v>
      </c>
      <c r="T33" s="16">
        <v>9</v>
      </c>
      <c r="U33" s="16">
        <v>0</v>
      </c>
      <c r="V33" s="16">
        <v>0</v>
      </c>
      <c r="W33" s="16">
        <v>15</v>
      </c>
      <c r="X33" s="16">
        <v>0</v>
      </c>
      <c r="Y33" s="16">
        <v>7</v>
      </c>
      <c r="Z33" s="16">
        <v>1</v>
      </c>
      <c r="AA33" s="16">
        <v>3</v>
      </c>
      <c r="AB33" s="16">
        <v>4</v>
      </c>
      <c r="AC33" s="16">
        <v>1</v>
      </c>
      <c r="AD33" s="16">
        <v>1</v>
      </c>
      <c r="AE33" s="16">
        <v>4</v>
      </c>
      <c r="AF33" s="16">
        <v>14</v>
      </c>
      <c r="AG33" s="16">
        <v>9</v>
      </c>
      <c r="AH33" s="16">
        <v>3</v>
      </c>
      <c r="AI33" s="16">
        <v>36</v>
      </c>
      <c r="AJ33" s="16">
        <v>4</v>
      </c>
      <c r="AK33" s="16">
        <v>21</v>
      </c>
      <c r="AL33" s="16">
        <v>0</v>
      </c>
      <c r="AM33" s="98">
        <v>1</v>
      </c>
      <c r="AN33" s="16">
        <v>0</v>
      </c>
      <c r="AO33" s="16">
        <v>0</v>
      </c>
      <c r="AP33" s="16">
        <v>12</v>
      </c>
      <c r="AQ33" s="16">
        <v>0</v>
      </c>
      <c r="AR33" s="16">
        <v>0</v>
      </c>
      <c r="AS33" s="16">
        <v>0</v>
      </c>
      <c r="AT33" s="16">
        <v>3</v>
      </c>
      <c r="AU33" s="16">
        <v>0</v>
      </c>
      <c r="AV33" s="16">
        <v>0</v>
      </c>
      <c r="AW33" s="16">
        <v>21</v>
      </c>
      <c r="AX33" s="16">
        <v>27</v>
      </c>
      <c r="AY33" s="16">
        <v>0</v>
      </c>
      <c r="AZ33" s="16">
        <v>1</v>
      </c>
      <c r="BA33" s="16">
        <v>2</v>
      </c>
      <c r="BB33" s="16">
        <v>0</v>
      </c>
      <c r="BC33" s="16">
        <v>3</v>
      </c>
      <c r="BD33" s="16">
        <v>0</v>
      </c>
      <c r="BE33" s="16">
        <v>0</v>
      </c>
      <c r="BF33" s="16">
        <v>1</v>
      </c>
      <c r="BG33" s="16">
        <v>3</v>
      </c>
      <c r="BH33" s="16">
        <v>6</v>
      </c>
      <c r="BI33" s="16">
        <v>24</v>
      </c>
      <c r="BJ33" s="16">
        <v>1</v>
      </c>
      <c r="BK33" s="16">
        <v>3</v>
      </c>
      <c r="BL33" s="16">
        <v>19</v>
      </c>
      <c r="BM33" s="16">
        <v>0</v>
      </c>
      <c r="BN33" s="16">
        <v>2</v>
      </c>
      <c r="BO33" s="16">
        <v>0</v>
      </c>
      <c r="BP33" s="16">
        <v>0</v>
      </c>
      <c r="BQ33" s="16">
        <v>3</v>
      </c>
    </row>
    <row r="34" spans="1:69" s="5" customFormat="1" ht="21.9" customHeight="1" x14ac:dyDescent="0.25">
      <c r="A34" s="125" t="s">
        <v>85</v>
      </c>
      <c r="C34" s="47" t="s">
        <v>75</v>
      </c>
      <c r="D34" s="48"/>
      <c r="E34" s="16">
        <v>14348</v>
      </c>
      <c r="F34" s="16">
        <v>63</v>
      </c>
      <c r="G34" s="16">
        <v>63</v>
      </c>
      <c r="H34" s="16">
        <v>7</v>
      </c>
      <c r="I34" s="16">
        <v>1</v>
      </c>
      <c r="J34" s="16">
        <v>26</v>
      </c>
      <c r="K34" s="16">
        <v>36</v>
      </c>
      <c r="L34" s="16">
        <v>27</v>
      </c>
      <c r="M34" s="16">
        <v>309</v>
      </c>
      <c r="N34" s="16">
        <v>189</v>
      </c>
      <c r="O34" s="16">
        <v>7</v>
      </c>
      <c r="P34" s="16">
        <v>38</v>
      </c>
      <c r="Q34" s="16">
        <v>20</v>
      </c>
      <c r="R34" s="16">
        <v>0</v>
      </c>
      <c r="S34" s="16">
        <v>73</v>
      </c>
      <c r="T34" s="16">
        <v>105</v>
      </c>
      <c r="U34" s="16">
        <v>34</v>
      </c>
      <c r="V34" s="16">
        <v>106</v>
      </c>
      <c r="W34" s="16">
        <v>548</v>
      </c>
      <c r="X34" s="16">
        <v>54</v>
      </c>
      <c r="Y34" s="16">
        <v>124</v>
      </c>
      <c r="Z34" s="16">
        <v>92</v>
      </c>
      <c r="AA34" s="16">
        <v>498</v>
      </c>
      <c r="AB34" s="16">
        <v>271</v>
      </c>
      <c r="AC34" s="16">
        <v>62</v>
      </c>
      <c r="AD34" s="16">
        <v>65</v>
      </c>
      <c r="AE34" s="16">
        <v>70</v>
      </c>
      <c r="AF34" s="16">
        <v>2613</v>
      </c>
      <c r="AG34" s="16">
        <v>593</v>
      </c>
      <c r="AH34" s="16">
        <v>244</v>
      </c>
      <c r="AI34" s="16">
        <v>643</v>
      </c>
      <c r="AJ34" s="16">
        <v>125</v>
      </c>
      <c r="AK34" s="16">
        <v>287</v>
      </c>
      <c r="AL34" s="16">
        <v>2</v>
      </c>
      <c r="AM34" s="98">
        <v>221</v>
      </c>
      <c r="AN34" s="16">
        <v>22</v>
      </c>
      <c r="AO34" s="16">
        <v>7</v>
      </c>
      <c r="AP34" s="16">
        <v>936</v>
      </c>
      <c r="AQ34" s="16">
        <v>8</v>
      </c>
      <c r="AR34" s="16">
        <v>37</v>
      </c>
      <c r="AS34" s="16">
        <v>119</v>
      </c>
      <c r="AT34" s="16">
        <v>76</v>
      </c>
      <c r="AU34" s="16">
        <v>34</v>
      </c>
      <c r="AV34" s="16">
        <v>35</v>
      </c>
      <c r="AW34" s="16">
        <v>1137</v>
      </c>
      <c r="AX34" s="16">
        <v>192</v>
      </c>
      <c r="AY34" s="16">
        <v>4</v>
      </c>
      <c r="AZ34" s="16">
        <v>591</v>
      </c>
      <c r="BA34" s="16">
        <v>242</v>
      </c>
      <c r="BB34" s="16">
        <v>14</v>
      </c>
      <c r="BC34" s="16">
        <v>72</v>
      </c>
      <c r="BD34" s="16">
        <v>13</v>
      </c>
      <c r="BE34" s="16">
        <v>0</v>
      </c>
      <c r="BF34" s="16">
        <v>250</v>
      </c>
      <c r="BG34" s="16">
        <v>101</v>
      </c>
      <c r="BH34" s="16">
        <v>350</v>
      </c>
      <c r="BI34" s="16">
        <v>527</v>
      </c>
      <c r="BJ34" s="16">
        <v>144</v>
      </c>
      <c r="BK34" s="16">
        <v>757</v>
      </c>
      <c r="BL34" s="16">
        <v>327</v>
      </c>
      <c r="BM34" s="16">
        <v>479</v>
      </c>
      <c r="BN34" s="16">
        <v>74</v>
      </c>
      <c r="BO34" s="16">
        <v>12</v>
      </c>
      <c r="BP34" s="16">
        <v>16</v>
      </c>
      <c r="BQ34" s="16">
        <v>156</v>
      </c>
    </row>
    <row r="35" spans="1:69" s="5" customFormat="1" ht="21.9" customHeight="1" x14ac:dyDescent="0.25">
      <c r="A35" s="125"/>
      <c r="C35" s="47" t="s">
        <v>76</v>
      </c>
      <c r="D35" s="48"/>
      <c r="E35" s="16">
        <v>221</v>
      </c>
      <c r="F35" s="16">
        <v>0</v>
      </c>
      <c r="G35" s="16">
        <v>0</v>
      </c>
      <c r="H35" s="16">
        <v>0</v>
      </c>
      <c r="I35" s="16">
        <v>0</v>
      </c>
      <c r="J35" s="16">
        <v>0</v>
      </c>
      <c r="K35" s="16">
        <v>1</v>
      </c>
      <c r="L35" s="16">
        <v>1</v>
      </c>
      <c r="M35" s="16">
        <v>0</v>
      </c>
      <c r="N35" s="16">
        <v>2</v>
      </c>
      <c r="O35" s="16">
        <v>0</v>
      </c>
      <c r="P35" s="16">
        <v>0</v>
      </c>
      <c r="Q35" s="16">
        <v>1</v>
      </c>
      <c r="R35" s="16">
        <v>0</v>
      </c>
      <c r="S35" s="16">
        <v>2</v>
      </c>
      <c r="T35" s="16">
        <v>1</v>
      </c>
      <c r="U35" s="16">
        <v>0</v>
      </c>
      <c r="V35" s="16">
        <v>1</v>
      </c>
      <c r="W35" s="16">
        <v>11</v>
      </c>
      <c r="X35" s="16">
        <v>0</v>
      </c>
      <c r="Y35" s="16">
        <v>3</v>
      </c>
      <c r="Z35" s="16">
        <v>2</v>
      </c>
      <c r="AA35" s="16">
        <v>7</v>
      </c>
      <c r="AB35" s="16">
        <v>4</v>
      </c>
      <c r="AC35" s="16">
        <v>1</v>
      </c>
      <c r="AD35" s="16">
        <v>1</v>
      </c>
      <c r="AE35" s="16">
        <v>2</v>
      </c>
      <c r="AF35" s="16">
        <v>12</v>
      </c>
      <c r="AG35" s="16">
        <v>1</v>
      </c>
      <c r="AH35" s="16">
        <v>10</v>
      </c>
      <c r="AI35" s="16">
        <v>34</v>
      </c>
      <c r="AJ35" s="16">
        <v>8</v>
      </c>
      <c r="AK35" s="16">
        <v>5</v>
      </c>
      <c r="AL35" s="16">
        <v>0</v>
      </c>
      <c r="AM35" s="98">
        <v>22</v>
      </c>
      <c r="AN35" s="16">
        <v>1</v>
      </c>
      <c r="AO35" s="16">
        <v>1</v>
      </c>
      <c r="AP35" s="16">
        <v>10</v>
      </c>
      <c r="AQ35" s="16">
        <v>0</v>
      </c>
      <c r="AR35" s="16">
        <v>0</v>
      </c>
      <c r="AS35" s="16">
        <v>0</v>
      </c>
      <c r="AT35" s="16">
        <v>4</v>
      </c>
      <c r="AU35" s="16">
        <v>0</v>
      </c>
      <c r="AV35" s="16">
        <v>0</v>
      </c>
      <c r="AW35" s="16">
        <v>12</v>
      </c>
      <c r="AX35" s="16">
        <v>29</v>
      </c>
      <c r="AY35" s="16">
        <v>0</v>
      </c>
      <c r="AZ35" s="16">
        <v>1</v>
      </c>
      <c r="BA35" s="16">
        <v>3</v>
      </c>
      <c r="BB35" s="16">
        <v>0</v>
      </c>
      <c r="BC35" s="16">
        <v>0</v>
      </c>
      <c r="BD35" s="16">
        <v>0</v>
      </c>
      <c r="BE35" s="16">
        <v>0</v>
      </c>
      <c r="BF35" s="16">
        <v>1</v>
      </c>
      <c r="BG35" s="16">
        <v>0</v>
      </c>
      <c r="BH35" s="16">
        <v>2</v>
      </c>
      <c r="BI35" s="16">
        <v>7</v>
      </c>
      <c r="BJ35" s="16">
        <v>0</v>
      </c>
      <c r="BK35" s="16">
        <v>13</v>
      </c>
      <c r="BL35" s="16">
        <v>0</v>
      </c>
      <c r="BM35" s="16">
        <v>0</v>
      </c>
      <c r="BN35" s="16">
        <v>0</v>
      </c>
      <c r="BO35" s="16">
        <v>0</v>
      </c>
      <c r="BP35" s="16">
        <v>0</v>
      </c>
      <c r="BQ35" s="16">
        <v>5</v>
      </c>
    </row>
    <row r="36" spans="1:69" s="5" customFormat="1" ht="21.9" customHeight="1" x14ac:dyDescent="0.25">
      <c r="A36" s="125" t="s">
        <v>86</v>
      </c>
      <c r="B36" s="4"/>
      <c r="C36" s="47" t="s">
        <v>75</v>
      </c>
      <c r="D36" s="48"/>
      <c r="E36" s="16">
        <v>14904</v>
      </c>
      <c r="F36" s="16">
        <v>130</v>
      </c>
      <c r="G36" s="16">
        <v>94</v>
      </c>
      <c r="H36" s="16">
        <v>22</v>
      </c>
      <c r="I36" s="16">
        <v>3</v>
      </c>
      <c r="J36" s="16">
        <v>54</v>
      </c>
      <c r="K36" s="16">
        <v>26</v>
      </c>
      <c r="L36" s="16">
        <v>28</v>
      </c>
      <c r="M36" s="16">
        <v>491</v>
      </c>
      <c r="N36" s="16">
        <v>323</v>
      </c>
      <c r="O36" s="16">
        <v>42</v>
      </c>
      <c r="P36" s="16">
        <v>66</v>
      </c>
      <c r="Q36" s="16">
        <v>65</v>
      </c>
      <c r="R36" s="16">
        <v>0</v>
      </c>
      <c r="S36" s="16">
        <v>103</v>
      </c>
      <c r="T36" s="16">
        <v>127</v>
      </c>
      <c r="U36" s="16">
        <v>32</v>
      </c>
      <c r="V36" s="16">
        <v>333</v>
      </c>
      <c r="W36" s="16">
        <v>734</v>
      </c>
      <c r="X36" s="16">
        <v>237</v>
      </c>
      <c r="Y36" s="16">
        <v>133</v>
      </c>
      <c r="Z36" s="16">
        <v>37</v>
      </c>
      <c r="AA36" s="16">
        <v>388</v>
      </c>
      <c r="AB36" s="16">
        <v>165</v>
      </c>
      <c r="AC36" s="16">
        <v>47</v>
      </c>
      <c r="AD36" s="16">
        <v>44</v>
      </c>
      <c r="AE36" s="16">
        <v>90</v>
      </c>
      <c r="AF36" s="16">
        <v>1903</v>
      </c>
      <c r="AG36" s="16">
        <v>423</v>
      </c>
      <c r="AH36" s="16">
        <v>316</v>
      </c>
      <c r="AI36" s="16">
        <v>281</v>
      </c>
      <c r="AJ36" s="16">
        <v>91</v>
      </c>
      <c r="AK36" s="16">
        <v>224</v>
      </c>
      <c r="AL36" s="16">
        <v>0</v>
      </c>
      <c r="AM36" s="98">
        <v>75</v>
      </c>
      <c r="AN36" s="16">
        <v>2</v>
      </c>
      <c r="AO36" s="16">
        <v>2</v>
      </c>
      <c r="AP36" s="16">
        <v>119</v>
      </c>
      <c r="AQ36" s="16">
        <v>153</v>
      </c>
      <c r="AR36" s="16">
        <v>98</v>
      </c>
      <c r="AS36" s="16">
        <v>718</v>
      </c>
      <c r="AT36" s="16">
        <v>13</v>
      </c>
      <c r="AU36" s="16">
        <v>6</v>
      </c>
      <c r="AV36" s="16">
        <v>82</v>
      </c>
      <c r="AW36" s="16">
        <v>1201</v>
      </c>
      <c r="AX36" s="16">
        <v>402</v>
      </c>
      <c r="AY36" s="16">
        <v>0</v>
      </c>
      <c r="AZ36" s="16">
        <v>365</v>
      </c>
      <c r="BA36" s="16">
        <v>526</v>
      </c>
      <c r="BB36" s="16">
        <v>4</v>
      </c>
      <c r="BC36" s="16">
        <v>186</v>
      </c>
      <c r="BD36" s="16">
        <v>15</v>
      </c>
      <c r="BE36" s="16">
        <v>0</v>
      </c>
      <c r="BF36" s="16">
        <v>144</v>
      </c>
      <c r="BG36" s="16">
        <v>67</v>
      </c>
      <c r="BH36" s="16">
        <v>254</v>
      </c>
      <c r="BI36" s="16">
        <v>1170</v>
      </c>
      <c r="BJ36" s="16">
        <v>916</v>
      </c>
      <c r="BK36" s="16">
        <v>493</v>
      </c>
      <c r="BL36" s="16">
        <v>234</v>
      </c>
      <c r="BM36" s="16">
        <v>139</v>
      </c>
      <c r="BN36" s="16">
        <v>235</v>
      </c>
      <c r="BO36" s="16">
        <v>0</v>
      </c>
      <c r="BP36" s="16">
        <v>84</v>
      </c>
      <c r="BQ36" s="16">
        <v>149</v>
      </c>
    </row>
    <row r="37" spans="1:69" s="5" customFormat="1" ht="21.9" customHeight="1" x14ac:dyDescent="0.25">
      <c r="A37" s="125"/>
      <c r="B37" s="4"/>
      <c r="C37" s="47" t="s">
        <v>76</v>
      </c>
      <c r="D37" s="48"/>
      <c r="E37" s="16">
        <v>134</v>
      </c>
      <c r="F37" s="16">
        <v>0</v>
      </c>
      <c r="G37" s="16">
        <v>0</v>
      </c>
      <c r="H37" s="16">
        <v>0</v>
      </c>
      <c r="I37" s="16">
        <v>0</v>
      </c>
      <c r="J37" s="16">
        <v>0</v>
      </c>
      <c r="K37" s="16">
        <v>0</v>
      </c>
      <c r="L37" s="16">
        <v>0</v>
      </c>
      <c r="M37" s="16">
        <v>0</v>
      </c>
      <c r="N37" s="16">
        <v>8</v>
      </c>
      <c r="O37" s="16">
        <v>0</v>
      </c>
      <c r="P37" s="16">
        <v>3</v>
      </c>
      <c r="Q37" s="16">
        <v>0</v>
      </c>
      <c r="R37" s="16">
        <v>0</v>
      </c>
      <c r="S37" s="16">
        <v>9</v>
      </c>
      <c r="T37" s="16">
        <v>7</v>
      </c>
      <c r="U37" s="16">
        <v>0</v>
      </c>
      <c r="V37" s="16">
        <v>1</v>
      </c>
      <c r="W37" s="16">
        <v>2</v>
      </c>
      <c r="X37" s="16">
        <v>0</v>
      </c>
      <c r="Y37" s="16">
        <v>0</v>
      </c>
      <c r="Z37" s="16">
        <v>0</v>
      </c>
      <c r="AA37" s="16">
        <v>2</v>
      </c>
      <c r="AB37" s="16">
        <v>2</v>
      </c>
      <c r="AC37" s="16">
        <v>2</v>
      </c>
      <c r="AD37" s="16">
        <v>0</v>
      </c>
      <c r="AE37" s="16">
        <v>0</v>
      </c>
      <c r="AF37" s="16">
        <v>12</v>
      </c>
      <c r="AG37" s="16">
        <v>3</v>
      </c>
      <c r="AH37" s="16">
        <v>1</v>
      </c>
      <c r="AI37" s="16">
        <v>3</v>
      </c>
      <c r="AJ37" s="16">
        <v>12</v>
      </c>
      <c r="AK37" s="16">
        <v>6</v>
      </c>
      <c r="AL37" s="16">
        <v>0</v>
      </c>
      <c r="AM37" s="98">
        <v>0</v>
      </c>
      <c r="AN37" s="16">
        <v>0</v>
      </c>
      <c r="AO37" s="16">
        <v>0</v>
      </c>
      <c r="AP37" s="16">
        <v>0</v>
      </c>
      <c r="AQ37" s="16">
        <v>0</v>
      </c>
      <c r="AR37" s="16">
        <v>0</v>
      </c>
      <c r="AS37" s="16">
        <v>0</v>
      </c>
      <c r="AT37" s="16">
        <v>0</v>
      </c>
      <c r="AU37" s="16">
        <v>1</v>
      </c>
      <c r="AV37" s="16">
        <v>0</v>
      </c>
      <c r="AW37" s="16">
        <v>12</v>
      </c>
      <c r="AX37" s="16">
        <v>28</v>
      </c>
      <c r="AY37" s="16">
        <v>0</v>
      </c>
      <c r="AZ37" s="16">
        <v>1</v>
      </c>
      <c r="BA37" s="16">
        <v>3</v>
      </c>
      <c r="BB37" s="16">
        <v>0</v>
      </c>
      <c r="BC37" s="16">
        <v>0</v>
      </c>
      <c r="BD37" s="16">
        <v>0</v>
      </c>
      <c r="BE37" s="16">
        <v>0</v>
      </c>
      <c r="BF37" s="16">
        <v>3</v>
      </c>
      <c r="BG37" s="16">
        <v>0</v>
      </c>
      <c r="BH37" s="16">
        <v>2</v>
      </c>
      <c r="BI37" s="16">
        <v>2</v>
      </c>
      <c r="BJ37" s="16">
        <v>0</v>
      </c>
      <c r="BK37" s="16">
        <v>3</v>
      </c>
      <c r="BL37" s="16">
        <v>4</v>
      </c>
      <c r="BM37" s="16">
        <v>1</v>
      </c>
      <c r="BN37" s="16">
        <v>0</v>
      </c>
      <c r="BO37" s="16">
        <v>0</v>
      </c>
      <c r="BP37" s="16">
        <v>0</v>
      </c>
      <c r="BQ37" s="16">
        <v>1</v>
      </c>
    </row>
    <row r="38" spans="1:69" s="5" customFormat="1" ht="21.9" customHeight="1" x14ac:dyDescent="0.25">
      <c r="A38" s="125" t="s">
        <v>87</v>
      </c>
      <c r="B38" s="4"/>
      <c r="C38" s="47" t="s">
        <v>75</v>
      </c>
      <c r="D38" s="48"/>
      <c r="E38" s="16">
        <v>17081</v>
      </c>
      <c r="F38" s="16">
        <v>353</v>
      </c>
      <c r="G38" s="16">
        <v>189</v>
      </c>
      <c r="H38" s="16">
        <v>26</v>
      </c>
      <c r="I38" s="16">
        <v>4</v>
      </c>
      <c r="J38" s="16">
        <v>51</v>
      </c>
      <c r="K38" s="16">
        <v>55</v>
      </c>
      <c r="L38" s="16">
        <v>11</v>
      </c>
      <c r="M38" s="16">
        <v>1865</v>
      </c>
      <c r="N38" s="16">
        <v>276</v>
      </c>
      <c r="O38" s="16">
        <v>10</v>
      </c>
      <c r="P38" s="16">
        <v>162</v>
      </c>
      <c r="Q38" s="16">
        <v>71</v>
      </c>
      <c r="R38" s="16">
        <v>0</v>
      </c>
      <c r="S38" s="16">
        <v>187</v>
      </c>
      <c r="T38" s="16">
        <v>398</v>
      </c>
      <c r="U38" s="16">
        <v>112</v>
      </c>
      <c r="V38" s="16">
        <v>132</v>
      </c>
      <c r="W38" s="16">
        <v>668</v>
      </c>
      <c r="X38" s="16">
        <v>59</v>
      </c>
      <c r="Y38" s="16">
        <v>130</v>
      </c>
      <c r="Z38" s="16">
        <v>26</v>
      </c>
      <c r="AA38" s="16">
        <v>486</v>
      </c>
      <c r="AB38" s="16">
        <v>224</v>
      </c>
      <c r="AC38" s="16">
        <v>68</v>
      </c>
      <c r="AD38" s="16">
        <v>81</v>
      </c>
      <c r="AE38" s="16">
        <v>154</v>
      </c>
      <c r="AF38" s="16">
        <v>2020</v>
      </c>
      <c r="AG38" s="16">
        <v>635</v>
      </c>
      <c r="AH38" s="16">
        <v>366</v>
      </c>
      <c r="AI38" s="16">
        <v>1055</v>
      </c>
      <c r="AJ38" s="16">
        <v>381</v>
      </c>
      <c r="AK38" s="16">
        <v>231</v>
      </c>
      <c r="AL38" s="16">
        <v>6</v>
      </c>
      <c r="AM38" s="98">
        <v>147</v>
      </c>
      <c r="AN38" s="16">
        <v>9</v>
      </c>
      <c r="AO38" s="16">
        <v>0</v>
      </c>
      <c r="AP38" s="16">
        <v>303</v>
      </c>
      <c r="AQ38" s="16">
        <v>18</v>
      </c>
      <c r="AR38" s="16">
        <v>28</v>
      </c>
      <c r="AS38" s="16">
        <v>97</v>
      </c>
      <c r="AT38" s="16">
        <v>33</v>
      </c>
      <c r="AU38" s="16">
        <v>25</v>
      </c>
      <c r="AV38" s="16">
        <v>99</v>
      </c>
      <c r="AW38" s="16">
        <v>2137</v>
      </c>
      <c r="AX38" s="16">
        <v>710</v>
      </c>
      <c r="AY38" s="16">
        <v>0</v>
      </c>
      <c r="AZ38" s="16">
        <v>529</v>
      </c>
      <c r="BA38" s="16">
        <v>87</v>
      </c>
      <c r="BB38" s="16">
        <v>0</v>
      </c>
      <c r="BC38" s="16">
        <v>12</v>
      </c>
      <c r="BD38" s="16">
        <v>2</v>
      </c>
      <c r="BE38" s="16">
        <v>0</v>
      </c>
      <c r="BF38" s="16">
        <v>129</v>
      </c>
      <c r="BG38" s="16">
        <v>87</v>
      </c>
      <c r="BH38" s="16">
        <v>154</v>
      </c>
      <c r="BI38" s="16">
        <v>216</v>
      </c>
      <c r="BJ38" s="16">
        <v>229</v>
      </c>
      <c r="BK38" s="16">
        <v>625</v>
      </c>
      <c r="BL38" s="16">
        <v>178</v>
      </c>
      <c r="BM38" s="16">
        <v>180</v>
      </c>
      <c r="BN38" s="16">
        <v>380</v>
      </c>
      <c r="BO38" s="16">
        <v>10</v>
      </c>
      <c r="BP38" s="16">
        <v>6</v>
      </c>
      <c r="BQ38" s="16">
        <v>159</v>
      </c>
    </row>
    <row r="39" spans="1:69" s="5" customFormat="1" ht="21.9" customHeight="1" x14ac:dyDescent="0.25">
      <c r="A39" s="125"/>
      <c r="B39" s="4"/>
      <c r="C39" s="47" t="s">
        <v>76</v>
      </c>
      <c r="D39" s="48"/>
      <c r="E39" s="16">
        <v>124</v>
      </c>
      <c r="F39" s="16">
        <v>0</v>
      </c>
      <c r="G39" s="16">
        <v>0</v>
      </c>
      <c r="H39" s="16">
        <v>0</v>
      </c>
      <c r="I39" s="16">
        <v>0</v>
      </c>
      <c r="J39" s="16">
        <v>0</v>
      </c>
      <c r="K39" s="16">
        <v>0</v>
      </c>
      <c r="L39" s="16">
        <v>0</v>
      </c>
      <c r="M39" s="16">
        <v>0</v>
      </c>
      <c r="N39" s="16">
        <v>1</v>
      </c>
      <c r="O39" s="16">
        <v>4</v>
      </c>
      <c r="P39" s="16">
        <v>0</v>
      </c>
      <c r="Q39" s="16">
        <v>0</v>
      </c>
      <c r="R39" s="16">
        <v>0</v>
      </c>
      <c r="S39" s="16">
        <v>0</v>
      </c>
      <c r="T39" s="16">
        <v>2</v>
      </c>
      <c r="U39" s="16">
        <v>0</v>
      </c>
      <c r="V39" s="16">
        <v>0</v>
      </c>
      <c r="W39" s="16">
        <v>1</v>
      </c>
      <c r="X39" s="16">
        <v>0</v>
      </c>
      <c r="Y39" s="16">
        <v>0</v>
      </c>
      <c r="Z39" s="16">
        <v>0</v>
      </c>
      <c r="AA39" s="16">
        <v>4</v>
      </c>
      <c r="AB39" s="16">
        <v>12</v>
      </c>
      <c r="AC39" s="16">
        <v>3</v>
      </c>
      <c r="AD39" s="16">
        <v>0</v>
      </c>
      <c r="AE39" s="16">
        <v>0</v>
      </c>
      <c r="AF39" s="16">
        <v>22</v>
      </c>
      <c r="AG39" s="16">
        <v>0</v>
      </c>
      <c r="AH39" s="16">
        <v>4</v>
      </c>
      <c r="AI39" s="16">
        <v>5</v>
      </c>
      <c r="AJ39" s="16">
        <v>13</v>
      </c>
      <c r="AK39" s="16">
        <v>8</v>
      </c>
      <c r="AL39" s="16">
        <v>0</v>
      </c>
      <c r="AM39" s="98">
        <v>5</v>
      </c>
      <c r="AN39" s="16">
        <v>0</v>
      </c>
      <c r="AO39" s="16">
        <v>0</v>
      </c>
      <c r="AP39" s="16">
        <v>2</v>
      </c>
      <c r="AQ39" s="16">
        <v>0</v>
      </c>
      <c r="AR39" s="16">
        <v>0</v>
      </c>
      <c r="AS39" s="16">
        <v>0</v>
      </c>
      <c r="AT39" s="16">
        <v>1</v>
      </c>
      <c r="AU39" s="16">
        <v>0</v>
      </c>
      <c r="AV39" s="16">
        <v>0</v>
      </c>
      <c r="AW39" s="16">
        <v>12</v>
      </c>
      <c r="AX39" s="16">
        <v>1</v>
      </c>
      <c r="AY39" s="16">
        <v>0</v>
      </c>
      <c r="AZ39" s="16">
        <v>0</v>
      </c>
      <c r="BA39" s="16">
        <v>0</v>
      </c>
      <c r="BB39" s="16">
        <v>0</v>
      </c>
      <c r="BC39" s="16">
        <v>0</v>
      </c>
      <c r="BD39" s="16">
        <v>0</v>
      </c>
      <c r="BE39" s="16">
        <v>0</v>
      </c>
      <c r="BF39" s="16">
        <v>0</v>
      </c>
      <c r="BG39" s="16">
        <v>5</v>
      </c>
      <c r="BH39" s="16">
        <v>2</v>
      </c>
      <c r="BI39" s="16">
        <v>0</v>
      </c>
      <c r="BJ39" s="16">
        <v>0</v>
      </c>
      <c r="BK39" s="16">
        <v>6</v>
      </c>
      <c r="BL39" s="16">
        <v>6</v>
      </c>
      <c r="BM39" s="16">
        <v>1</v>
      </c>
      <c r="BN39" s="16">
        <v>0</v>
      </c>
      <c r="BO39" s="16">
        <v>0</v>
      </c>
      <c r="BP39" s="16">
        <v>0</v>
      </c>
      <c r="BQ39" s="16">
        <v>4</v>
      </c>
    </row>
    <row r="40" spans="1:69" s="5" customFormat="1" ht="21.9" customHeight="1" x14ac:dyDescent="0.25">
      <c r="A40" s="125" t="s">
        <v>88</v>
      </c>
      <c r="C40" s="47" t="s">
        <v>75</v>
      </c>
      <c r="D40" s="48"/>
      <c r="E40" s="16">
        <v>22314</v>
      </c>
      <c r="F40" s="16">
        <v>303</v>
      </c>
      <c r="G40" s="16">
        <v>83</v>
      </c>
      <c r="H40" s="16">
        <v>55</v>
      </c>
      <c r="I40" s="16">
        <v>6</v>
      </c>
      <c r="J40" s="16">
        <v>52</v>
      </c>
      <c r="K40" s="16">
        <v>108</v>
      </c>
      <c r="L40" s="16">
        <v>21</v>
      </c>
      <c r="M40" s="16">
        <v>2281</v>
      </c>
      <c r="N40" s="16">
        <v>404</v>
      </c>
      <c r="O40" s="16">
        <v>34</v>
      </c>
      <c r="P40" s="16">
        <v>619</v>
      </c>
      <c r="Q40" s="16">
        <v>49</v>
      </c>
      <c r="R40" s="16">
        <v>0</v>
      </c>
      <c r="S40" s="16">
        <v>308</v>
      </c>
      <c r="T40" s="16">
        <v>158</v>
      </c>
      <c r="U40" s="16">
        <v>74</v>
      </c>
      <c r="V40" s="16">
        <v>294</v>
      </c>
      <c r="W40" s="16">
        <v>541</v>
      </c>
      <c r="X40" s="16">
        <v>83</v>
      </c>
      <c r="Y40" s="16">
        <v>183</v>
      </c>
      <c r="Z40" s="16">
        <v>38</v>
      </c>
      <c r="AA40" s="16">
        <v>322</v>
      </c>
      <c r="AB40" s="16">
        <v>237</v>
      </c>
      <c r="AC40" s="16">
        <v>45</v>
      </c>
      <c r="AD40" s="16">
        <v>43</v>
      </c>
      <c r="AE40" s="16">
        <v>87</v>
      </c>
      <c r="AF40" s="16">
        <v>829</v>
      </c>
      <c r="AG40" s="16">
        <v>385</v>
      </c>
      <c r="AH40" s="16">
        <v>77</v>
      </c>
      <c r="AI40" s="16">
        <v>505</v>
      </c>
      <c r="AJ40" s="16">
        <v>109</v>
      </c>
      <c r="AK40" s="16">
        <v>271</v>
      </c>
      <c r="AL40" s="16">
        <v>14</v>
      </c>
      <c r="AM40" s="98">
        <v>124</v>
      </c>
      <c r="AN40" s="16">
        <v>59</v>
      </c>
      <c r="AO40" s="16">
        <v>6</v>
      </c>
      <c r="AP40" s="16">
        <v>102</v>
      </c>
      <c r="AQ40" s="16">
        <v>27</v>
      </c>
      <c r="AR40" s="16">
        <v>24</v>
      </c>
      <c r="AS40" s="16">
        <v>5</v>
      </c>
      <c r="AT40" s="16">
        <v>380</v>
      </c>
      <c r="AU40" s="16">
        <v>79</v>
      </c>
      <c r="AV40" s="16">
        <v>223</v>
      </c>
      <c r="AW40" s="16">
        <v>1322</v>
      </c>
      <c r="AX40" s="16">
        <v>411</v>
      </c>
      <c r="AY40" s="16">
        <v>87</v>
      </c>
      <c r="AZ40" s="16">
        <v>2089</v>
      </c>
      <c r="BA40" s="16">
        <v>292</v>
      </c>
      <c r="BB40" s="16">
        <v>15</v>
      </c>
      <c r="BC40" s="16">
        <v>781</v>
      </c>
      <c r="BD40" s="16">
        <v>885</v>
      </c>
      <c r="BE40" s="16">
        <v>917</v>
      </c>
      <c r="BF40" s="16">
        <v>2247</v>
      </c>
      <c r="BG40" s="16">
        <v>484</v>
      </c>
      <c r="BH40" s="16">
        <v>1054</v>
      </c>
      <c r="BI40" s="16">
        <v>30</v>
      </c>
      <c r="BJ40" s="16">
        <v>427</v>
      </c>
      <c r="BK40" s="16">
        <v>130</v>
      </c>
      <c r="BL40" s="16">
        <v>131</v>
      </c>
      <c r="BM40" s="16">
        <v>59</v>
      </c>
      <c r="BN40" s="16">
        <v>81</v>
      </c>
      <c r="BO40" s="16">
        <v>649</v>
      </c>
      <c r="BP40" s="16">
        <v>6</v>
      </c>
      <c r="BQ40" s="16">
        <v>570</v>
      </c>
    </row>
    <row r="41" spans="1:69" s="5" customFormat="1" ht="21.9" customHeight="1" x14ac:dyDescent="0.25">
      <c r="A41" s="125"/>
      <c r="C41" s="47" t="s">
        <v>76</v>
      </c>
      <c r="D41" s="48"/>
      <c r="E41" s="16">
        <v>102</v>
      </c>
      <c r="F41" s="16">
        <v>0</v>
      </c>
      <c r="G41" s="16">
        <v>0</v>
      </c>
      <c r="H41" s="16">
        <v>0</v>
      </c>
      <c r="I41" s="16">
        <v>0</v>
      </c>
      <c r="J41" s="16">
        <v>1</v>
      </c>
      <c r="K41" s="16">
        <v>0</v>
      </c>
      <c r="L41" s="16">
        <v>0</v>
      </c>
      <c r="M41" s="16">
        <v>2</v>
      </c>
      <c r="N41" s="16">
        <v>1</v>
      </c>
      <c r="O41" s="16">
        <v>0</v>
      </c>
      <c r="P41" s="16">
        <v>0</v>
      </c>
      <c r="Q41" s="16">
        <v>0</v>
      </c>
      <c r="R41" s="16">
        <v>0</v>
      </c>
      <c r="S41" s="16">
        <v>3</v>
      </c>
      <c r="T41" s="16">
        <v>0</v>
      </c>
      <c r="U41" s="16">
        <v>0</v>
      </c>
      <c r="V41" s="16">
        <v>1</v>
      </c>
      <c r="W41" s="16">
        <v>18</v>
      </c>
      <c r="X41" s="16">
        <v>0</v>
      </c>
      <c r="Y41" s="16">
        <v>3</v>
      </c>
      <c r="Z41" s="16">
        <v>0</v>
      </c>
      <c r="AA41" s="16">
        <v>0</v>
      </c>
      <c r="AB41" s="16">
        <v>9</v>
      </c>
      <c r="AC41" s="16">
        <v>0</v>
      </c>
      <c r="AD41" s="16">
        <v>0</v>
      </c>
      <c r="AE41" s="16">
        <v>0</v>
      </c>
      <c r="AF41" s="16">
        <v>2</v>
      </c>
      <c r="AG41" s="16">
        <v>0</v>
      </c>
      <c r="AH41" s="16">
        <v>1</v>
      </c>
      <c r="AI41" s="16">
        <v>10</v>
      </c>
      <c r="AJ41" s="16">
        <v>4</v>
      </c>
      <c r="AK41" s="16">
        <v>7</v>
      </c>
      <c r="AL41" s="16">
        <v>0</v>
      </c>
      <c r="AM41" s="98">
        <v>4</v>
      </c>
      <c r="AN41" s="16">
        <v>0</v>
      </c>
      <c r="AO41" s="16">
        <v>0</v>
      </c>
      <c r="AP41" s="16">
        <v>1</v>
      </c>
      <c r="AQ41" s="16">
        <v>0</v>
      </c>
      <c r="AR41" s="16">
        <v>0</v>
      </c>
      <c r="AS41" s="16">
        <v>0</v>
      </c>
      <c r="AT41" s="16">
        <v>10</v>
      </c>
      <c r="AU41" s="16">
        <v>1</v>
      </c>
      <c r="AV41" s="16">
        <v>2</v>
      </c>
      <c r="AW41" s="16">
        <v>9</v>
      </c>
      <c r="AX41" s="16">
        <v>0</v>
      </c>
      <c r="AY41" s="16">
        <v>0</v>
      </c>
      <c r="AZ41" s="16">
        <v>0</v>
      </c>
      <c r="BA41" s="16">
        <v>2</v>
      </c>
      <c r="BB41" s="16">
        <v>0</v>
      </c>
      <c r="BC41" s="16">
        <v>2</v>
      </c>
      <c r="BD41" s="16">
        <v>5</v>
      </c>
      <c r="BE41" s="16">
        <v>2</v>
      </c>
      <c r="BF41" s="16">
        <v>0</v>
      </c>
      <c r="BG41" s="16">
        <v>0</v>
      </c>
      <c r="BH41" s="16">
        <v>1</v>
      </c>
      <c r="BI41" s="16">
        <v>0</v>
      </c>
      <c r="BJ41" s="16">
        <v>0</v>
      </c>
      <c r="BK41" s="16">
        <v>0</v>
      </c>
      <c r="BL41" s="16">
        <v>0</v>
      </c>
      <c r="BM41" s="16">
        <v>0</v>
      </c>
      <c r="BN41" s="16">
        <v>0</v>
      </c>
      <c r="BO41" s="16">
        <v>0</v>
      </c>
      <c r="BP41" s="16">
        <v>0</v>
      </c>
      <c r="BQ41" s="16">
        <v>1</v>
      </c>
    </row>
    <row r="42" spans="1:69" s="5" customFormat="1" ht="21.9" customHeight="1" x14ac:dyDescent="0.25">
      <c r="A42" s="125" t="s">
        <v>89</v>
      </c>
      <c r="B42" s="4"/>
      <c r="C42" s="47" t="s">
        <v>75</v>
      </c>
      <c r="D42" s="48"/>
      <c r="E42" s="16">
        <v>10104</v>
      </c>
      <c r="F42" s="16">
        <v>47</v>
      </c>
      <c r="G42" s="16">
        <v>17</v>
      </c>
      <c r="H42" s="16">
        <v>11</v>
      </c>
      <c r="I42" s="16">
        <v>7</v>
      </c>
      <c r="J42" s="16">
        <v>0</v>
      </c>
      <c r="K42" s="16">
        <v>43</v>
      </c>
      <c r="L42" s="16">
        <v>1</v>
      </c>
      <c r="M42" s="16">
        <v>1066</v>
      </c>
      <c r="N42" s="16">
        <v>265</v>
      </c>
      <c r="O42" s="16">
        <v>37</v>
      </c>
      <c r="P42" s="16">
        <v>303</v>
      </c>
      <c r="Q42" s="16">
        <v>81</v>
      </c>
      <c r="R42" s="16">
        <v>0</v>
      </c>
      <c r="S42" s="16">
        <v>98</v>
      </c>
      <c r="T42" s="16">
        <v>156</v>
      </c>
      <c r="U42" s="16">
        <v>21</v>
      </c>
      <c r="V42" s="16">
        <v>275</v>
      </c>
      <c r="W42" s="16">
        <v>278</v>
      </c>
      <c r="X42" s="16">
        <v>27</v>
      </c>
      <c r="Y42" s="16">
        <v>103</v>
      </c>
      <c r="Z42" s="16">
        <v>43</v>
      </c>
      <c r="AA42" s="16">
        <v>230</v>
      </c>
      <c r="AB42" s="16">
        <v>67</v>
      </c>
      <c r="AC42" s="16">
        <v>10</v>
      </c>
      <c r="AD42" s="16">
        <v>37</v>
      </c>
      <c r="AE42" s="16">
        <v>89</v>
      </c>
      <c r="AF42" s="16">
        <v>864</v>
      </c>
      <c r="AG42" s="16">
        <v>545</v>
      </c>
      <c r="AH42" s="16">
        <v>484</v>
      </c>
      <c r="AI42" s="16">
        <v>293</v>
      </c>
      <c r="AJ42" s="16">
        <v>105</v>
      </c>
      <c r="AK42" s="16">
        <v>79</v>
      </c>
      <c r="AL42" s="16">
        <v>0</v>
      </c>
      <c r="AM42" s="98">
        <v>93</v>
      </c>
      <c r="AN42" s="16">
        <v>26</v>
      </c>
      <c r="AO42" s="16">
        <v>16</v>
      </c>
      <c r="AP42" s="16">
        <v>119</v>
      </c>
      <c r="AQ42" s="16">
        <v>2</v>
      </c>
      <c r="AR42" s="16">
        <v>0</v>
      </c>
      <c r="AS42" s="16">
        <v>0</v>
      </c>
      <c r="AT42" s="16">
        <v>12</v>
      </c>
      <c r="AU42" s="16">
        <v>10</v>
      </c>
      <c r="AV42" s="16">
        <v>23</v>
      </c>
      <c r="AW42" s="16">
        <v>296</v>
      </c>
      <c r="AX42" s="16">
        <v>527</v>
      </c>
      <c r="AY42" s="16">
        <v>0</v>
      </c>
      <c r="AZ42" s="16">
        <v>33</v>
      </c>
      <c r="BA42" s="16">
        <v>325</v>
      </c>
      <c r="BB42" s="16">
        <v>2</v>
      </c>
      <c r="BC42" s="16">
        <v>355</v>
      </c>
      <c r="BD42" s="16">
        <v>44</v>
      </c>
      <c r="BE42" s="16">
        <v>401</v>
      </c>
      <c r="BF42" s="16">
        <v>21</v>
      </c>
      <c r="BG42" s="16">
        <v>40</v>
      </c>
      <c r="BH42" s="16">
        <v>393</v>
      </c>
      <c r="BI42" s="16">
        <v>73</v>
      </c>
      <c r="BJ42" s="16">
        <v>355</v>
      </c>
      <c r="BK42" s="16">
        <v>112</v>
      </c>
      <c r="BL42" s="16">
        <v>25</v>
      </c>
      <c r="BM42" s="16">
        <v>123</v>
      </c>
      <c r="BN42" s="16">
        <v>353</v>
      </c>
      <c r="BO42" s="16">
        <v>29</v>
      </c>
      <c r="BP42" s="16">
        <v>27</v>
      </c>
      <c r="BQ42" s="16">
        <v>587</v>
      </c>
    </row>
    <row r="43" spans="1:69" s="5" customFormat="1" ht="21.9" customHeight="1" x14ac:dyDescent="0.25">
      <c r="A43" s="125"/>
      <c r="B43" s="4"/>
      <c r="C43" s="47" t="s">
        <v>76</v>
      </c>
      <c r="D43" s="48"/>
      <c r="E43" s="16">
        <v>165</v>
      </c>
      <c r="F43" s="16">
        <v>0</v>
      </c>
      <c r="G43" s="16">
        <v>0</v>
      </c>
      <c r="H43" s="16">
        <v>0</v>
      </c>
      <c r="I43" s="16">
        <v>0</v>
      </c>
      <c r="J43" s="16">
        <v>0</v>
      </c>
      <c r="K43" s="16">
        <v>0</v>
      </c>
      <c r="L43" s="16">
        <v>0</v>
      </c>
      <c r="M43" s="16">
        <v>1</v>
      </c>
      <c r="N43" s="16">
        <v>1</v>
      </c>
      <c r="O43" s="16">
        <v>0</v>
      </c>
      <c r="P43" s="16">
        <v>0</v>
      </c>
      <c r="Q43" s="16">
        <v>0</v>
      </c>
      <c r="R43" s="16">
        <v>0</v>
      </c>
      <c r="S43" s="16">
        <v>3</v>
      </c>
      <c r="T43" s="16">
        <v>4</v>
      </c>
      <c r="U43" s="16">
        <v>0</v>
      </c>
      <c r="V43" s="16">
        <v>4</v>
      </c>
      <c r="W43" s="16">
        <v>7</v>
      </c>
      <c r="X43" s="16">
        <v>1</v>
      </c>
      <c r="Y43" s="16">
        <v>0</v>
      </c>
      <c r="Z43" s="16">
        <v>13</v>
      </c>
      <c r="AA43" s="16">
        <v>1</v>
      </c>
      <c r="AB43" s="16">
        <v>1</v>
      </c>
      <c r="AC43" s="16">
        <v>0</v>
      </c>
      <c r="AD43" s="16">
        <v>3</v>
      </c>
      <c r="AE43" s="16">
        <v>0</v>
      </c>
      <c r="AF43" s="16">
        <v>11</v>
      </c>
      <c r="AG43" s="16">
        <v>7</v>
      </c>
      <c r="AH43" s="16">
        <v>11</v>
      </c>
      <c r="AI43" s="16">
        <v>25</v>
      </c>
      <c r="AJ43" s="16">
        <v>5</v>
      </c>
      <c r="AK43" s="16">
        <v>6</v>
      </c>
      <c r="AL43" s="16">
        <v>0</v>
      </c>
      <c r="AM43" s="98">
        <v>13</v>
      </c>
      <c r="AN43" s="16">
        <v>1</v>
      </c>
      <c r="AO43" s="16">
        <v>0</v>
      </c>
      <c r="AP43" s="16">
        <v>2</v>
      </c>
      <c r="AQ43" s="16">
        <v>0</v>
      </c>
      <c r="AR43" s="16">
        <v>0</v>
      </c>
      <c r="AS43" s="16">
        <v>0</v>
      </c>
      <c r="AT43" s="16">
        <v>0</v>
      </c>
      <c r="AU43" s="16">
        <v>1</v>
      </c>
      <c r="AV43" s="16">
        <v>0</v>
      </c>
      <c r="AW43" s="16">
        <v>4</v>
      </c>
      <c r="AX43" s="16">
        <v>0</v>
      </c>
      <c r="AY43" s="16">
        <v>0</v>
      </c>
      <c r="AZ43" s="16">
        <v>3</v>
      </c>
      <c r="BA43" s="16">
        <v>0</v>
      </c>
      <c r="BB43" s="16">
        <v>0</v>
      </c>
      <c r="BC43" s="16">
        <v>0</v>
      </c>
      <c r="BD43" s="16">
        <v>0</v>
      </c>
      <c r="BE43" s="16">
        <v>11</v>
      </c>
      <c r="BF43" s="16">
        <v>0</v>
      </c>
      <c r="BG43" s="16">
        <v>0</v>
      </c>
      <c r="BH43" s="16">
        <v>3</v>
      </c>
      <c r="BI43" s="16">
        <v>7</v>
      </c>
      <c r="BJ43" s="16">
        <v>0</v>
      </c>
      <c r="BK43" s="16">
        <v>3</v>
      </c>
      <c r="BL43" s="16">
        <v>2</v>
      </c>
      <c r="BM43" s="16">
        <v>0</v>
      </c>
      <c r="BN43" s="16">
        <v>0</v>
      </c>
      <c r="BO43" s="16">
        <v>0</v>
      </c>
      <c r="BP43" s="16">
        <v>0</v>
      </c>
      <c r="BQ43" s="16">
        <v>11</v>
      </c>
    </row>
    <row r="44" spans="1:69" s="5" customFormat="1" ht="21.9" customHeight="1" x14ac:dyDescent="0.25">
      <c r="A44" s="125" t="s">
        <v>90</v>
      </c>
      <c r="B44" s="4"/>
      <c r="C44" s="47" t="s">
        <v>75</v>
      </c>
      <c r="D44" s="48"/>
      <c r="E44" s="16">
        <v>16621</v>
      </c>
      <c r="F44" s="16">
        <v>49</v>
      </c>
      <c r="G44" s="16">
        <v>39</v>
      </c>
      <c r="H44" s="16">
        <v>5</v>
      </c>
      <c r="I44" s="16">
        <v>8</v>
      </c>
      <c r="J44" s="16">
        <v>46</v>
      </c>
      <c r="K44" s="16">
        <v>182</v>
      </c>
      <c r="L44" s="16">
        <v>52</v>
      </c>
      <c r="M44" s="16">
        <v>1189</v>
      </c>
      <c r="N44" s="16">
        <v>189</v>
      </c>
      <c r="O44" s="16">
        <v>15</v>
      </c>
      <c r="P44" s="16">
        <v>186</v>
      </c>
      <c r="Q44" s="16">
        <v>27</v>
      </c>
      <c r="R44" s="16">
        <v>5</v>
      </c>
      <c r="S44" s="16">
        <v>358</v>
      </c>
      <c r="T44" s="16">
        <v>195</v>
      </c>
      <c r="U44" s="16">
        <v>89</v>
      </c>
      <c r="V44" s="16">
        <v>277</v>
      </c>
      <c r="W44" s="16">
        <v>706</v>
      </c>
      <c r="X44" s="16">
        <v>105</v>
      </c>
      <c r="Y44" s="16">
        <v>233</v>
      </c>
      <c r="Z44" s="16">
        <v>32</v>
      </c>
      <c r="AA44" s="16">
        <v>395</v>
      </c>
      <c r="AB44" s="16">
        <v>303</v>
      </c>
      <c r="AC44" s="16">
        <v>101</v>
      </c>
      <c r="AD44" s="16">
        <v>136</v>
      </c>
      <c r="AE44" s="16">
        <v>202</v>
      </c>
      <c r="AF44" s="16">
        <v>2473</v>
      </c>
      <c r="AG44" s="16">
        <v>1019</v>
      </c>
      <c r="AH44" s="16">
        <v>206</v>
      </c>
      <c r="AI44" s="16">
        <v>1187</v>
      </c>
      <c r="AJ44" s="16">
        <v>118</v>
      </c>
      <c r="AK44" s="16">
        <v>423</v>
      </c>
      <c r="AL44" s="16">
        <v>13</v>
      </c>
      <c r="AM44" s="98">
        <v>197</v>
      </c>
      <c r="AN44" s="16">
        <v>18</v>
      </c>
      <c r="AO44" s="16">
        <v>29</v>
      </c>
      <c r="AP44" s="16">
        <v>298</v>
      </c>
      <c r="AQ44" s="16">
        <v>45</v>
      </c>
      <c r="AR44" s="16">
        <v>11</v>
      </c>
      <c r="AS44" s="16">
        <v>7</v>
      </c>
      <c r="AT44" s="16">
        <v>101</v>
      </c>
      <c r="AU44" s="16">
        <v>20</v>
      </c>
      <c r="AV44" s="16">
        <v>12</v>
      </c>
      <c r="AW44" s="16">
        <v>964</v>
      </c>
      <c r="AX44" s="16">
        <v>120</v>
      </c>
      <c r="AY44" s="16">
        <v>20</v>
      </c>
      <c r="AZ44" s="16">
        <v>866</v>
      </c>
      <c r="BA44" s="16">
        <v>366</v>
      </c>
      <c r="BB44" s="16">
        <v>90</v>
      </c>
      <c r="BC44" s="16">
        <v>121</v>
      </c>
      <c r="BD44" s="16">
        <v>9</v>
      </c>
      <c r="BE44" s="16">
        <v>1</v>
      </c>
      <c r="BF44" s="16">
        <v>434</v>
      </c>
      <c r="BG44" s="16">
        <v>248</v>
      </c>
      <c r="BH44" s="16">
        <v>489</v>
      </c>
      <c r="BI44" s="16">
        <v>91</v>
      </c>
      <c r="BJ44" s="16">
        <v>307</v>
      </c>
      <c r="BK44" s="16">
        <v>159</v>
      </c>
      <c r="BL44" s="16">
        <v>41</v>
      </c>
      <c r="BM44" s="16">
        <v>57</v>
      </c>
      <c r="BN44" s="16">
        <v>596</v>
      </c>
      <c r="BO44" s="16">
        <v>17</v>
      </c>
      <c r="BP44" s="16">
        <v>16</v>
      </c>
      <c r="BQ44" s="16">
        <v>308</v>
      </c>
    </row>
    <row r="45" spans="1:69" s="5" customFormat="1" ht="21.9" customHeight="1" x14ac:dyDescent="0.25">
      <c r="A45" s="125"/>
      <c r="B45" s="4"/>
      <c r="C45" s="47" t="s">
        <v>76</v>
      </c>
      <c r="D45" s="48"/>
      <c r="E45" s="16">
        <v>138</v>
      </c>
      <c r="F45" s="16">
        <v>1</v>
      </c>
      <c r="G45" s="16">
        <v>0</v>
      </c>
      <c r="H45" s="16">
        <v>0</v>
      </c>
      <c r="I45" s="16">
        <v>0</v>
      </c>
      <c r="J45" s="16">
        <v>0</v>
      </c>
      <c r="K45" s="16">
        <v>0</v>
      </c>
      <c r="L45" s="16">
        <v>0</v>
      </c>
      <c r="M45" s="16">
        <v>2</v>
      </c>
      <c r="N45" s="16">
        <v>1</v>
      </c>
      <c r="O45" s="16">
        <v>0</v>
      </c>
      <c r="P45" s="16">
        <v>0</v>
      </c>
      <c r="Q45" s="16">
        <v>0</v>
      </c>
      <c r="R45" s="16">
        <v>0</v>
      </c>
      <c r="S45" s="16">
        <v>0</v>
      </c>
      <c r="T45" s="16">
        <v>0</v>
      </c>
      <c r="U45" s="16">
        <v>0</v>
      </c>
      <c r="V45" s="16">
        <v>1</v>
      </c>
      <c r="W45" s="16">
        <v>2</v>
      </c>
      <c r="X45" s="16">
        <v>0</v>
      </c>
      <c r="Y45" s="16">
        <v>1</v>
      </c>
      <c r="Z45" s="16">
        <v>0</v>
      </c>
      <c r="AA45" s="16">
        <v>1</v>
      </c>
      <c r="AB45" s="16">
        <v>0</v>
      </c>
      <c r="AC45" s="16">
        <v>0</v>
      </c>
      <c r="AD45" s="16">
        <v>4</v>
      </c>
      <c r="AE45" s="16">
        <v>2</v>
      </c>
      <c r="AF45" s="16">
        <v>41</v>
      </c>
      <c r="AG45" s="16">
        <v>10</v>
      </c>
      <c r="AH45" s="16">
        <v>0</v>
      </c>
      <c r="AI45" s="16">
        <v>13</v>
      </c>
      <c r="AJ45" s="16">
        <v>2</v>
      </c>
      <c r="AK45" s="16">
        <v>10</v>
      </c>
      <c r="AL45" s="16">
        <v>0</v>
      </c>
      <c r="AM45" s="98">
        <v>14</v>
      </c>
      <c r="AN45" s="16">
        <v>0</v>
      </c>
      <c r="AO45" s="16">
        <v>0</v>
      </c>
      <c r="AP45" s="16">
        <v>2</v>
      </c>
      <c r="AQ45" s="16">
        <v>0</v>
      </c>
      <c r="AR45" s="16">
        <v>0</v>
      </c>
      <c r="AS45" s="16">
        <v>0</v>
      </c>
      <c r="AT45" s="16">
        <v>16</v>
      </c>
      <c r="AU45" s="16">
        <v>0</v>
      </c>
      <c r="AV45" s="16">
        <v>0</v>
      </c>
      <c r="AW45" s="16">
        <v>9</v>
      </c>
      <c r="AX45" s="16">
        <v>2</v>
      </c>
      <c r="AY45" s="16">
        <v>0</v>
      </c>
      <c r="AZ45" s="16">
        <v>0</v>
      </c>
      <c r="BA45" s="16">
        <v>1</v>
      </c>
      <c r="BB45" s="16">
        <v>0</v>
      </c>
      <c r="BC45" s="16">
        <v>0</v>
      </c>
      <c r="BD45" s="16">
        <v>0</v>
      </c>
      <c r="BE45" s="16">
        <v>0</v>
      </c>
      <c r="BF45" s="16">
        <v>0</v>
      </c>
      <c r="BG45" s="16">
        <v>0</v>
      </c>
      <c r="BH45" s="16">
        <v>0</v>
      </c>
      <c r="BI45" s="16">
        <v>0</v>
      </c>
      <c r="BJ45" s="16">
        <v>0</v>
      </c>
      <c r="BK45" s="16">
        <v>3</v>
      </c>
      <c r="BL45" s="16">
        <v>0</v>
      </c>
      <c r="BM45" s="16">
        <v>0</v>
      </c>
      <c r="BN45" s="16">
        <v>0</v>
      </c>
      <c r="BO45" s="16">
        <v>0</v>
      </c>
      <c r="BP45" s="16">
        <v>0</v>
      </c>
      <c r="BQ45" s="16">
        <v>0</v>
      </c>
    </row>
    <row r="46" spans="1:69" s="5" customFormat="1" ht="21.9" customHeight="1" x14ac:dyDescent="0.25">
      <c r="A46" s="125" t="s">
        <v>91</v>
      </c>
      <c r="B46" s="4"/>
      <c r="C46" s="47" t="s">
        <v>75</v>
      </c>
      <c r="D46" s="48"/>
      <c r="E46" s="16">
        <v>11778</v>
      </c>
      <c r="F46" s="16">
        <v>189</v>
      </c>
      <c r="G46" s="16">
        <v>203</v>
      </c>
      <c r="H46" s="16">
        <v>4</v>
      </c>
      <c r="I46" s="16">
        <v>0</v>
      </c>
      <c r="J46" s="16">
        <v>44</v>
      </c>
      <c r="K46" s="16">
        <v>4</v>
      </c>
      <c r="L46" s="16">
        <v>14</v>
      </c>
      <c r="M46" s="16">
        <v>403</v>
      </c>
      <c r="N46" s="16">
        <v>50</v>
      </c>
      <c r="O46" s="16">
        <v>166</v>
      </c>
      <c r="P46" s="16">
        <v>151</v>
      </c>
      <c r="Q46" s="16">
        <v>10</v>
      </c>
      <c r="R46" s="16">
        <v>4</v>
      </c>
      <c r="S46" s="16">
        <v>115</v>
      </c>
      <c r="T46" s="16">
        <v>70</v>
      </c>
      <c r="U46" s="16">
        <v>470</v>
      </c>
      <c r="V46" s="16">
        <v>98</v>
      </c>
      <c r="W46" s="16">
        <v>183</v>
      </c>
      <c r="X46" s="16">
        <v>159</v>
      </c>
      <c r="Y46" s="16">
        <v>32</v>
      </c>
      <c r="Z46" s="16">
        <v>0</v>
      </c>
      <c r="AA46" s="16">
        <v>641</v>
      </c>
      <c r="AB46" s="16">
        <v>146</v>
      </c>
      <c r="AC46" s="16">
        <v>112</v>
      </c>
      <c r="AD46" s="16">
        <v>53</v>
      </c>
      <c r="AE46" s="16">
        <v>8</v>
      </c>
      <c r="AF46" s="16">
        <v>1221</v>
      </c>
      <c r="AG46" s="16">
        <v>550</v>
      </c>
      <c r="AH46" s="16">
        <v>100</v>
      </c>
      <c r="AI46" s="16">
        <v>190</v>
      </c>
      <c r="AJ46" s="16">
        <v>91</v>
      </c>
      <c r="AK46" s="16">
        <v>399</v>
      </c>
      <c r="AL46" s="16">
        <v>8</v>
      </c>
      <c r="AM46" s="98">
        <v>27</v>
      </c>
      <c r="AN46" s="16">
        <v>46</v>
      </c>
      <c r="AO46" s="16">
        <v>4</v>
      </c>
      <c r="AP46" s="16">
        <v>205</v>
      </c>
      <c r="AQ46" s="16">
        <v>0</v>
      </c>
      <c r="AR46" s="16">
        <v>0</v>
      </c>
      <c r="AS46" s="16">
        <v>14</v>
      </c>
      <c r="AT46" s="16">
        <v>57</v>
      </c>
      <c r="AU46" s="16">
        <v>41</v>
      </c>
      <c r="AV46" s="16">
        <v>704</v>
      </c>
      <c r="AW46" s="16">
        <v>1381</v>
      </c>
      <c r="AX46" s="16">
        <v>504</v>
      </c>
      <c r="AY46" s="16">
        <v>9</v>
      </c>
      <c r="AZ46" s="16">
        <v>778</v>
      </c>
      <c r="BA46" s="16">
        <v>142</v>
      </c>
      <c r="BB46" s="16">
        <v>24</v>
      </c>
      <c r="BC46" s="16">
        <v>10</v>
      </c>
      <c r="BD46" s="16">
        <v>2</v>
      </c>
      <c r="BE46" s="16">
        <v>20</v>
      </c>
      <c r="BF46" s="16">
        <v>347</v>
      </c>
      <c r="BG46" s="16">
        <v>290</v>
      </c>
      <c r="BH46" s="16">
        <v>203</v>
      </c>
      <c r="BI46" s="16">
        <v>3</v>
      </c>
      <c r="BJ46" s="16">
        <v>187</v>
      </c>
      <c r="BK46" s="16">
        <v>325</v>
      </c>
      <c r="BL46" s="16">
        <v>192</v>
      </c>
      <c r="BM46" s="16">
        <v>96</v>
      </c>
      <c r="BN46" s="16">
        <v>10</v>
      </c>
      <c r="BO46" s="16">
        <v>241</v>
      </c>
      <c r="BP46" s="16">
        <v>2</v>
      </c>
      <c r="BQ46" s="16">
        <v>26</v>
      </c>
    </row>
    <row r="47" spans="1:69" s="5" customFormat="1" ht="21.9" customHeight="1" x14ac:dyDescent="0.25">
      <c r="A47" s="125"/>
      <c r="B47" s="4"/>
      <c r="C47" s="47" t="s">
        <v>76</v>
      </c>
      <c r="D47" s="48"/>
      <c r="E47" s="16">
        <v>153</v>
      </c>
      <c r="F47" s="16">
        <v>0</v>
      </c>
      <c r="G47" s="16">
        <v>0</v>
      </c>
      <c r="H47" s="16">
        <v>0</v>
      </c>
      <c r="I47" s="16">
        <v>0</v>
      </c>
      <c r="J47" s="16">
        <v>0</v>
      </c>
      <c r="K47" s="16">
        <v>0</v>
      </c>
      <c r="L47" s="16">
        <v>0</v>
      </c>
      <c r="M47" s="16">
        <v>2</v>
      </c>
      <c r="N47" s="16">
        <v>2</v>
      </c>
      <c r="O47" s="16">
        <v>0</v>
      </c>
      <c r="P47" s="16">
        <v>0</v>
      </c>
      <c r="Q47" s="16">
        <v>0</v>
      </c>
      <c r="R47" s="16">
        <v>0</v>
      </c>
      <c r="S47" s="16">
        <v>21</v>
      </c>
      <c r="T47" s="16">
        <v>16</v>
      </c>
      <c r="U47" s="16">
        <v>11</v>
      </c>
      <c r="V47" s="16">
        <v>2</v>
      </c>
      <c r="W47" s="16">
        <v>3</v>
      </c>
      <c r="X47" s="16">
        <v>1</v>
      </c>
      <c r="Y47" s="16">
        <v>0</v>
      </c>
      <c r="Z47" s="16">
        <v>0</v>
      </c>
      <c r="AA47" s="16">
        <v>0</v>
      </c>
      <c r="AB47" s="16">
        <v>2</v>
      </c>
      <c r="AC47" s="16">
        <v>0</v>
      </c>
      <c r="AD47" s="16">
        <v>3</v>
      </c>
      <c r="AE47" s="16">
        <v>0</v>
      </c>
      <c r="AF47" s="16">
        <v>26</v>
      </c>
      <c r="AG47" s="16">
        <v>3</v>
      </c>
      <c r="AH47" s="16">
        <v>0</v>
      </c>
      <c r="AI47" s="16">
        <v>9</v>
      </c>
      <c r="AJ47" s="16">
        <v>0</v>
      </c>
      <c r="AK47" s="16">
        <v>3</v>
      </c>
      <c r="AL47" s="16">
        <v>0</v>
      </c>
      <c r="AM47" s="98">
        <v>3</v>
      </c>
      <c r="AN47" s="16">
        <v>1</v>
      </c>
      <c r="AO47" s="16">
        <v>0</v>
      </c>
      <c r="AP47" s="16">
        <v>1</v>
      </c>
      <c r="AQ47" s="16">
        <v>0</v>
      </c>
      <c r="AR47" s="16">
        <v>0</v>
      </c>
      <c r="AS47" s="16">
        <v>0</v>
      </c>
      <c r="AT47" s="16">
        <v>3</v>
      </c>
      <c r="AU47" s="16">
        <v>3</v>
      </c>
      <c r="AV47" s="16">
        <v>0</v>
      </c>
      <c r="AW47" s="16">
        <v>22</v>
      </c>
      <c r="AX47" s="16">
        <v>0</v>
      </c>
      <c r="AY47" s="16">
        <v>0</v>
      </c>
      <c r="AZ47" s="16">
        <v>0</v>
      </c>
      <c r="BA47" s="16">
        <v>4</v>
      </c>
      <c r="BB47" s="16">
        <v>2</v>
      </c>
      <c r="BC47" s="16">
        <v>2</v>
      </c>
      <c r="BD47" s="16">
        <v>0</v>
      </c>
      <c r="BE47" s="16">
        <v>0</v>
      </c>
      <c r="BF47" s="16">
        <v>0</v>
      </c>
      <c r="BG47" s="16">
        <v>0</v>
      </c>
      <c r="BH47" s="16">
        <v>0</v>
      </c>
      <c r="BI47" s="16">
        <v>0</v>
      </c>
      <c r="BJ47" s="16">
        <v>0</v>
      </c>
      <c r="BK47" s="16">
        <v>0</v>
      </c>
      <c r="BL47" s="16">
        <v>0</v>
      </c>
      <c r="BM47" s="16">
        <v>1</v>
      </c>
      <c r="BN47" s="16">
        <v>0</v>
      </c>
      <c r="BO47" s="16">
        <v>0</v>
      </c>
      <c r="BP47" s="16">
        <v>0</v>
      </c>
      <c r="BQ47" s="16">
        <v>7</v>
      </c>
    </row>
    <row r="48" spans="1:69" s="5" customFormat="1" ht="21.9" customHeight="1" x14ac:dyDescent="0.25">
      <c r="A48" s="125" t="s">
        <v>92</v>
      </c>
      <c r="B48" s="4"/>
      <c r="C48" s="47" t="s">
        <v>75</v>
      </c>
      <c r="D48" s="48"/>
      <c r="E48" s="16">
        <v>8751</v>
      </c>
      <c r="F48" s="16">
        <v>12</v>
      </c>
      <c r="G48" s="16">
        <v>15</v>
      </c>
      <c r="H48" s="16">
        <v>11</v>
      </c>
      <c r="I48" s="16">
        <v>0</v>
      </c>
      <c r="J48" s="16">
        <v>1</v>
      </c>
      <c r="K48" s="16">
        <v>27</v>
      </c>
      <c r="L48" s="16">
        <v>0</v>
      </c>
      <c r="M48" s="16">
        <v>854</v>
      </c>
      <c r="N48" s="16">
        <v>57</v>
      </c>
      <c r="O48" s="16">
        <v>28</v>
      </c>
      <c r="P48" s="16">
        <v>281</v>
      </c>
      <c r="Q48" s="16">
        <v>50</v>
      </c>
      <c r="R48" s="16">
        <v>0</v>
      </c>
      <c r="S48" s="16">
        <v>63</v>
      </c>
      <c r="T48" s="16">
        <v>137</v>
      </c>
      <c r="U48" s="16">
        <v>68</v>
      </c>
      <c r="V48" s="16">
        <v>75</v>
      </c>
      <c r="W48" s="16">
        <v>162</v>
      </c>
      <c r="X48" s="16">
        <v>47</v>
      </c>
      <c r="Y48" s="16">
        <v>161</v>
      </c>
      <c r="Z48" s="16">
        <v>35</v>
      </c>
      <c r="AA48" s="16">
        <v>37</v>
      </c>
      <c r="AB48" s="16">
        <v>207</v>
      </c>
      <c r="AC48" s="16">
        <v>45</v>
      </c>
      <c r="AD48" s="16">
        <v>19</v>
      </c>
      <c r="AE48" s="16">
        <v>43</v>
      </c>
      <c r="AF48" s="16">
        <v>1840</v>
      </c>
      <c r="AG48" s="16">
        <v>524</v>
      </c>
      <c r="AH48" s="16">
        <v>202</v>
      </c>
      <c r="AI48" s="16">
        <v>367</v>
      </c>
      <c r="AJ48" s="16">
        <v>46</v>
      </c>
      <c r="AK48" s="16">
        <v>227</v>
      </c>
      <c r="AL48" s="16">
        <v>2</v>
      </c>
      <c r="AM48" s="98">
        <v>25</v>
      </c>
      <c r="AN48" s="16">
        <v>5</v>
      </c>
      <c r="AO48" s="16">
        <v>8</v>
      </c>
      <c r="AP48" s="16">
        <v>105</v>
      </c>
      <c r="AQ48" s="16">
        <v>0</v>
      </c>
      <c r="AR48" s="16">
        <v>0</v>
      </c>
      <c r="AS48" s="16">
        <v>27</v>
      </c>
      <c r="AT48" s="16">
        <v>37</v>
      </c>
      <c r="AU48" s="16">
        <v>3</v>
      </c>
      <c r="AV48" s="16">
        <v>5</v>
      </c>
      <c r="AW48" s="16">
        <v>168</v>
      </c>
      <c r="AX48" s="16">
        <v>23</v>
      </c>
      <c r="AY48" s="16">
        <v>1</v>
      </c>
      <c r="AZ48" s="16">
        <v>49</v>
      </c>
      <c r="BA48" s="16">
        <v>61</v>
      </c>
      <c r="BB48" s="16">
        <v>2</v>
      </c>
      <c r="BC48" s="16">
        <v>3</v>
      </c>
      <c r="BD48" s="16">
        <v>3</v>
      </c>
      <c r="BE48" s="16">
        <v>0</v>
      </c>
      <c r="BF48" s="16">
        <v>65</v>
      </c>
      <c r="BG48" s="16">
        <v>73</v>
      </c>
      <c r="BH48" s="16">
        <v>87</v>
      </c>
      <c r="BI48" s="16">
        <v>99</v>
      </c>
      <c r="BJ48" s="16">
        <v>28</v>
      </c>
      <c r="BK48" s="16">
        <v>668</v>
      </c>
      <c r="BL48" s="16">
        <v>252</v>
      </c>
      <c r="BM48" s="16">
        <v>797</v>
      </c>
      <c r="BN48" s="16">
        <v>313</v>
      </c>
      <c r="BO48" s="16">
        <v>0</v>
      </c>
      <c r="BP48" s="16">
        <v>0</v>
      </c>
      <c r="BQ48" s="16">
        <v>201</v>
      </c>
    </row>
    <row r="49" spans="1:193" s="5" customFormat="1" ht="21.9" customHeight="1" x14ac:dyDescent="0.25">
      <c r="A49" s="125"/>
      <c r="B49" s="4"/>
      <c r="C49" s="47" t="s">
        <v>76</v>
      </c>
      <c r="D49" s="48"/>
      <c r="E49" s="16">
        <v>69</v>
      </c>
      <c r="F49" s="16">
        <v>0</v>
      </c>
      <c r="G49" s="16">
        <v>0</v>
      </c>
      <c r="H49" s="16">
        <v>0</v>
      </c>
      <c r="I49" s="16">
        <v>0</v>
      </c>
      <c r="J49" s="16">
        <v>0</v>
      </c>
      <c r="K49" s="16">
        <v>0</v>
      </c>
      <c r="L49" s="16">
        <v>0</v>
      </c>
      <c r="M49" s="16">
        <v>1</v>
      </c>
      <c r="N49" s="16">
        <v>1</v>
      </c>
      <c r="O49" s="16">
        <v>0</v>
      </c>
      <c r="P49" s="16">
        <v>0</v>
      </c>
      <c r="Q49" s="16">
        <v>0</v>
      </c>
      <c r="R49" s="16">
        <v>0</v>
      </c>
      <c r="S49" s="16">
        <v>1</v>
      </c>
      <c r="T49" s="16">
        <v>4</v>
      </c>
      <c r="U49" s="16">
        <v>0</v>
      </c>
      <c r="V49" s="16">
        <v>0</v>
      </c>
      <c r="W49" s="16">
        <v>0</v>
      </c>
      <c r="X49" s="16">
        <v>0</v>
      </c>
      <c r="Y49" s="16">
        <v>3</v>
      </c>
      <c r="Z49" s="16">
        <v>0</v>
      </c>
      <c r="AA49" s="16">
        <v>0</v>
      </c>
      <c r="AB49" s="16">
        <v>2</v>
      </c>
      <c r="AC49" s="16">
        <v>0</v>
      </c>
      <c r="AD49" s="16">
        <v>0</v>
      </c>
      <c r="AE49" s="16">
        <v>3</v>
      </c>
      <c r="AF49" s="16">
        <v>3</v>
      </c>
      <c r="AG49" s="16">
        <v>0</v>
      </c>
      <c r="AH49" s="16">
        <v>0</v>
      </c>
      <c r="AI49" s="16">
        <v>8</v>
      </c>
      <c r="AJ49" s="16">
        <v>0</v>
      </c>
      <c r="AK49" s="16">
        <v>2</v>
      </c>
      <c r="AL49" s="16">
        <v>0</v>
      </c>
      <c r="AM49" s="98">
        <v>1</v>
      </c>
      <c r="AN49" s="16">
        <v>0</v>
      </c>
      <c r="AO49" s="16">
        <v>0</v>
      </c>
      <c r="AP49" s="16">
        <v>0</v>
      </c>
      <c r="AQ49" s="16">
        <v>0</v>
      </c>
      <c r="AR49" s="16">
        <v>0</v>
      </c>
      <c r="AS49" s="16">
        <v>0</v>
      </c>
      <c r="AT49" s="16">
        <v>7</v>
      </c>
      <c r="AU49" s="16">
        <v>1</v>
      </c>
      <c r="AV49" s="16">
        <v>0</v>
      </c>
      <c r="AW49" s="16">
        <v>12</v>
      </c>
      <c r="AX49" s="16">
        <v>0</v>
      </c>
      <c r="AY49" s="16">
        <v>0</v>
      </c>
      <c r="AZ49" s="16">
        <v>0</v>
      </c>
      <c r="BA49" s="16">
        <v>0</v>
      </c>
      <c r="BB49" s="16">
        <v>0</v>
      </c>
      <c r="BC49" s="16">
        <v>0</v>
      </c>
      <c r="BD49" s="16">
        <v>0</v>
      </c>
      <c r="BE49" s="16">
        <v>0</v>
      </c>
      <c r="BF49" s="16">
        <v>2</v>
      </c>
      <c r="BG49" s="16">
        <v>3</v>
      </c>
      <c r="BH49" s="16">
        <v>0</v>
      </c>
      <c r="BI49" s="16">
        <v>0</v>
      </c>
      <c r="BJ49" s="16">
        <v>0</v>
      </c>
      <c r="BK49" s="16">
        <v>7</v>
      </c>
      <c r="BL49" s="16">
        <v>8</v>
      </c>
      <c r="BM49" s="16">
        <v>0</v>
      </c>
      <c r="BN49" s="16">
        <v>0</v>
      </c>
      <c r="BO49" s="16">
        <v>0</v>
      </c>
      <c r="BP49" s="16">
        <v>0</v>
      </c>
      <c r="BQ49" s="16">
        <v>0</v>
      </c>
    </row>
    <row r="50" spans="1:193" s="5" customFormat="1" ht="21.9" customHeight="1" x14ac:dyDescent="0.25">
      <c r="A50" s="125" t="s">
        <v>93</v>
      </c>
      <c r="C50" s="47" t="s">
        <v>75</v>
      </c>
      <c r="D50" s="48"/>
      <c r="E50" s="16">
        <v>26722</v>
      </c>
      <c r="F50" s="16">
        <v>1218</v>
      </c>
      <c r="G50" s="16">
        <v>555</v>
      </c>
      <c r="H50" s="16">
        <v>615</v>
      </c>
      <c r="I50" s="16">
        <v>2</v>
      </c>
      <c r="J50" s="16">
        <v>3</v>
      </c>
      <c r="K50" s="16">
        <v>124</v>
      </c>
      <c r="L50" s="16">
        <v>0</v>
      </c>
      <c r="M50" s="16">
        <v>195</v>
      </c>
      <c r="N50" s="16">
        <v>170</v>
      </c>
      <c r="O50" s="16">
        <v>24</v>
      </c>
      <c r="P50" s="16">
        <v>357</v>
      </c>
      <c r="Q50" s="16">
        <v>171</v>
      </c>
      <c r="R50" s="16">
        <v>0</v>
      </c>
      <c r="S50" s="16">
        <v>202</v>
      </c>
      <c r="T50" s="16">
        <v>469</v>
      </c>
      <c r="U50" s="16">
        <v>19</v>
      </c>
      <c r="V50" s="16">
        <v>357</v>
      </c>
      <c r="W50" s="16">
        <v>1422</v>
      </c>
      <c r="X50" s="16">
        <v>135</v>
      </c>
      <c r="Y50" s="16">
        <v>77</v>
      </c>
      <c r="Z50" s="16">
        <v>99</v>
      </c>
      <c r="AA50" s="16">
        <v>173</v>
      </c>
      <c r="AB50" s="16">
        <v>63</v>
      </c>
      <c r="AC50" s="16">
        <v>13</v>
      </c>
      <c r="AD50" s="16">
        <v>41</v>
      </c>
      <c r="AE50" s="16">
        <v>368</v>
      </c>
      <c r="AF50" s="16">
        <v>2434</v>
      </c>
      <c r="AG50" s="16">
        <v>840</v>
      </c>
      <c r="AH50" s="16">
        <v>214</v>
      </c>
      <c r="AI50" s="16">
        <v>1893</v>
      </c>
      <c r="AJ50" s="16">
        <v>46</v>
      </c>
      <c r="AK50" s="16">
        <v>189</v>
      </c>
      <c r="AL50" s="16">
        <v>1</v>
      </c>
      <c r="AM50" s="98">
        <v>692</v>
      </c>
      <c r="AN50" s="16">
        <v>50</v>
      </c>
      <c r="AO50" s="16">
        <v>20</v>
      </c>
      <c r="AP50" s="16">
        <v>144</v>
      </c>
      <c r="AQ50" s="16">
        <v>16</v>
      </c>
      <c r="AR50" s="16">
        <v>13</v>
      </c>
      <c r="AS50" s="16">
        <v>61</v>
      </c>
      <c r="AT50" s="16">
        <v>94</v>
      </c>
      <c r="AU50" s="16">
        <v>28</v>
      </c>
      <c r="AV50" s="16">
        <v>157</v>
      </c>
      <c r="AW50" s="16">
        <v>8451</v>
      </c>
      <c r="AX50" s="16">
        <v>426</v>
      </c>
      <c r="AY50" s="16">
        <v>8</v>
      </c>
      <c r="AZ50" s="16">
        <v>100</v>
      </c>
      <c r="BA50" s="16">
        <v>2107</v>
      </c>
      <c r="BB50" s="16">
        <v>19</v>
      </c>
      <c r="BC50" s="16">
        <v>0</v>
      </c>
      <c r="BD50" s="16">
        <v>0</v>
      </c>
      <c r="BE50" s="16">
        <v>0</v>
      </c>
      <c r="BF50" s="16">
        <v>89</v>
      </c>
      <c r="BG50" s="16">
        <v>388</v>
      </c>
      <c r="BH50" s="16">
        <v>280</v>
      </c>
      <c r="BI50" s="16">
        <v>103</v>
      </c>
      <c r="BJ50" s="16">
        <v>450</v>
      </c>
      <c r="BK50" s="16">
        <v>194</v>
      </c>
      <c r="BL50" s="16">
        <v>242</v>
      </c>
      <c r="BM50" s="16">
        <v>62</v>
      </c>
      <c r="BN50" s="16">
        <v>7</v>
      </c>
      <c r="BO50" s="16">
        <v>0</v>
      </c>
      <c r="BP50" s="16">
        <v>0</v>
      </c>
      <c r="BQ50" s="16">
        <v>32</v>
      </c>
    </row>
    <row r="51" spans="1:193" s="5" customFormat="1" ht="21.9" customHeight="1" x14ac:dyDescent="0.25">
      <c r="A51" s="125"/>
      <c r="C51" s="47" t="s">
        <v>76</v>
      </c>
      <c r="D51" s="48"/>
      <c r="E51" s="16">
        <v>58</v>
      </c>
      <c r="F51" s="16">
        <v>0</v>
      </c>
      <c r="G51" s="16">
        <v>0</v>
      </c>
      <c r="H51" s="16">
        <v>0</v>
      </c>
      <c r="I51" s="16">
        <v>0</v>
      </c>
      <c r="J51" s="16">
        <v>0</v>
      </c>
      <c r="K51" s="16">
        <v>0</v>
      </c>
      <c r="L51" s="16">
        <v>0</v>
      </c>
      <c r="M51" s="16">
        <v>1</v>
      </c>
      <c r="N51" s="16">
        <v>2</v>
      </c>
      <c r="O51" s="16">
        <v>0</v>
      </c>
      <c r="P51" s="16">
        <v>0</v>
      </c>
      <c r="Q51" s="16">
        <v>0</v>
      </c>
      <c r="R51" s="16">
        <v>0</v>
      </c>
      <c r="S51" s="16">
        <v>1</v>
      </c>
      <c r="T51" s="16">
        <v>2</v>
      </c>
      <c r="U51" s="16">
        <v>2</v>
      </c>
      <c r="V51" s="16">
        <v>0</v>
      </c>
      <c r="W51" s="16">
        <v>4</v>
      </c>
      <c r="X51" s="16">
        <v>0</v>
      </c>
      <c r="Y51" s="16">
        <v>2</v>
      </c>
      <c r="Z51" s="16">
        <v>0</v>
      </c>
      <c r="AA51" s="16">
        <v>0</v>
      </c>
      <c r="AB51" s="16">
        <v>0</v>
      </c>
      <c r="AC51" s="16">
        <v>0</v>
      </c>
      <c r="AD51" s="16">
        <v>1</v>
      </c>
      <c r="AE51" s="16">
        <v>0</v>
      </c>
      <c r="AF51" s="16">
        <v>8</v>
      </c>
      <c r="AG51" s="16">
        <v>2</v>
      </c>
      <c r="AH51" s="16">
        <v>5</v>
      </c>
      <c r="AI51" s="16">
        <v>5</v>
      </c>
      <c r="AJ51" s="16">
        <v>2</v>
      </c>
      <c r="AK51" s="16">
        <v>0</v>
      </c>
      <c r="AL51" s="16">
        <v>0</v>
      </c>
      <c r="AM51" s="98">
        <v>1</v>
      </c>
      <c r="AN51" s="16">
        <v>0</v>
      </c>
      <c r="AO51" s="16">
        <v>0</v>
      </c>
      <c r="AP51" s="16">
        <v>2</v>
      </c>
      <c r="AQ51" s="16">
        <v>0</v>
      </c>
      <c r="AR51" s="16">
        <v>0</v>
      </c>
      <c r="AS51" s="16">
        <v>0</v>
      </c>
      <c r="AT51" s="16">
        <v>0</v>
      </c>
      <c r="AU51" s="16">
        <v>0</v>
      </c>
      <c r="AV51" s="16">
        <v>0</v>
      </c>
      <c r="AW51" s="16">
        <v>1</v>
      </c>
      <c r="AX51" s="16">
        <v>0</v>
      </c>
      <c r="AY51" s="16">
        <v>0</v>
      </c>
      <c r="AZ51" s="16">
        <v>0</v>
      </c>
      <c r="BA51" s="16">
        <v>0</v>
      </c>
      <c r="BB51" s="16">
        <v>0</v>
      </c>
      <c r="BC51" s="16">
        <v>0</v>
      </c>
      <c r="BD51" s="16">
        <v>0</v>
      </c>
      <c r="BE51" s="16">
        <v>0</v>
      </c>
      <c r="BF51" s="16">
        <v>1</v>
      </c>
      <c r="BG51" s="16">
        <v>4</v>
      </c>
      <c r="BH51" s="16">
        <v>6</v>
      </c>
      <c r="BI51" s="16">
        <v>4</v>
      </c>
      <c r="BJ51" s="16">
        <v>0</v>
      </c>
      <c r="BK51" s="16">
        <v>0</v>
      </c>
      <c r="BL51" s="16">
        <v>0</v>
      </c>
      <c r="BM51" s="16">
        <v>0</v>
      </c>
      <c r="BN51" s="16">
        <v>0</v>
      </c>
      <c r="BO51" s="16">
        <v>0</v>
      </c>
      <c r="BP51" s="16">
        <v>0</v>
      </c>
      <c r="BQ51" s="16">
        <v>2</v>
      </c>
    </row>
    <row r="52" spans="1:193" s="5" customFormat="1" ht="21.9" customHeight="1" x14ac:dyDescent="0.25">
      <c r="A52" s="125" t="s">
        <v>94</v>
      </c>
      <c r="B52" s="4"/>
      <c r="C52" s="47" t="s">
        <v>75</v>
      </c>
      <c r="D52" s="48"/>
      <c r="E52" s="16">
        <v>12150</v>
      </c>
      <c r="F52" s="16">
        <v>71</v>
      </c>
      <c r="G52" s="16">
        <v>55</v>
      </c>
      <c r="H52" s="16">
        <v>17</v>
      </c>
      <c r="I52" s="16">
        <v>6</v>
      </c>
      <c r="J52" s="16">
        <v>32</v>
      </c>
      <c r="K52" s="16">
        <v>82</v>
      </c>
      <c r="L52" s="16">
        <v>2</v>
      </c>
      <c r="M52" s="16">
        <v>191</v>
      </c>
      <c r="N52" s="16">
        <v>254</v>
      </c>
      <c r="O52" s="16">
        <v>11</v>
      </c>
      <c r="P52" s="16">
        <v>153</v>
      </c>
      <c r="Q52" s="16">
        <v>17</v>
      </c>
      <c r="R52" s="16">
        <v>0</v>
      </c>
      <c r="S52" s="16">
        <v>295</v>
      </c>
      <c r="T52" s="16">
        <v>354</v>
      </c>
      <c r="U52" s="16">
        <v>45</v>
      </c>
      <c r="V52" s="16">
        <v>196</v>
      </c>
      <c r="W52" s="16">
        <v>541</v>
      </c>
      <c r="X52" s="16">
        <v>73</v>
      </c>
      <c r="Y52" s="16">
        <v>70</v>
      </c>
      <c r="Z52" s="16">
        <v>70</v>
      </c>
      <c r="AA52" s="16">
        <v>95</v>
      </c>
      <c r="AB52" s="16">
        <v>83</v>
      </c>
      <c r="AC52" s="16">
        <v>72</v>
      </c>
      <c r="AD52" s="16">
        <v>22</v>
      </c>
      <c r="AE52" s="16">
        <v>222</v>
      </c>
      <c r="AF52" s="16">
        <v>1801</v>
      </c>
      <c r="AG52" s="16">
        <v>573</v>
      </c>
      <c r="AH52" s="16">
        <v>198</v>
      </c>
      <c r="AI52" s="16">
        <v>999</v>
      </c>
      <c r="AJ52" s="16">
        <v>215</v>
      </c>
      <c r="AK52" s="16">
        <v>199</v>
      </c>
      <c r="AL52" s="16">
        <v>9</v>
      </c>
      <c r="AM52" s="98">
        <v>56</v>
      </c>
      <c r="AN52" s="16">
        <v>18</v>
      </c>
      <c r="AO52" s="16">
        <v>3</v>
      </c>
      <c r="AP52" s="16">
        <v>113</v>
      </c>
      <c r="AQ52" s="16">
        <v>75</v>
      </c>
      <c r="AR52" s="16">
        <v>16</v>
      </c>
      <c r="AS52" s="16">
        <v>168</v>
      </c>
      <c r="AT52" s="16">
        <v>143</v>
      </c>
      <c r="AU52" s="16">
        <v>0</v>
      </c>
      <c r="AV52" s="16">
        <v>115</v>
      </c>
      <c r="AW52" s="16">
        <v>897</v>
      </c>
      <c r="AX52" s="16">
        <v>236</v>
      </c>
      <c r="AY52" s="16">
        <v>8</v>
      </c>
      <c r="AZ52" s="16">
        <v>124</v>
      </c>
      <c r="BA52" s="16">
        <v>28</v>
      </c>
      <c r="BB52" s="16">
        <v>15</v>
      </c>
      <c r="BC52" s="16">
        <v>72</v>
      </c>
      <c r="BD52" s="16">
        <v>68</v>
      </c>
      <c r="BE52" s="16">
        <v>28</v>
      </c>
      <c r="BF52" s="16">
        <v>156</v>
      </c>
      <c r="BG52" s="16">
        <v>161</v>
      </c>
      <c r="BH52" s="16">
        <v>314</v>
      </c>
      <c r="BI52" s="16">
        <v>455</v>
      </c>
      <c r="BJ52" s="16">
        <v>566</v>
      </c>
      <c r="BK52" s="16">
        <v>369</v>
      </c>
      <c r="BL52" s="16">
        <v>53</v>
      </c>
      <c r="BM52" s="16">
        <v>372</v>
      </c>
      <c r="BN52" s="16">
        <v>386</v>
      </c>
      <c r="BO52" s="16">
        <v>16</v>
      </c>
      <c r="BP52" s="16">
        <v>19</v>
      </c>
      <c r="BQ52" s="16">
        <v>77</v>
      </c>
    </row>
    <row r="53" spans="1:193" s="5" customFormat="1" ht="21.9" customHeight="1" x14ac:dyDescent="0.25">
      <c r="A53" s="125"/>
      <c r="B53" s="4"/>
      <c r="C53" s="47" t="s">
        <v>76</v>
      </c>
      <c r="D53" s="48"/>
      <c r="E53" s="16">
        <v>102</v>
      </c>
      <c r="F53" s="16">
        <v>0</v>
      </c>
      <c r="G53" s="16">
        <v>3</v>
      </c>
      <c r="H53" s="16">
        <v>0</v>
      </c>
      <c r="I53" s="16">
        <v>0</v>
      </c>
      <c r="J53" s="16">
        <v>0</v>
      </c>
      <c r="K53" s="16">
        <v>1</v>
      </c>
      <c r="L53" s="16">
        <v>0</v>
      </c>
      <c r="M53" s="16">
        <v>0</v>
      </c>
      <c r="N53" s="16">
        <v>0</v>
      </c>
      <c r="O53" s="16">
        <v>0</v>
      </c>
      <c r="P53" s="16">
        <v>0</v>
      </c>
      <c r="Q53" s="16">
        <v>0</v>
      </c>
      <c r="R53" s="16">
        <v>0</v>
      </c>
      <c r="S53" s="16">
        <v>0</v>
      </c>
      <c r="T53" s="16">
        <v>0</v>
      </c>
      <c r="U53" s="16">
        <v>2</v>
      </c>
      <c r="V53" s="16">
        <v>1</v>
      </c>
      <c r="W53" s="16">
        <v>1</v>
      </c>
      <c r="X53" s="16">
        <v>0</v>
      </c>
      <c r="Y53" s="16">
        <v>0</v>
      </c>
      <c r="Z53" s="16">
        <v>0</v>
      </c>
      <c r="AA53" s="16">
        <v>1</v>
      </c>
      <c r="AB53" s="16">
        <v>0</v>
      </c>
      <c r="AC53" s="16">
        <v>0</v>
      </c>
      <c r="AD53" s="16">
        <v>0</v>
      </c>
      <c r="AE53" s="16">
        <v>21</v>
      </c>
      <c r="AF53" s="16">
        <v>30</v>
      </c>
      <c r="AG53" s="16">
        <v>1</v>
      </c>
      <c r="AH53" s="16">
        <v>0</v>
      </c>
      <c r="AI53" s="16">
        <v>5</v>
      </c>
      <c r="AJ53" s="16">
        <v>0</v>
      </c>
      <c r="AK53" s="16">
        <v>2</v>
      </c>
      <c r="AL53" s="16">
        <v>0</v>
      </c>
      <c r="AM53" s="98">
        <v>0</v>
      </c>
      <c r="AN53" s="16">
        <v>0</v>
      </c>
      <c r="AO53" s="16">
        <v>0</v>
      </c>
      <c r="AP53" s="16">
        <v>3</v>
      </c>
      <c r="AQ53" s="16">
        <v>0</v>
      </c>
      <c r="AR53" s="16">
        <v>0</v>
      </c>
      <c r="AS53" s="16">
        <v>0</v>
      </c>
      <c r="AT53" s="16">
        <v>0</v>
      </c>
      <c r="AU53" s="16">
        <v>0</v>
      </c>
      <c r="AV53" s="16">
        <v>0</v>
      </c>
      <c r="AW53" s="16">
        <v>10</v>
      </c>
      <c r="AX53" s="16">
        <v>0</v>
      </c>
      <c r="AY53" s="16">
        <v>0</v>
      </c>
      <c r="AZ53" s="16">
        <v>2</v>
      </c>
      <c r="BA53" s="16">
        <v>4</v>
      </c>
      <c r="BB53" s="16">
        <v>0</v>
      </c>
      <c r="BC53" s="16">
        <v>1</v>
      </c>
      <c r="BD53" s="16">
        <v>2</v>
      </c>
      <c r="BE53" s="16">
        <v>0</v>
      </c>
      <c r="BF53" s="16">
        <v>0</v>
      </c>
      <c r="BG53" s="16">
        <v>0</v>
      </c>
      <c r="BH53" s="16">
        <v>3</v>
      </c>
      <c r="BI53" s="16">
        <v>3</v>
      </c>
      <c r="BJ53" s="16">
        <v>0</v>
      </c>
      <c r="BK53" s="16">
        <v>2</v>
      </c>
      <c r="BL53" s="16">
        <v>2</v>
      </c>
      <c r="BM53" s="16">
        <v>0</v>
      </c>
      <c r="BN53" s="16">
        <v>0</v>
      </c>
      <c r="BO53" s="16">
        <v>0</v>
      </c>
      <c r="BP53" s="16">
        <v>2</v>
      </c>
      <c r="BQ53" s="16">
        <v>0</v>
      </c>
    </row>
    <row r="54" spans="1:193" s="5" customFormat="1" ht="21.9" customHeight="1" x14ac:dyDescent="0.25">
      <c r="A54" s="125" t="s">
        <v>95</v>
      </c>
      <c r="B54" s="4"/>
      <c r="C54" s="47" t="s">
        <v>140</v>
      </c>
      <c r="D54" s="48"/>
      <c r="E54" s="16">
        <v>2012</v>
      </c>
      <c r="F54" s="16">
        <v>3</v>
      </c>
      <c r="G54" s="16">
        <v>0</v>
      </c>
      <c r="H54" s="16">
        <v>0</v>
      </c>
      <c r="I54" s="16">
        <v>0</v>
      </c>
      <c r="J54" s="16">
        <v>2</v>
      </c>
      <c r="K54" s="16">
        <v>12</v>
      </c>
      <c r="L54" s="16">
        <v>0</v>
      </c>
      <c r="M54" s="16">
        <v>58</v>
      </c>
      <c r="N54" s="16">
        <v>82</v>
      </c>
      <c r="O54" s="16">
        <v>0</v>
      </c>
      <c r="P54" s="16">
        <v>42</v>
      </c>
      <c r="Q54" s="16">
        <v>10</v>
      </c>
      <c r="R54" s="16">
        <v>0</v>
      </c>
      <c r="S54" s="16">
        <v>71</v>
      </c>
      <c r="T54" s="16">
        <v>22</v>
      </c>
      <c r="U54" s="16">
        <v>1</v>
      </c>
      <c r="V54" s="16">
        <v>16</v>
      </c>
      <c r="W54" s="16">
        <v>177</v>
      </c>
      <c r="X54" s="16">
        <v>3</v>
      </c>
      <c r="Y54" s="16">
        <v>52</v>
      </c>
      <c r="Z54" s="16">
        <v>3</v>
      </c>
      <c r="AA54" s="16">
        <v>23</v>
      </c>
      <c r="AB54" s="16">
        <v>43</v>
      </c>
      <c r="AC54" s="16">
        <v>1</v>
      </c>
      <c r="AD54" s="16">
        <v>217</v>
      </c>
      <c r="AE54" s="16">
        <v>9</v>
      </c>
      <c r="AF54" s="16">
        <v>277</v>
      </c>
      <c r="AG54" s="16">
        <v>52</v>
      </c>
      <c r="AH54" s="16">
        <v>10</v>
      </c>
      <c r="AI54" s="16">
        <v>255</v>
      </c>
      <c r="AJ54" s="16">
        <v>9</v>
      </c>
      <c r="AK54" s="16">
        <v>59</v>
      </c>
      <c r="AL54" s="16">
        <v>4</v>
      </c>
      <c r="AM54" s="98">
        <v>4</v>
      </c>
      <c r="AN54" s="16">
        <v>10</v>
      </c>
      <c r="AO54" s="16">
        <v>0</v>
      </c>
      <c r="AP54" s="16">
        <v>34</v>
      </c>
      <c r="AQ54" s="16">
        <v>0</v>
      </c>
      <c r="AR54" s="16">
        <v>1</v>
      </c>
      <c r="AS54" s="16">
        <v>0</v>
      </c>
      <c r="AT54" s="16">
        <v>0</v>
      </c>
      <c r="AU54" s="16">
        <v>4</v>
      </c>
      <c r="AV54" s="16">
        <v>0</v>
      </c>
      <c r="AW54" s="16">
        <v>166</v>
      </c>
      <c r="AX54" s="16">
        <v>36</v>
      </c>
      <c r="AY54" s="16">
        <v>0</v>
      </c>
      <c r="AZ54" s="16">
        <v>23</v>
      </c>
      <c r="BA54" s="16">
        <v>19</v>
      </c>
      <c r="BB54" s="16">
        <v>0</v>
      </c>
      <c r="BC54" s="16">
        <v>8</v>
      </c>
      <c r="BD54" s="16">
        <v>10</v>
      </c>
      <c r="BE54" s="16">
        <v>0</v>
      </c>
      <c r="BF54" s="16">
        <v>1</v>
      </c>
      <c r="BG54" s="16">
        <v>36</v>
      </c>
      <c r="BH54" s="16">
        <v>4</v>
      </c>
      <c r="BI54" s="16">
        <v>2</v>
      </c>
      <c r="BJ54" s="16">
        <v>3</v>
      </c>
      <c r="BK54" s="16">
        <v>68</v>
      </c>
      <c r="BL54" s="16">
        <v>12</v>
      </c>
      <c r="BM54" s="16">
        <v>0</v>
      </c>
      <c r="BN54" s="16">
        <v>30</v>
      </c>
      <c r="BO54" s="16">
        <v>0</v>
      </c>
      <c r="BP54" s="16">
        <v>0</v>
      </c>
      <c r="BQ54" s="16">
        <v>28</v>
      </c>
    </row>
    <row r="55" spans="1:193" s="5" customFormat="1" ht="21.9" customHeight="1" x14ac:dyDescent="0.25">
      <c r="A55" s="125"/>
      <c r="B55" s="4"/>
      <c r="C55" s="47" t="s">
        <v>76</v>
      </c>
      <c r="D55" s="48"/>
      <c r="E55" s="16">
        <v>31</v>
      </c>
      <c r="F55" s="16">
        <v>0</v>
      </c>
      <c r="G55" s="16">
        <v>0</v>
      </c>
      <c r="H55" s="16">
        <v>0</v>
      </c>
      <c r="I55" s="16">
        <v>0</v>
      </c>
      <c r="J55" s="16">
        <v>0</v>
      </c>
      <c r="K55" s="16">
        <v>0</v>
      </c>
      <c r="L55" s="16">
        <v>0</v>
      </c>
      <c r="M55" s="16">
        <v>1</v>
      </c>
      <c r="N55" s="16">
        <v>0</v>
      </c>
      <c r="O55" s="16">
        <v>0</v>
      </c>
      <c r="P55" s="16">
        <v>0</v>
      </c>
      <c r="Q55" s="16">
        <v>0</v>
      </c>
      <c r="R55" s="16">
        <v>0</v>
      </c>
      <c r="S55" s="16">
        <v>0</v>
      </c>
      <c r="T55" s="16">
        <v>2</v>
      </c>
      <c r="U55" s="16">
        <v>0</v>
      </c>
      <c r="V55" s="16">
        <v>0</v>
      </c>
      <c r="W55" s="16">
        <v>6</v>
      </c>
      <c r="X55" s="16">
        <v>0</v>
      </c>
      <c r="Y55" s="16">
        <v>0</v>
      </c>
      <c r="Z55" s="16">
        <v>0</v>
      </c>
      <c r="AA55" s="16">
        <v>0</v>
      </c>
      <c r="AB55" s="16">
        <v>1</v>
      </c>
      <c r="AC55" s="16">
        <v>0</v>
      </c>
      <c r="AD55" s="16">
        <v>8</v>
      </c>
      <c r="AE55" s="16">
        <v>0</v>
      </c>
      <c r="AF55" s="16">
        <v>0</v>
      </c>
      <c r="AG55" s="16">
        <v>0</v>
      </c>
      <c r="AH55" s="16">
        <v>0</v>
      </c>
      <c r="AI55" s="16">
        <v>3</v>
      </c>
      <c r="AJ55" s="16">
        <v>0</v>
      </c>
      <c r="AK55" s="16">
        <v>2</v>
      </c>
      <c r="AL55" s="16">
        <v>0</v>
      </c>
      <c r="AM55" s="98">
        <v>0</v>
      </c>
      <c r="AN55" s="16">
        <v>0</v>
      </c>
      <c r="AO55" s="16">
        <v>0</v>
      </c>
      <c r="AP55" s="16">
        <v>0</v>
      </c>
      <c r="AQ55" s="16">
        <v>0</v>
      </c>
      <c r="AR55" s="16">
        <v>0</v>
      </c>
      <c r="AS55" s="16">
        <v>0</v>
      </c>
      <c r="AT55" s="16">
        <v>0</v>
      </c>
      <c r="AU55" s="16">
        <v>0</v>
      </c>
      <c r="AV55" s="16">
        <v>0</v>
      </c>
      <c r="AW55" s="16">
        <v>7</v>
      </c>
      <c r="AX55" s="16">
        <v>0</v>
      </c>
      <c r="AY55" s="16">
        <v>0</v>
      </c>
      <c r="AZ55" s="16">
        <v>0</v>
      </c>
      <c r="BA55" s="16">
        <v>1</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row>
    <row r="56" spans="1:193" s="5" customFormat="1" ht="21.9" customHeight="1" x14ac:dyDescent="0.25">
      <c r="A56" s="125" t="s">
        <v>96</v>
      </c>
      <c r="B56" s="4"/>
      <c r="C56" s="47" t="s">
        <v>75</v>
      </c>
      <c r="D56" s="48"/>
      <c r="E56" s="16">
        <v>606</v>
      </c>
      <c r="F56" s="16">
        <v>0</v>
      </c>
      <c r="G56" s="16">
        <v>0</v>
      </c>
      <c r="H56" s="16">
        <v>0</v>
      </c>
      <c r="I56" s="16">
        <v>0</v>
      </c>
      <c r="J56" s="16">
        <v>0</v>
      </c>
      <c r="K56" s="16">
        <v>0</v>
      </c>
      <c r="L56" s="16">
        <v>0</v>
      </c>
      <c r="M56" s="16">
        <v>30</v>
      </c>
      <c r="N56" s="16">
        <v>2</v>
      </c>
      <c r="O56" s="16">
        <v>0</v>
      </c>
      <c r="P56" s="16">
        <v>25</v>
      </c>
      <c r="Q56" s="16">
        <v>5</v>
      </c>
      <c r="R56" s="16">
        <v>0</v>
      </c>
      <c r="S56" s="16">
        <v>58</v>
      </c>
      <c r="T56" s="16">
        <v>34</v>
      </c>
      <c r="U56" s="16">
        <v>0</v>
      </c>
      <c r="V56" s="16">
        <v>2</v>
      </c>
      <c r="W56" s="16">
        <v>48</v>
      </c>
      <c r="X56" s="16">
        <v>0</v>
      </c>
      <c r="Y56" s="16">
        <v>8</v>
      </c>
      <c r="Z56" s="16">
        <v>2</v>
      </c>
      <c r="AA56" s="16">
        <v>0</v>
      </c>
      <c r="AB56" s="16">
        <v>14</v>
      </c>
      <c r="AC56" s="16">
        <v>0</v>
      </c>
      <c r="AD56" s="16">
        <v>0</v>
      </c>
      <c r="AE56" s="16">
        <v>10</v>
      </c>
      <c r="AF56" s="16">
        <v>18</v>
      </c>
      <c r="AG56" s="16">
        <v>16</v>
      </c>
      <c r="AH56" s="16">
        <v>28</v>
      </c>
      <c r="AI56" s="16">
        <v>187</v>
      </c>
      <c r="AJ56" s="16">
        <v>2</v>
      </c>
      <c r="AK56" s="16">
        <v>24</v>
      </c>
      <c r="AL56" s="16">
        <v>0</v>
      </c>
      <c r="AM56" s="98">
        <v>8</v>
      </c>
      <c r="AN56" s="16">
        <v>0</v>
      </c>
      <c r="AO56" s="16">
        <v>0</v>
      </c>
      <c r="AP56" s="16">
        <v>0</v>
      </c>
      <c r="AQ56" s="16">
        <v>0</v>
      </c>
      <c r="AR56" s="16">
        <v>0</v>
      </c>
      <c r="AS56" s="16">
        <v>0</v>
      </c>
      <c r="AT56" s="16">
        <v>3</v>
      </c>
      <c r="AU56" s="16">
        <v>0</v>
      </c>
      <c r="AV56" s="16">
        <v>0</v>
      </c>
      <c r="AW56" s="16">
        <v>0</v>
      </c>
      <c r="AX56" s="16">
        <v>12</v>
      </c>
      <c r="AY56" s="16">
        <v>0</v>
      </c>
      <c r="AZ56" s="16">
        <v>16</v>
      </c>
      <c r="BA56" s="16">
        <v>15</v>
      </c>
      <c r="BB56" s="16">
        <v>0</v>
      </c>
      <c r="BC56" s="16">
        <v>4</v>
      </c>
      <c r="BD56" s="16">
        <v>0</v>
      </c>
      <c r="BE56" s="16">
        <v>0</v>
      </c>
      <c r="BF56" s="16">
        <v>0</v>
      </c>
      <c r="BG56" s="16">
        <v>0</v>
      </c>
      <c r="BH56" s="16">
        <v>4</v>
      </c>
      <c r="BI56" s="16">
        <v>3</v>
      </c>
      <c r="BJ56" s="16">
        <v>6</v>
      </c>
      <c r="BK56" s="16">
        <v>8</v>
      </c>
      <c r="BL56" s="16">
        <v>0</v>
      </c>
      <c r="BM56" s="16">
        <v>0</v>
      </c>
      <c r="BN56" s="16">
        <v>0</v>
      </c>
      <c r="BO56" s="16">
        <v>0</v>
      </c>
      <c r="BP56" s="16">
        <v>0</v>
      </c>
      <c r="BQ56" s="16">
        <v>14</v>
      </c>
    </row>
    <row r="57" spans="1:193" s="5" customFormat="1" ht="21.9" customHeight="1" x14ac:dyDescent="0.25">
      <c r="A57" s="134"/>
      <c r="B57" s="6"/>
      <c r="C57" s="49" t="s">
        <v>76</v>
      </c>
      <c r="D57" s="50"/>
      <c r="E57" s="55">
        <v>9</v>
      </c>
      <c r="F57" s="57">
        <v>0</v>
      </c>
      <c r="G57" s="57">
        <v>0</v>
      </c>
      <c r="H57" s="57">
        <v>0</v>
      </c>
      <c r="I57" s="57">
        <v>0</v>
      </c>
      <c r="J57" s="57">
        <v>0</v>
      </c>
      <c r="K57" s="57">
        <v>0</v>
      </c>
      <c r="L57" s="57">
        <v>0</v>
      </c>
      <c r="M57" s="57">
        <v>0</v>
      </c>
      <c r="N57" s="57">
        <v>0</v>
      </c>
      <c r="O57" s="57">
        <v>0</v>
      </c>
      <c r="P57" s="57">
        <v>0</v>
      </c>
      <c r="Q57" s="57">
        <v>0</v>
      </c>
      <c r="R57" s="57">
        <v>0</v>
      </c>
      <c r="S57" s="57">
        <v>0</v>
      </c>
      <c r="T57" s="57">
        <v>1</v>
      </c>
      <c r="U57" s="57">
        <v>0</v>
      </c>
      <c r="V57" s="57">
        <v>0</v>
      </c>
      <c r="W57" s="57">
        <v>2</v>
      </c>
      <c r="X57" s="57">
        <v>0</v>
      </c>
      <c r="Y57" s="57">
        <v>0</v>
      </c>
      <c r="Z57" s="57">
        <v>0</v>
      </c>
      <c r="AA57" s="57">
        <v>0</v>
      </c>
      <c r="AB57" s="57">
        <v>0</v>
      </c>
      <c r="AC57" s="57">
        <v>0</v>
      </c>
      <c r="AD57" s="57">
        <v>0</v>
      </c>
      <c r="AE57" s="57">
        <v>0</v>
      </c>
      <c r="AF57" s="57">
        <v>0</v>
      </c>
      <c r="AG57" s="57">
        <v>0</v>
      </c>
      <c r="AH57" s="57">
        <v>1</v>
      </c>
      <c r="AI57" s="57">
        <v>5</v>
      </c>
      <c r="AJ57" s="57">
        <v>0</v>
      </c>
      <c r="AK57" s="57">
        <v>0</v>
      </c>
      <c r="AL57" s="57">
        <v>0</v>
      </c>
      <c r="AM57" s="55">
        <v>0</v>
      </c>
      <c r="AN57" s="57">
        <v>0</v>
      </c>
      <c r="AO57" s="57">
        <v>0</v>
      </c>
      <c r="AP57" s="57">
        <v>0</v>
      </c>
      <c r="AQ57" s="57">
        <v>0</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0</v>
      </c>
      <c r="BO57" s="57">
        <v>0</v>
      </c>
      <c r="BP57" s="57">
        <v>0</v>
      </c>
      <c r="BQ57" s="57">
        <v>0</v>
      </c>
    </row>
    <row r="58" spans="1:193" s="58" customFormat="1" ht="21.9" customHeight="1" x14ac:dyDescent="0.3">
      <c r="AB58" s="59"/>
      <c r="AD58" s="60"/>
      <c r="AH58" s="61"/>
      <c r="AJ58" s="62"/>
      <c r="AK58" s="62"/>
      <c r="AL58" s="62"/>
      <c r="AM58" s="63" t="s">
        <v>191</v>
      </c>
      <c r="AN58" s="63"/>
      <c r="AO58" s="63"/>
      <c r="AP58" s="64"/>
      <c r="AQ58" s="64"/>
      <c r="AR58" s="63" t="s">
        <v>178</v>
      </c>
      <c r="AS58" s="63"/>
      <c r="AT58" s="5"/>
      <c r="AU58" s="63"/>
      <c r="AV58" s="5"/>
      <c r="AX58" s="63"/>
      <c r="AY58" s="5" t="s">
        <v>179</v>
      </c>
      <c r="AZ58" s="64"/>
      <c r="BA58" s="64"/>
      <c r="BB58" s="5"/>
      <c r="BD58" s="63"/>
      <c r="BE58" s="5"/>
      <c r="BF58" s="65"/>
      <c r="BG58" s="64"/>
      <c r="BH58" s="5" t="s">
        <v>180</v>
      </c>
      <c r="BJ58" s="76"/>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row>
    <row r="59" spans="1:193" s="58" customFormat="1" ht="21.9" customHeight="1" x14ac:dyDescent="0.3">
      <c r="AH59" s="61"/>
      <c r="AJ59" s="62"/>
      <c r="AK59" s="62"/>
      <c r="AL59" s="62"/>
      <c r="AM59" s="63"/>
      <c r="AN59" s="63"/>
      <c r="AO59" s="63"/>
      <c r="AP59" s="64"/>
      <c r="AQ59" s="64"/>
      <c r="AR59" s="64"/>
      <c r="AS59" s="65"/>
      <c r="AT59" s="63"/>
      <c r="AU59" s="63"/>
      <c r="AV59" s="63"/>
      <c r="AX59" s="63"/>
      <c r="AY59" s="65" t="s">
        <v>181</v>
      </c>
      <c r="AZ59" s="63"/>
      <c r="BA59" s="63"/>
      <c r="BB59" s="5"/>
      <c r="BC59" s="63"/>
      <c r="BD59" s="63"/>
      <c r="BE59" s="5"/>
      <c r="BF59" s="65"/>
      <c r="BG59" s="63"/>
      <c r="BH59" s="5"/>
      <c r="BI59" s="59"/>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row>
    <row r="60" spans="1:193" s="58" customFormat="1" ht="21.9" customHeight="1" x14ac:dyDescent="0.3">
      <c r="AH60" s="61"/>
      <c r="AJ60" s="62"/>
      <c r="AK60" s="62"/>
      <c r="AL60" s="62"/>
      <c r="AM60" s="76" t="s">
        <v>192</v>
      </c>
      <c r="AN60" s="5"/>
      <c r="AP60" s="76"/>
      <c r="AQ60" s="76"/>
      <c r="AR60" s="77"/>
      <c r="AS60" s="76"/>
      <c r="AT60" s="104"/>
      <c r="AU60" s="76"/>
      <c r="AV60" s="76"/>
      <c r="AW60" s="76"/>
      <c r="AX60" s="76"/>
      <c r="AY60" s="76"/>
      <c r="AZ60" s="77"/>
      <c r="BA60" s="76"/>
      <c r="BB60" s="76"/>
      <c r="BC60" s="76"/>
      <c r="BD60" s="76"/>
      <c r="BE60" s="59"/>
      <c r="BF60" s="59"/>
      <c r="BG60" s="59"/>
      <c r="BH60" s="75"/>
      <c r="BI60" s="59"/>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c r="GK60" s="62"/>
    </row>
    <row r="61" spans="1:193" s="58" customFormat="1" ht="21.9" customHeight="1" x14ac:dyDescent="0.3">
      <c r="AA61" s="73"/>
      <c r="AB61" s="74"/>
      <c r="AC61" s="73"/>
      <c r="AD61" s="75"/>
      <c r="AE61" s="75"/>
      <c r="AF61" s="75"/>
      <c r="AG61" s="75"/>
      <c r="AJ61" s="62"/>
      <c r="AK61" s="62"/>
      <c r="AL61" s="62"/>
      <c r="AM61" s="5" t="s">
        <v>195</v>
      </c>
      <c r="AN61" s="5"/>
      <c r="AP61" s="76"/>
      <c r="AQ61" s="76"/>
      <c r="AR61" s="77"/>
      <c r="AS61" s="76"/>
      <c r="AT61" s="104"/>
      <c r="AU61" s="76"/>
      <c r="AV61" s="76"/>
      <c r="AW61" s="76"/>
      <c r="AX61" s="76"/>
      <c r="AY61" s="76"/>
      <c r="AZ61" s="77"/>
      <c r="BA61" s="76"/>
      <c r="BB61" s="76"/>
      <c r="BC61" s="76"/>
      <c r="BD61" s="76"/>
      <c r="BE61" s="59"/>
      <c r="BF61" s="59"/>
      <c r="BG61" s="59"/>
      <c r="BH61" s="75"/>
      <c r="BI61" s="78"/>
      <c r="BJ61" s="78"/>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row>
    <row r="62" spans="1:193" s="58" customFormat="1" ht="21.9" customHeight="1" x14ac:dyDescent="0.3">
      <c r="AA62" s="73"/>
      <c r="AB62" s="74"/>
      <c r="AC62" s="73"/>
      <c r="AD62" s="75"/>
      <c r="AE62" s="75"/>
      <c r="AF62" s="75"/>
      <c r="AG62" s="75"/>
      <c r="AJ62" s="62"/>
      <c r="AK62" s="62"/>
      <c r="AL62" s="62"/>
      <c r="AM62" s="76" t="s">
        <v>193</v>
      </c>
      <c r="AN62" s="76"/>
      <c r="AO62" s="76"/>
      <c r="AP62" s="77"/>
      <c r="AQ62" s="76"/>
      <c r="AR62" s="104"/>
      <c r="AS62" s="104"/>
      <c r="AT62" s="104"/>
      <c r="AU62" s="76"/>
      <c r="AV62" s="76"/>
      <c r="AW62" s="76"/>
      <c r="AX62" s="76"/>
      <c r="AY62" s="76"/>
      <c r="AZ62" s="77"/>
      <c r="BA62" s="76"/>
      <c r="BB62" s="76"/>
      <c r="BC62" s="76"/>
      <c r="BD62" s="76"/>
      <c r="BE62" s="59"/>
      <c r="BF62" s="59"/>
      <c r="BG62" s="59"/>
      <c r="BH62" s="75"/>
      <c r="BI62" s="78"/>
      <c r="BJ62" s="78"/>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row>
    <row r="63" spans="1:193" s="5" customFormat="1" ht="21.9" customHeight="1" x14ac:dyDescent="0.25"/>
    <row r="64" spans="1:193" s="5" customFormat="1" ht="21.9" customHeight="1" x14ac:dyDescent="0.25"/>
    <row r="65" s="5" customFormat="1" ht="21.9" customHeight="1" x14ac:dyDescent="0.25"/>
  </sheetData>
  <mergeCells count="121">
    <mergeCell ref="AI6:AL6"/>
    <mergeCell ref="AM6:AP6"/>
    <mergeCell ref="AM4:BQ4"/>
    <mergeCell ref="AM3:BQ3"/>
    <mergeCell ref="AH1:AI1"/>
    <mergeCell ref="AJ1:AL1"/>
    <mergeCell ref="AM1:AN1"/>
    <mergeCell ref="BM1:BN1"/>
    <mergeCell ref="BO1:BQ1"/>
    <mergeCell ref="AH2:AI2"/>
    <mergeCell ref="A4:AL4"/>
    <mergeCell ref="A3:AL3"/>
    <mergeCell ref="AJ2:AL2"/>
    <mergeCell ref="AM2:AN2"/>
    <mergeCell ref="BO6:BQ6"/>
    <mergeCell ref="BF6:BH6"/>
    <mergeCell ref="BI6:BI11"/>
    <mergeCell ref="BJ6:BJ11"/>
    <mergeCell ref="BK6:BN6"/>
    <mergeCell ref="BC7:BC11"/>
    <mergeCell ref="BD7:BD11"/>
    <mergeCell ref="BF7:BF11"/>
    <mergeCell ref="BG7:BG11"/>
    <mergeCell ref="BN7:BN11"/>
    <mergeCell ref="A56:A57"/>
    <mergeCell ref="A44:A45"/>
    <mergeCell ref="A46:A47"/>
    <mergeCell ref="A48:A49"/>
    <mergeCell ref="A50:A51"/>
    <mergeCell ref="A52:A53"/>
    <mergeCell ref="A54:A55"/>
    <mergeCell ref="A32:A33"/>
    <mergeCell ref="A34:A35"/>
    <mergeCell ref="A36:A37"/>
    <mergeCell ref="A38:A39"/>
    <mergeCell ref="A40:A41"/>
    <mergeCell ref="A42:A43"/>
    <mergeCell ref="A22:A23"/>
    <mergeCell ref="A24:A25"/>
    <mergeCell ref="A26:A27"/>
    <mergeCell ref="A18:A19"/>
    <mergeCell ref="A28:A29"/>
    <mergeCell ref="A30:A31"/>
    <mergeCell ref="BP7:BP11"/>
    <mergeCell ref="BQ7:BQ11"/>
    <mergeCell ref="A12:A13"/>
    <mergeCell ref="A14:A15"/>
    <mergeCell ref="A16:A17"/>
    <mergeCell ref="A20:A21"/>
    <mergeCell ref="BH7:BH11"/>
    <mergeCell ref="BK7:BK11"/>
    <mergeCell ref="BL7:BL11"/>
    <mergeCell ref="BM7:BM11"/>
    <mergeCell ref="BO7:BO11"/>
    <mergeCell ref="AW7:AW11"/>
    <mergeCell ref="AX7:AX11"/>
    <mergeCell ref="AY7:AY11"/>
    <mergeCell ref="AZ7:AZ11"/>
    <mergeCell ref="BA7:BA11"/>
    <mergeCell ref="BB7:BB11"/>
    <mergeCell ref="AO7:AO11"/>
    <mergeCell ref="AP7:AP11"/>
    <mergeCell ref="AQ7:AQ11"/>
    <mergeCell ref="AR7:AR11"/>
    <mergeCell ref="AS7:AS11"/>
    <mergeCell ref="AT7:AT11"/>
    <mergeCell ref="AI7:AI11"/>
    <mergeCell ref="AJ7:AJ11"/>
    <mergeCell ref="AK7:AK11"/>
    <mergeCell ref="AL7:AL11"/>
    <mergeCell ref="AM7:AM11"/>
    <mergeCell ref="AN7:AN11"/>
    <mergeCell ref="AC7:AC11"/>
    <mergeCell ref="AD7:AD11"/>
    <mergeCell ref="AE7:AE11"/>
    <mergeCell ref="AF7:AF11"/>
    <mergeCell ref="AG7:AG11"/>
    <mergeCell ref="AH7:AH11"/>
    <mergeCell ref="W7:W11"/>
    <mergeCell ref="X7:X11"/>
    <mergeCell ref="Y7:Y11"/>
    <mergeCell ref="Z7:Z11"/>
    <mergeCell ref="AA7:AA11"/>
    <mergeCell ref="AB7:AB11"/>
    <mergeCell ref="S7:S11"/>
    <mergeCell ref="T7:T11"/>
    <mergeCell ref="U7:U11"/>
    <mergeCell ref="V7:V11"/>
    <mergeCell ref="F7:F11"/>
    <mergeCell ref="G7:G11"/>
    <mergeCell ref="H7:H11"/>
    <mergeCell ref="I7:I11"/>
    <mergeCell ref="J7:J11"/>
    <mergeCell ref="K7:K11"/>
    <mergeCell ref="L7:L11"/>
    <mergeCell ref="M7:M11"/>
    <mergeCell ref="N7:N11"/>
    <mergeCell ref="A1:B1"/>
    <mergeCell ref="A2:B2"/>
    <mergeCell ref="BM2:BN2"/>
    <mergeCell ref="BO2:BQ2"/>
    <mergeCell ref="A6:D11"/>
    <mergeCell ref="E6:E11"/>
    <mergeCell ref="F6:L6"/>
    <mergeCell ref="M6:O6"/>
    <mergeCell ref="P6:R6"/>
    <mergeCell ref="S6:U6"/>
    <mergeCell ref="AT6:AU6"/>
    <mergeCell ref="AV6:AX6"/>
    <mergeCell ref="AY6:AZ6"/>
    <mergeCell ref="BA6:BB6"/>
    <mergeCell ref="BC6:BD6"/>
    <mergeCell ref="BE6:BE11"/>
    <mergeCell ref="AU7:AU11"/>
    <mergeCell ref="AV7:AV11"/>
    <mergeCell ref="O7:O11"/>
    <mergeCell ref="P7:P11"/>
    <mergeCell ref="Q7:Q11"/>
    <mergeCell ref="R7:R11"/>
    <mergeCell ref="V6:AH6"/>
    <mergeCell ref="AQ6:AS6"/>
  </mergeCells>
  <phoneticPr fontId="5"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K65"/>
  <sheetViews>
    <sheetView zoomScale="80" zoomScaleNormal="80" workbookViewId="0">
      <selection activeCell="F6" sqref="F6:L6"/>
    </sheetView>
  </sheetViews>
  <sheetFormatPr defaultColWidth="15" defaultRowHeight="10.199999999999999" x14ac:dyDescent="0.25"/>
  <cols>
    <col min="1" max="1" width="19.83203125" style="17" customWidth="1"/>
    <col min="2" max="2" width="2.6640625" style="17" customWidth="1"/>
    <col min="3" max="3" width="23" style="17" customWidth="1"/>
    <col min="4" max="4" width="4.6640625" style="17" customWidth="1"/>
    <col min="5" max="69" width="16" style="17" customWidth="1"/>
    <col min="70" max="16384" width="15" style="17"/>
  </cols>
  <sheetData>
    <row r="1" spans="1:74"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D1" s="5"/>
      <c r="AE1" s="5"/>
      <c r="AG1" s="70"/>
      <c r="AH1" s="183" t="s">
        <v>45</v>
      </c>
      <c r="AI1" s="171"/>
      <c r="AJ1" s="172" t="s">
        <v>46</v>
      </c>
      <c r="AK1" s="173"/>
      <c r="AL1" s="174"/>
      <c r="AM1" s="161" t="s">
        <v>44</v>
      </c>
      <c r="AN1" s="162"/>
      <c r="AO1" s="35"/>
      <c r="AP1" s="5"/>
      <c r="AQ1" s="5"/>
      <c r="AR1" s="5"/>
      <c r="AS1" s="5"/>
      <c r="AT1" s="5"/>
      <c r="AU1" s="5"/>
      <c r="AV1" s="5"/>
      <c r="AW1" s="5"/>
      <c r="AX1" s="5"/>
      <c r="AY1" s="5"/>
      <c r="AZ1" s="5"/>
      <c r="BA1" s="5"/>
      <c r="BB1" s="5"/>
      <c r="BC1" s="5"/>
      <c r="BD1" s="5"/>
      <c r="BE1" s="5"/>
      <c r="BF1" s="5"/>
      <c r="BG1" s="5"/>
      <c r="BH1" s="5"/>
      <c r="BI1" s="5"/>
      <c r="BJ1" s="38"/>
      <c r="BL1" s="69"/>
      <c r="BM1" s="170" t="s">
        <v>45</v>
      </c>
      <c r="BN1" s="171"/>
      <c r="BO1" s="172" t="s">
        <v>46</v>
      </c>
      <c r="BP1" s="173"/>
      <c r="BQ1" s="174"/>
      <c r="BR1" s="38"/>
      <c r="BS1" s="38"/>
    </row>
    <row r="2" spans="1:74"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33"/>
      <c r="AE2" s="33"/>
      <c r="AF2" s="41"/>
      <c r="AG2" s="71"/>
      <c r="AH2" s="184" t="s">
        <v>187</v>
      </c>
      <c r="AI2" s="166"/>
      <c r="AJ2" s="167" t="s">
        <v>10</v>
      </c>
      <c r="AK2" s="168"/>
      <c r="AL2" s="169"/>
      <c r="AM2" s="163" t="s">
        <v>279</v>
      </c>
      <c r="AN2" s="164"/>
      <c r="AO2" s="7" t="s">
        <v>290</v>
      </c>
      <c r="AP2" s="33"/>
      <c r="AQ2" s="33"/>
      <c r="AR2" s="33"/>
      <c r="AS2" s="33"/>
      <c r="AT2" s="33"/>
      <c r="AU2" s="33"/>
      <c r="AV2" s="33"/>
      <c r="AW2" s="33"/>
      <c r="AX2" s="33"/>
      <c r="AY2" s="33"/>
      <c r="AZ2" s="33"/>
      <c r="BA2" s="33"/>
      <c r="BB2" s="33"/>
      <c r="BC2" s="33"/>
      <c r="BD2" s="33"/>
      <c r="BE2" s="33"/>
      <c r="BF2" s="33"/>
      <c r="BG2" s="33"/>
      <c r="BH2" s="33"/>
      <c r="BI2" s="33"/>
      <c r="BJ2" s="42"/>
      <c r="BK2" s="41"/>
      <c r="BL2" s="72"/>
      <c r="BM2" s="165" t="s">
        <v>187</v>
      </c>
      <c r="BN2" s="166"/>
      <c r="BO2" s="167" t="s">
        <v>10</v>
      </c>
      <c r="BP2" s="168"/>
      <c r="BQ2" s="169"/>
      <c r="BR2" s="43"/>
      <c r="BS2" s="43"/>
    </row>
    <row r="3" spans="1:74" s="53" customFormat="1" ht="30" customHeight="1" x14ac:dyDescent="0.25">
      <c r="A3" s="159" t="s">
        <v>384</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85" t="s">
        <v>387</v>
      </c>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96"/>
      <c r="BS3" s="96"/>
      <c r="BT3" s="96"/>
      <c r="BU3" s="96"/>
      <c r="BV3" s="96"/>
    </row>
    <row r="4" spans="1:74" s="37" customFormat="1" ht="26.1" customHeight="1" x14ac:dyDescent="0.25">
      <c r="A4" s="160" t="s">
        <v>325</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86" t="s">
        <v>324</v>
      </c>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row>
    <row r="5" spans="1:74" s="37" customFormat="1" ht="20.100000000000001" customHeight="1" x14ac:dyDescent="0.25">
      <c r="A5" s="40"/>
      <c r="B5" s="41"/>
      <c r="C5" s="41"/>
      <c r="D5" s="67"/>
      <c r="E5" s="67"/>
      <c r="F5" s="67"/>
      <c r="G5" s="67"/>
      <c r="H5" s="67"/>
      <c r="I5" s="67"/>
      <c r="J5" s="41"/>
      <c r="K5" s="41"/>
      <c r="L5" s="41"/>
      <c r="M5" s="67"/>
      <c r="N5" s="67"/>
      <c r="O5" s="67"/>
      <c r="P5" s="41"/>
      <c r="Q5" s="67"/>
      <c r="R5" s="41"/>
      <c r="S5" s="67"/>
      <c r="T5" s="44"/>
      <c r="U5" s="67"/>
      <c r="V5" s="33"/>
      <c r="W5" s="33"/>
      <c r="X5" s="33"/>
      <c r="Y5" s="68"/>
      <c r="Z5" s="5"/>
      <c r="AA5" s="33"/>
      <c r="AB5" s="33"/>
      <c r="AC5" s="33"/>
      <c r="AD5" s="33"/>
      <c r="AE5" s="33"/>
      <c r="AF5" s="33"/>
      <c r="AG5" s="33"/>
      <c r="AI5" s="33"/>
      <c r="AJ5" s="33"/>
      <c r="AL5" s="45" t="s">
        <v>48</v>
      </c>
      <c r="AM5" s="97"/>
      <c r="AN5" s="33"/>
      <c r="AO5" s="33"/>
      <c r="AP5" s="33"/>
      <c r="AQ5" s="33"/>
      <c r="AR5" s="33"/>
      <c r="AS5" s="33"/>
      <c r="AT5" s="33"/>
      <c r="AU5" s="33"/>
      <c r="AV5" s="33"/>
      <c r="AW5" s="33"/>
      <c r="AX5" s="33"/>
      <c r="AY5" s="44"/>
      <c r="AZ5" s="45"/>
      <c r="BA5" s="45"/>
      <c r="BB5" s="45"/>
      <c r="BC5" s="45"/>
      <c r="BD5" s="33"/>
      <c r="BE5" s="33"/>
      <c r="BF5" s="33"/>
      <c r="BG5" s="33"/>
      <c r="BH5" s="33"/>
      <c r="BI5" s="33"/>
      <c r="BJ5" s="33"/>
      <c r="BK5" s="33"/>
      <c r="BL5" s="33"/>
      <c r="BM5" s="33"/>
      <c r="BN5" s="33"/>
      <c r="BO5" s="33"/>
      <c r="BP5" s="33"/>
      <c r="BQ5" s="46" t="s">
        <v>49</v>
      </c>
    </row>
    <row r="6" spans="1:74" s="5" customFormat="1" ht="27.9" customHeight="1" x14ac:dyDescent="0.25">
      <c r="A6" s="125" t="s">
        <v>144</v>
      </c>
      <c r="B6" s="125"/>
      <c r="C6" s="125"/>
      <c r="D6" s="125"/>
      <c r="E6" s="136" t="s">
        <v>50</v>
      </c>
      <c r="F6" s="187" t="s">
        <v>51</v>
      </c>
      <c r="G6" s="188"/>
      <c r="H6" s="188"/>
      <c r="I6" s="188"/>
      <c r="J6" s="188"/>
      <c r="K6" s="188"/>
      <c r="L6" s="189"/>
      <c r="M6" s="190" t="s">
        <v>52</v>
      </c>
      <c r="N6" s="191"/>
      <c r="O6" s="192"/>
      <c r="P6" s="193" t="s">
        <v>53</v>
      </c>
      <c r="Q6" s="194"/>
      <c r="R6" s="195"/>
      <c r="S6" s="193" t="s">
        <v>54</v>
      </c>
      <c r="T6" s="194"/>
      <c r="U6" s="195"/>
      <c r="V6" s="187" t="s">
        <v>55</v>
      </c>
      <c r="W6" s="188"/>
      <c r="X6" s="188"/>
      <c r="Y6" s="188"/>
      <c r="Z6" s="188"/>
      <c r="AA6" s="188"/>
      <c r="AB6" s="188"/>
      <c r="AC6" s="188"/>
      <c r="AD6" s="188"/>
      <c r="AE6" s="188"/>
      <c r="AF6" s="188"/>
      <c r="AG6" s="188"/>
      <c r="AH6" s="189"/>
      <c r="AI6" s="198" t="s">
        <v>229</v>
      </c>
      <c r="AJ6" s="199"/>
      <c r="AK6" s="199"/>
      <c r="AL6" s="199"/>
      <c r="AM6" s="198" t="s">
        <v>323</v>
      </c>
      <c r="AN6" s="199"/>
      <c r="AO6" s="199"/>
      <c r="AP6" s="200"/>
      <c r="AQ6" s="187" t="s">
        <v>56</v>
      </c>
      <c r="AR6" s="188"/>
      <c r="AS6" s="189"/>
      <c r="AT6" s="187" t="s">
        <v>57</v>
      </c>
      <c r="AU6" s="189"/>
      <c r="AV6" s="187" t="s">
        <v>58</v>
      </c>
      <c r="AW6" s="188"/>
      <c r="AX6" s="189"/>
      <c r="AY6" s="187" t="s">
        <v>59</v>
      </c>
      <c r="AZ6" s="189"/>
      <c r="BA6" s="196" t="s">
        <v>60</v>
      </c>
      <c r="BB6" s="197"/>
      <c r="BC6" s="196" t="s">
        <v>61</v>
      </c>
      <c r="BD6" s="197"/>
      <c r="BE6" s="180" t="s">
        <v>62</v>
      </c>
      <c r="BF6" s="196" t="s">
        <v>63</v>
      </c>
      <c r="BG6" s="201"/>
      <c r="BH6" s="197"/>
      <c r="BI6" s="176" t="s">
        <v>36</v>
      </c>
      <c r="BJ6" s="180" t="s">
        <v>64</v>
      </c>
      <c r="BK6" s="187" t="s">
        <v>97</v>
      </c>
      <c r="BL6" s="188"/>
      <c r="BM6" s="188"/>
      <c r="BN6" s="189"/>
      <c r="BO6" s="187" t="s">
        <v>65</v>
      </c>
      <c r="BP6" s="188"/>
      <c r="BQ6" s="188"/>
    </row>
    <row r="7" spans="1:74" s="5" customFormat="1" ht="30" customHeight="1" x14ac:dyDescent="0.25">
      <c r="A7" s="125"/>
      <c r="B7" s="125"/>
      <c r="C7" s="125"/>
      <c r="D7" s="125"/>
      <c r="E7" s="136"/>
      <c r="F7" s="139" t="s">
        <v>221</v>
      </c>
      <c r="G7" s="139" t="s">
        <v>291</v>
      </c>
      <c r="H7" s="139" t="s">
        <v>219</v>
      </c>
      <c r="I7" s="139" t="s">
        <v>292</v>
      </c>
      <c r="J7" s="139" t="s">
        <v>66</v>
      </c>
      <c r="K7" s="139" t="s">
        <v>200</v>
      </c>
      <c r="L7" s="139" t="s">
        <v>220</v>
      </c>
      <c r="M7" s="139" t="s">
        <v>67</v>
      </c>
      <c r="N7" s="130" t="s">
        <v>333</v>
      </c>
      <c r="O7" s="139" t="s">
        <v>68</v>
      </c>
      <c r="P7" s="139" t="s">
        <v>293</v>
      </c>
      <c r="Q7" s="139" t="s">
        <v>70</v>
      </c>
      <c r="R7" s="139" t="s">
        <v>71</v>
      </c>
      <c r="S7" s="139" t="s">
        <v>294</v>
      </c>
      <c r="T7" s="130" t="s">
        <v>321</v>
      </c>
      <c r="U7" s="130" t="s">
        <v>322</v>
      </c>
      <c r="V7" s="139" t="s">
        <v>295</v>
      </c>
      <c r="W7" s="139" t="s">
        <v>296</v>
      </c>
      <c r="X7" s="139" t="s">
        <v>182</v>
      </c>
      <c r="Y7" s="139" t="s">
        <v>118</v>
      </c>
      <c r="Z7" s="139" t="s">
        <v>107</v>
      </c>
      <c r="AA7" s="139" t="s">
        <v>98</v>
      </c>
      <c r="AB7" s="139" t="s">
        <v>108</v>
      </c>
      <c r="AC7" s="130" t="s">
        <v>319</v>
      </c>
      <c r="AD7" s="139" t="s">
        <v>99</v>
      </c>
      <c r="AE7" s="139" t="s">
        <v>114</v>
      </c>
      <c r="AF7" s="139" t="s">
        <v>297</v>
      </c>
      <c r="AG7" s="139" t="s">
        <v>298</v>
      </c>
      <c r="AH7" s="139" t="s">
        <v>299</v>
      </c>
      <c r="AI7" s="139" t="s">
        <v>300</v>
      </c>
      <c r="AJ7" s="139" t="s">
        <v>301</v>
      </c>
      <c r="AK7" s="139" t="s">
        <v>302</v>
      </c>
      <c r="AL7" s="179" t="s">
        <v>303</v>
      </c>
      <c r="AM7" s="139" t="s">
        <v>304</v>
      </c>
      <c r="AN7" s="139" t="s">
        <v>305</v>
      </c>
      <c r="AO7" s="139" t="s">
        <v>306</v>
      </c>
      <c r="AP7" s="139" t="s">
        <v>307</v>
      </c>
      <c r="AQ7" s="130" t="s">
        <v>274</v>
      </c>
      <c r="AR7" s="157" t="s">
        <v>233</v>
      </c>
      <c r="AS7" s="139" t="s">
        <v>183</v>
      </c>
      <c r="AT7" s="139" t="s">
        <v>308</v>
      </c>
      <c r="AU7" s="139" t="s">
        <v>309</v>
      </c>
      <c r="AV7" s="130" t="s">
        <v>318</v>
      </c>
      <c r="AW7" s="139" t="s">
        <v>310</v>
      </c>
      <c r="AX7" s="139" t="s">
        <v>311</v>
      </c>
      <c r="AY7" s="139" t="s">
        <v>312</v>
      </c>
      <c r="AZ7" s="139" t="s">
        <v>313</v>
      </c>
      <c r="BA7" s="139" t="s">
        <v>314</v>
      </c>
      <c r="BB7" s="139" t="s">
        <v>315</v>
      </c>
      <c r="BC7" s="139" t="s">
        <v>316</v>
      </c>
      <c r="BD7" s="139" t="s">
        <v>317</v>
      </c>
      <c r="BE7" s="177"/>
      <c r="BF7" s="139" t="s">
        <v>116</v>
      </c>
      <c r="BG7" s="139" t="s">
        <v>73</v>
      </c>
      <c r="BH7" s="139" t="s">
        <v>138</v>
      </c>
      <c r="BI7" s="177"/>
      <c r="BJ7" s="177"/>
      <c r="BK7" s="139" t="s">
        <v>119</v>
      </c>
      <c r="BL7" s="139" t="s">
        <v>74</v>
      </c>
      <c r="BM7" s="132" t="s">
        <v>272</v>
      </c>
      <c r="BN7" s="139" t="s">
        <v>126</v>
      </c>
      <c r="BO7" s="139" t="s">
        <v>112</v>
      </c>
      <c r="BP7" s="139" t="s">
        <v>117</v>
      </c>
      <c r="BQ7" s="179" t="s">
        <v>65</v>
      </c>
    </row>
    <row r="8" spans="1:74"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79"/>
      <c r="AM8" s="139"/>
      <c r="AN8" s="139"/>
      <c r="AO8" s="139"/>
      <c r="AP8" s="139"/>
      <c r="AQ8" s="139"/>
      <c r="AR8" s="158"/>
      <c r="AS8" s="139"/>
      <c r="AT8" s="139"/>
      <c r="AU8" s="139"/>
      <c r="AV8" s="139"/>
      <c r="AW8" s="139"/>
      <c r="AX8" s="139"/>
      <c r="AY8" s="139"/>
      <c r="AZ8" s="139"/>
      <c r="BA8" s="139"/>
      <c r="BB8" s="139"/>
      <c r="BC8" s="139"/>
      <c r="BD8" s="139"/>
      <c r="BE8" s="177"/>
      <c r="BF8" s="139"/>
      <c r="BG8" s="139"/>
      <c r="BH8" s="139"/>
      <c r="BI8" s="177"/>
      <c r="BJ8" s="177"/>
      <c r="BK8" s="139"/>
      <c r="BL8" s="139"/>
      <c r="BM8" s="139"/>
      <c r="BN8" s="139"/>
      <c r="BO8" s="139"/>
      <c r="BP8" s="139"/>
      <c r="BQ8" s="179"/>
    </row>
    <row r="9" spans="1:74"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79"/>
      <c r="AM9" s="139"/>
      <c r="AN9" s="139"/>
      <c r="AO9" s="139"/>
      <c r="AP9" s="139"/>
      <c r="AQ9" s="139"/>
      <c r="AR9" s="158"/>
      <c r="AS9" s="139"/>
      <c r="AT9" s="139"/>
      <c r="AU9" s="139"/>
      <c r="AV9" s="139"/>
      <c r="AW9" s="139"/>
      <c r="AX9" s="139"/>
      <c r="AY9" s="139"/>
      <c r="AZ9" s="139"/>
      <c r="BA9" s="139"/>
      <c r="BB9" s="139"/>
      <c r="BC9" s="139"/>
      <c r="BD9" s="139"/>
      <c r="BE9" s="177"/>
      <c r="BF9" s="139"/>
      <c r="BG9" s="139"/>
      <c r="BH9" s="139"/>
      <c r="BI9" s="177"/>
      <c r="BJ9" s="177"/>
      <c r="BK9" s="139"/>
      <c r="BL9" s="139"/>
      <c r="BM9" s="139"/>
      <c r="BN9" s="139"/>
      <c r="BO9" s="139"/>
      <c r="BP9" s="139"/>
      <c r="BQ9" s="179"/>
    </row>
    <row r="10" spans="1:74"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79"/>
      <c r="AM10" s="139"/>
      <c r="AN10" s="139"/>
      <c r="AO10" s="139"/>
      <c r="AP10" s="139"/>
      <c r="AQ10" s="139"/>
      <c r="AR10" s="158"/>
      <c r="AS10" s="139"/>
      <c r="AT10" s="139"/>
      <c r="AU10" s="139"/>
      <c r="AV10" s="139"/>
      <c r="AW10" s="139"/>
      <c r="AX10" s="139"/>
      <c r="AY10" s="139"/>
      <c r="AZ10" s="139"/>
      <c r="BA10" s="139"/>
      <c r="BB10" s="139"/>
      <c r="BC10" s="139"/>
      <c r="BD10" s="139"/>
      <c r="BE10" s="177"/>
      <c r="BF10" s="139"/>
      <c r="BG10" s="139"/>
      <c r="BH10" s="139"/>
      <c r="BI10" s="177"/>
      <c r="BJ10" s="177"/>
      <c r="BK10" s="139"/>
      <c r="BL10" s="139"/>
      <c r="BM10" s="139"/>
      <c r="BN10" s="139"/>
      <c r="BO10" s="139"/>
      <c r="BP10" s="139"/>
      <c r="BQ10" s="179"/>
    </row>
    <row r="11" spans="1:74"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79"/>
      <c r="AM11" s="139"/>
      <c r="AN11" s="139"/>
      <c r="AO11" s="139"/>
      <c r="AP11" s="139"/>
      <c r="AQ11" s="139"/>
      <c r="AR11" s="158"/>
      <c r="AS11" s="139"/>
      <c r="AT11" s="139"/>
      <c r="AU11" s="139"/>
      <c r="AV11" s="139"/>
      <c r="AW11" s="139"/>
      <c r="AX11" s="139"/>
      <c r="AY11" s="139"/>
      <c r="AZ11" s="139"/>
      <c r="BA11" s="139"/>
      <c r="BB11" s="139"/>
      <c r="BC11" s="139"/>
      <c r="BD11" s="139"/>
      <c r="BE11" s="178"/>
      <c r="BF11" s="139"/>
      <c r="BG11" s="139"/>
      <c r="BH11" s="139"/>
      <c r="BI11" s="178"/>
      <c r="BJ11" s="178"/>
      <c r="BK11" s="139"/>
      <c r="BL11" s="139"/>
      <c r="BM11" s="139"/>
      <c r="BN11" s="139"/>
      <c r="BO11" s="139"/>
      <c r="BP11" s="139"/>
      <c r="BQ11" s="179"/>
    </row>
    <row r="12" spans="1:74" s="84" customFormat="1" ht="21.9" customHeight="1" x14ac:dyDescent="0.25">
      <c r="A12" s="125" t="s">
        <v>343</v>
      </c>
      <c r="B12" s="80"/>
      <c r="C12" s="81" t="s">
        <v>75</v>
      </c>
      <c r="D12" s="82"/>
      <c r="E12" s="83">
        <f t="shared" ref="E12:E57" si="0">SUM(F12:BQ12)</f>
        <v>564130</v>
      </c>
      <c r="F12" s="83">
        <f t="shared" ref="F12:AK12" si="1">F14+F16+F26+F18+F20+F22+F24+F28+F30+F32+F34+F36+F38+F40+F42+F44+F46+F48+F50+F52+F54+F56</f>
        <v>13516</v>
      </c>
      <c r="G12" s="83">
        <f t="shared" si="1"/>
        <v>9730</v>
      </c>
      <c r="H12" s="83">
        <f t="shared" si="1"/>
        <v>2761</v>
      </c>
      <c r="I12" s="83">
        <f t="shared" si="1"/>
        <v>416</v>
      </c>
      <c r="J12" s="83">
        <f t="shared" si="1"/>
        <v>2951</v>
      </c>
      <c r="K12" s="83">
        <f t="shared" si="1"/>
        <v>2659</v>
      </c>
      <c r="L12" s="83">
        <f t="shared" si="1"/>
        <v>4595</v>
      </c>
      <c r="M12" s="83">
        <f t="shared" si="1"/>
        <v>29448</v>
      </c>
      <c r="N12" s="83">
        <f t="shared" si="1"/>
        <v>9132</v>
      </c>
      <c r="O12" s="83">
        <f t="shared" si="1"/>
        <v>3155</v>
      </c>
      <c r="P12" s="83">
        <f t="shared" si="1"/>
        <v>4408</v>
      </c>
      <c r="Q12" s="83">
        <f t="shared" si="1"/>
        <v>1714</v>
      </c>
      <c r="R12" s="83">
        <f t="shared" si="1"/>
        <v>227</v>
      </c>
      <c r="S12" s="83">
        <f t="shared" si="1"/>
        <v>6147</v>
      </c>
      <c r="T12" s="83">
        <f t="shared" si="1"/>
        <v>6470</v>
      </c>
      <c r="U12" s="83">
        <f t="shared" si="1"/>
        <v>3810</v>
      </c>
      <c r="V12" s="83">
        <f t="shared" si="1"/>
        <v>8603</v>
      </c>
      <c r="W12" s="83">
        <f t="shared" si="1"/>
        <v>17695</v>
      </c>
      <c r="X12" s="83">
        <f t="shared" si="1"/>
        <v>8914</v>
      </c>
      <c r="Y12" s="83">
        <f t="shared" si="1"/>
        <v>4734</v>
      </c>
      <c r="Z12" s="83">
        <f t="shared" si="1"/>
        <v>2714</v>
      </c>
      <c r="AA12" s="83">
        <f t="shared" si="1"/>
        <v>19762</v>
      </c>
      <c r="AB12" s="83">
        <f t="shared" si="1"/>
        <v>7622</v>
      </c>
      <c r="AC12" s="83">
        <f t="shared" si="1"/>
        <v>4240</v>
      </c>
      <c r="AD12" s="83">
        <f t="shared" si="1"/>
        <v>2481</v>
      </c>
      <c r="AE12" s="83">
        <f t="shared" si="1"/>
        <v>3656</v>
      </c>
      <c r="AF12" s="83">
        <f t="shared" si="1"/>
        <v>54047</v>
      </c>
      <c r="AG12" s="83">
        <f t="shared" si="1"/>
        <v>19948</v>
      </c>
      <c r="AH12" s="83">
        <f t="shared" si="1"/>
        <v>8005</v>
      </c>
      <c r="AI12" s="83">
        <f t="shared" si="1"/>
        <v>27457</v>
      </c>
      <c r="AJ12" s="83">
        <f t="shared" si="1"/>
        <v>4296</v>
      </c>
      <c r="AK12" s="83">
        <f t="shared" si="1"/>
        <v>9625</v>
      </c>
      <c r="AL12" s="83">
        <f t="shared" ref="AL12:BQ12" si="2">AL14+AL16+AL26+AL18+AL20+AL22+AL24+AL28+AL30+AL32+AL34+AL36+AL38+AL40+AL42+AL44+AL46+AL48+AL50+AL52+AL54+AL56</f>
        <v>805</v>
      </c>
      <c r="AM12" s="100">
        <f t="shared" si="2"/>
        <v>4126</v>
      </c>
      <c r="AN12" s="83">
        <f t="shared" si="2"/>
        <v>2008</v>
      </c>
      <c r="AO12" s="83">
        <f t="shared" si="2"/>
        <v>1316</v>
      </c>
      <c r="AP12" s="83">
        <f t="shared" si="2"/>
        <v>8043</v>
      </c>
      <c r="AQ12" s="83">
        <f t="shared" si="2"/>
        <v>1378</v>
      </c>
      <c r="AR12" s="83">
        <f t="shared" si="2"/>
        <v>1078</v>
      </c>
      <c r="AS12" s="83">
        <f t="shared" si="2"/>
        <v>2907</v>
      </c>
      <c r="AT12" s="83">
        <f t="shared" si="2"/>
        <v>2140</v>
      </c>
      <c r="AU12" s="83">
        <f t="shared" si="2"/>
        <v>1781</v>
      </c>
      <c r="AV12" s="83">
        <f t="shared" si="2"/>
        <v>7664</v>
      </c>
      <c r="AW12" s="83">
        <f t="shared" si="2"/>
        <v>50508</v>
      </c>
      <c r="AX12" s="83">
        <f t="shared" si="2"/>
        <v>9074</v>
      </c>
      <c r="AY12" s="83">
        <f t="shared" si="2"/>
        <v>2889</v>
      </c>
      <c r="AZ12" s="83">
        <f t="shared" si="2"/>
        <v>28053</v>
      </c>
      <c r="BA12" s="83">
        <f t="shared" si="2"/>
        <v>11519</v>
      </c>
      <c r="BB12" s="83">
        <f t="shared" si="2"/>
        <v>1594</v>
      </c>
      <c r="BC12" s="83">
        <f t="shared" si="2"/>
        <v>2754</v>
      </c>
      <c r="BD12" s="83">
        <f t="shared" si="2"/>
        <v>2478</v>
      </c>
      <c r="BE12" s="83">
        <f t="shared" si="2"/>
        <v>1637</v>
      </c>
      <c r="BF12" s="83">
        <f t="shared" si="2"/>
        <v>12548</v>
      </c>
      <c r="BG12" s="83">
        <f t="shared" si="2"/>
        <v>8198</v>
      </c>
      <c r="BH12" s="83">
        <f t="shared" si="2"/>
        <v>10094</v>
      </c>
      <c r="BI12" s="83">
        <f t="shared" si="2"/>
        <v>20854</v>
      </c>
      <c r="BJ12" s="83">
        <f t="shared" si="2"/>
        <v>8028</v>
      </c>
      <c r="BK12" s="83">
        <f t="shared" si="2"/>
        <v>10963</v>
      </c>
      <c r="BL12" s="83">
        <f t="shared" si="2"/>
        <v>8369</v>
      </c>
      <c r="BM12" s="83">
        <f t="shared" si="2"/>
        <v>8178</v>
      </c>
      <c r="BN12" s="83">
        <f t="shared" si="2"/>
        <v>9485</v>
      </c>
      <c r="BO12" s="83">
        <f t="shared" si="2"/>
        <v>5085</v>
      </c>
      <c r="BP12" s="83">
        <f t="shared" si="2"/>
        <v>3435</v>
      </c>
      <c r="BQ12" s="83">
        <f t="shared" si="2"/>
        <v>10203</v>
      </c>
      <c r="BR12" s="34"/>
      <c r="BS12" s="34"/>
      <c r="BT12" s="34"/>
    </row>
    <row r="13" spans="1:74" s="84" customFormat="1" ht="21.9" customHeight="1" x14ac:dyDescent="0.25">
      <c r="A13" s="125"/>
      <c r="B13" s="34"/>
      <c r="C13" s="85" t="s">
        <v>76</v>
      </c>
      <c r="D13" s="86"/>
      <c r="E13" s="83">
        <f t="shared" si="0"/>
        <v>7873</v>
      </c>
      <c r="F13" s="87">
        <f t="shared" ref="F13:AK13" si="3">F15+F17+F27+F19+F21+F23+F25+F29+F31+F33+F35+F37+F39+F41+F43+F45+F47+F49+F51+F53+F55+F57</f>
        <v>1</v>
      </c>
      <c r="G13" s="87">
        <f t="shared" si="3"/>
        <v>5</v>
      </c>
      <c r="H13" s="87">
        <f t="shared" si="3"/>
        <v>1</v>
      </c>
      <c r="I13" s="87">
        <f t="shared" si="3"/>
        <v>2</v>
      </c>
      <c r="J13" s="87">
        <f t="shared" si="3"/>
        <v>5</v>
      </c>
      <c r="K13" s="87">
        <f t="shared" si="3"/>
        <v>21</v>
      </c>
      <c r="L13" s="87">
        <f t="shared" si="3"/>
        <v>6</v>
      </c>
      <c r="M13" s="87">
        <f t="shared" si="3"/>
        <v>74</v>
      </c>
      <c r="N13" s="87">
        <f t="shared" si="3"/>
        <v>58</v>
      </c>
      <c r="O13" s="87">
        <f t="shared" si="3"/>
        <v>13</v>
      </c>
      <c r="P13" s="87">
        <f t="shared" si="3"/>
        <v>30</v>
      </c>
      <c r="Q13" s="87">
        <f t="shared" si="3"/>
        <v>30</v>
      </c>
      <c r="R13" s="87">
        <f t="shared" si="3"/>
        <v>0</v>
      </c>
      <c r="S13" s="87">
        <f t="shared" si="3"/>
        <v>91</v>
      </c>
      <c r="T13" s="87">
        <f t="shared" si="3"/>
        <v>392</v>
      </c>
      <c r="U13" s="87">
        <f t="shared" si="3"/>
        <v>24</v>
      </c>
      <c r="V13" s="87">
        <f t="shared" si="3"/>
        <v>68</v>
      </c>
      <c r="W13" s="87">
        <f t="shared" si="3"/>
        <v>242</v>
      </c>
      <c r="X13" s="87">
        <f t="shared" si="3"/>
        <v>35</v>
      </c>
      <c r="Y13" s="87">
        <f t="shared" si="3"/>
        <v>57</v>
      </c>
      <c r="Z13" s="87">
        <f t="shared" si="3"/>
        <v>35</v>
      </c>
      <c r="AA13" s="87">
        <f t="shared" si="3"/>
        <v>67</v>
      </c>
      <c r="AB13" s="87">
        <f t="shared" si="3"/>
        <v>112</v>
      </c>
      <c r="AC13" s="87">
        <f t="shared" si="3"/>
        <v>15</v>
      </c>
      <c r="AD13" s="87">
        <f t="shared" si="3"/>
        <v>34</v>
      </c>
      <c r="AE13" s="87">
        <f t="shared" si="3"/>
        <v>78</v>
      </c>
      <c r="AF13" s="87">
        <f t="shared" si="3"/>
        <v>490</v>
      </c>
      <c r="AG13" s="87">
        <f t="shared" si="3"/>
        <v>227</v>
      </c>
      <c r="AH13" s="87">
        <f t="shared" si="3"/>
        <v>78</v>
      </c>
      <c r="AI13" s="87">
        <f t="shared" si="3"/>
        <v>424</v>
      </c>
      <c r="AJ13" s="87">
        <f t="shared" si="3"/>
        <v>121</v>
      </c>
      <c r="AK13" s="87">
        <f t="shared" si="3"/>
        <v>101</v>
      </c>
      <c r="AL13" s="87">
        <f t="shared" ref="AL13:BQ13" si="4">AL15+AL17+AL27+AL19+AL21+AL23+AL25+AL29+AL31+AL33+AL35+AL37+AL39+AL41+AL43+AL45+AL47+AL49+AL51+AL53+AL55+AL57</f>
        <v>3</v>
      </c>
      <c r="AM13" s="101">
        <f t="shared" si="4"/>
        <v>166</v>
      </c>
      <c r="AN13" s="87">
        <f t="shared" si="4"/>
        <v>16</v>
      </c>
      <c r="AO13" s="87">
        <f t="shared" si="4"/>
        <v>3</v>
      </c>
      <c r="AP13" s="87">
        <f t="shared" si="4"/>
        <v>177</v>
      </c>
      <c r="AQ13" s="87">
        <f t="shared" si="4"/>
        <v>1</v>
      </c>
      <c r="AR13" s="87">
        <f t="shared" si="4"/>
        <v>0</v>
      </c>
      <c r="AS13" s="87">
        <f t="shared" si="4"/>
        <v>0</v>
      </c>
      <c r="AT13" s="87">
        <f t="shared" si="4"/>
        <v>113</v>
      </c>
      <c r="AU13" s="87">
        <f t="shared" si="4"/>
        <v>46</v>
      </c>
      <c r="AV13" s="87">
        <f t="shared" si="4"/>
        <v>13</v>
      </c>
      <c r="AW13" s="87">
        <f t="shared" si="4"/>
        <v>268</v>
      </c>
      <c r="AX13" s="87">
        <f t="shared" si="4"/>
        <v>77</v>
      </c>
      <c r="AY13" s="87">
        <f t="shared" si="4"/>
        <v>2</v>
      </c>
      <c r="AZ13" s="87">
        <f t="shared" si="4"/>
        <v>48</v>
      </c>
      <c r="BA13" s="87">
        <f t="shared" si="4"/>
        <v>126</v>
      </c>
      <c r="BB13" s="87">
        <f t="shared" si="4"/>
        <v>16</v>
      </c>
      <c r="BC13" s="87">
        <f t="shared" si="4"/>
        <v>3</v>
      </c>
      <c r="BD13" s="87">
        <f t="shared" si="4"/>
        <v>3</v>
      </c>
      <c r="BE13" s="87">
        <f t="shared" si="4"/>
        <v>5</v>
      </c>
      <c r="BF13" s="87">
        <f t="shared" si="4"/>
        <v>27</v>
      </c>
      <c r="BG13" s="87">
        <f t="shared" si="4"/>
        <v>110</v>
      </c>
      <c r="BH13" s="87">
        <f t="shared" si="4"/>
        <v>233</v>
      </c>
      <c r="BI13" s="87">
        <f t="shared" si="4"/>
        <v>2847</v>
      </c>
      <c r="BJ13" s="87">
        <f t="shared" si="4"/>
        <v>99</v>
      </c>
      <c r="BK13" s="87">
        <f t="shared" si="4"/>
        <v>145</v>
      </c>
      <c r="BL13" s="87">
        <f t="shared" si="4"/>
        <v>81</v>
      </c>
      <c r="BM13" s="87">
        <f t="shared" si="4"/>
        <v>76</v>
      </c>
      <c r="BN13" s="87">
        <f t="shared" si="4"/>
        <v>39</v>
      </c>
      <c r="BO13" s="87">
        <f t="shared" si="4"/>
        <v>0</v>
      </c>
      <c r="BP13" s="87">
        <f t="shared" si="4"/>
        <v>5</v>
      </c>
      <c r="BQ13" s="87">
        <f t="shared" si="4"/>
        <v>188</v>
      </c>
      <c r="BR13" s="34"/>
      <c r="BS13" s="34"/>
      <c r="BT13" s="34"/>
    </row>
    <row r="14" spans="1:74" s="34" customFormat="1" ht="21.9" customHeight="1" x14ac:dyDescent="0.25">
      <c r="A14" s="125" t="s">
        <v>338</v>
      </c>
      <c r="B14" s="88"/>
      <c r="C14" s="85" t="s">
        <v>75</v>
      </c>
      <c r="D14" s="86"/>
      <c r="E14" s="83">
        <f t="shared" si="0"/>
        <v>67369</v>
      </c>
      <c r="F14" s="83">
        <v>2554</v>
      </c>
      <c r="G14" s="83">
        <v>2477</v>
      </c>
      <c r="H14" s="83">
        <v>167</v>
      </c>
      <c r="I14" s="83">
        <v>2</v>
      </c>
      <c r="J14" s="83">
        <v>134</v>
      </c>
      <c r="K14" s="83">
        <v>154</v>
      </c>
      <c r="L14" s="83">
        <v>304</v>
      </c>
      <c r="M14" s="83">
        <v>7778</v>
      </c>
      <c r="N14" s="83">
        <v>2426</v>
      </c>
      <c r="O14" s="83">
        <v>39</v>
      </c>
      <c r="P14" s="83">
        <v>157</v>
      </c>
      <c r="Q14" s="83">
        <v>105</v>
      </c>
      <c r="R14" s="83">
        <v>0</v>
      </c>
      <c r="S14" s="83">
        <v>378</v>
      </c>
      <c r="T14" s="83">
        <v>306</v>
      </c>
      <c r="U14" s="83">
        <v>82</v>
      </c>
      <c r="V14" s="83">
        <v>348</v>
      </c>
      <c r="W14" s="83">
        <v>1104</v>
      </c>
      <c r="X14" s="83">
        <v>1627</v>
      </c>
      <c r="Y14" s="83">
        <v>512</v>
      </c>
      <c r="Z14" s="83">
        <v>60</v>
      </c>
      <c r="AA14" s="83">
        <v>3741</v>
      </c>
      <c r="AB14" s="83">
        <v>224</v>
      </c>
      <c r="AC14" s="83">
        <v>44</v>
      </c>
      <c r="AD14" s="83">
        <v>142</v>
      </c>
      <c r="AE14" s="83">
        <v>605</v>
      </c>
      <c r="AF14" s="83">
        <v>8234</v>
      </c>
      <c r="AG14" s="83">
        <v>2475</v>
      </c>
      <c r="AH14" s="83">
        <v>1116</v>
      </c>
      <c r="AI14" s="83">
        <v>3525</v>
      </c>
      <c r="AJ14" s="83">
        <v>190</v>
      </c>
      <c r="AK14" s="83">
        <v>320</v>
      </c>
      <c r="AL14" s="83">
        <v>6</v>
      </c>
      <c r="AM14" s="102">
        <v>738</v>
      </c>
      <c r="AN14" s="83">
        <v>32</v>
      </c>
      <c r="AO14" s="83">
        <v>6</v>
      </c>
      <c r="AP14" s="83">
        <v>523</v>
      </c>
      <c r="AQ14" s="83">
        <v>189</v>
      </c>
      <c r="AR14" s="83">
        <v>44</v>
      </c>
      <c r="AS14" s="83">
        <v>77</v>
      </c>
      <c r="AT14" s="83">
        <v>92</v>
      </c>
      <c r="AU14" s="83">
        <v>66</v>
      </c>
      <c r="AV14" s="83">
        <v>408</v>
      </c>
      <c r="AW14" s="83">
        <v>7636</v>
      </c>
      <c r="AX14" s="83">
        <v>83</v>
      </c>
      <c r="AY14" s="83">
        <v>0</v>
      </c>
      <c r="AZ14" s="83">
        <v>1364</v>
      </c>
      <c r="BA14" s="83">
        <v>5238</v>
      </c>
      <c r="BB14" s="83">
        <v>943</v>
      </c>
      <c r="BC14" s="83">
        <v>42</v>
      </c>
      <c r="BD14" s="83">
        <v>49</v>
      </c>
      <c r="BE14" s="83">
        <v>12</v>
      </c>
      <c r="BF14" s="83">
        <v>97</v>
      </c>
      <c r="BG14" s="83">
        <v>392</v>
      </c>
      <c r="BH14" s="83">
        <v>673</v>
      </c>
      <c r="BI14" s="83">
        <v>847</v>
      </c>
      <c r="BJ14" s="83">
        <v>2447</v>
      </c>
      <c r="BK14" s="83">
        <v>311</v>
      </c>
      <c r="BL14" s="83">
        <v>265</v>
      </c>
      <c r="BM14" s="83">
        <v>360</v>
      </c>
      <c r="BN14" s="83">
        <v>2145</v>
      </c>
      <c r="BO14" s="83">
        <v>0</v>
      </c>
      <c r="BP14" s="83">
        <v>0</v>
      </c>
      <c r="BQ14" s="83">
        <v>954</v>
      </c>
    </row>
    <row r="15" spans="1:74" s="34" customFormat="1" ht="21.9" customHeight="1" x14ac:dyDescent="0.25">
      <c r="A15" s="125"/>
      <c r="B15" s="88"/>
      <c r="C15" s="85" t="s">
        <v>76</v>
      </c>
      <c r="D15" s="86"/>
      <c r="E15" s="83">
        <f t="shared" si="0"/>
        <v>263</v>
      </c>
      <c r="F15" s="87">
        <v>0</v>
      </c>
      <c r="G15" s="87">
        <v>1</v>
      </c>
      <c r="H15" s="87">
        <v>0</v>
      </c>
      <c r="I15" s="87">
        <v>0</v>
      </c>
      <c r="J15" s="87">
        <v>0</v>
      </c>
      <c r="K15" s="87">
        <v>0</v>
      </c>
      <c r="L15" s="87">
        <v>0</v>
      </c>
      <c r="M15" s="87">
        <v>6</v>
      </c>
      <c r="N15" s="87">
        <v>2</v>
      </c>
      <c r="O15" s="87">
        <v>1</v>
      </c>
      <c r="P15" s="87">
        <v>2</v>
      </c>
      <c r="Q15" s="87">
        <v>3</v>
      </c>
      <c r="R15" s="87">
        <v>0</v>
      </c>
      <c r="S15" s="87">
        <v>10</v>
      </c>
      <c r="T15" s="87">
        <v>6</v>
      </c>
      <c r="U15" s="87">
        <v>1</v>
      </c>
      <c r="V15" s="83">
        <v>1</v>
      </c>
      <c r="W15" s="83">
        <v>6</v>
      </c>
      <c r="X15" s="83">
        <v>0</v>
      </c>
      <c r="Y15" s="83">
        <v>2</v>
      </c>
      <c r="Z15" s="83">
        <v>2</v>
      </c>
      <c r="AA15" s="83">
        <v>5</v>
      </c>
      <c r="AB15" s="83">
        <v>14</v>
      </c>
      <c r="AC15" s="83">
        <v>0</v>
      </c>
      <c r="AD15" s="83">
        <v>1</v>
      </c>
      <c r="AE15" s="83">
        <v>0</v>
      </c>
      <c r="AF15" s="83">
        <v>28</v>
      </c>
      <c r="AG15" s="83">
        <v>25</v>
      </c>
      <c r="AH15" s="83">
        <v>3</v>
      </c>
      <c r="AI15" s="83">
        <v>33</v>
      </c>
      <c r="AJ15" s="83">
        <v>8</v>
      </c>
      <c r="AK15" s="83">
        <v>2</v>
      </c>
      <c r="AL15" s="83">
        <v>0</v>
      </c>
      <c r="AM15" s="102">
        <v>11</v>
      </c>
      <c r="AN15" s="83">
        <v>0</v>
      </c>
      <c r="AO15" s="83">
        <v>0</v>
      </c>
      <c r="AP15" s="83">
        <v>11</v>
      </c>
      <c r="AQ15" s="87">
        <v>0</v>
      </c>
      <c r="AR15" s="87">
        <v>0</v>
      </c>
      <c r="AS15" s="87">
        <v>0</v>
      </c>
      <c r="AT15" s="87">
        <v>12</v>
      </c>
      <c r="AU15" s="87">
        <v>7</v>
      </c>
      <c r="AV15" s="87">
        <v>0</v>
      </c>
      <c r="AW15" s="87">
        <v>5</v>
      </c>
      <c r="AX15" s="87">
        <v>0</v>
      </c>
      <c r="AY15" s="87">
        <v>0</v>
      </c>
      <c r="AZ15" s="87">
        <v>0</v>
      </c>
      <c r="BA15" s="83">
        <v>1</v>
      </c>
      <c r="BB15" s="83">
        <v>0</v>
      </c>
      <c r="BC15" s="83">
        <v>1</v>
      </c>
      <c r="BD15" s="83">
        <v>0</v>
      </c>
      <c r="BE15" s="83">
        <v>0</v>
      </c>
      <c r="BF15" s="83">
        <v>1</v>
      </c>
      <c r="BG15" s="83">
        <v>3</v>
      </c>
      <c r="BH15" s="83">
        <v>1</v>
      </c>
      <c r="BI15" s="83">
        <v>3</v>
      </c>
      <c r="BJ15" s="83">
        <v>3</v>
      </c>
      <c r="BK15" s="83">
        <v>10</v>
      </c>
      <c r="BL15" s="83">
        <v>6</v>
      </c>
      <c r="BM15" s="83">
        <v>0</v>
      </c>
      <c r="BN15" s="83">
        <v>4</v>
      </c>
      <c r="BO15" s="83">
        <v>0</v>
      </c>
      <c r="BP15" s="83">
        <v>0</v>
      </c>
      <c r="BQ15" s="83">
        <v>22</v>
      </c>
    </row>
    <row r="16" spans="1:74" s="34" customFormat="1" ht="21.9" customHeight="1" x14ac:dyDescent="0.25">
      <c r="A16" s="125" t="s">
        <v>282</v>
      </c>
      <c r="B16" s="88"/>
      <c r="C16" s="85" t="s">
        <v>75</v>
      </c>
      <c r="D16" s="86"/>
      <c r="E16" s="83">
        <f t="shared" si="0"/>
        <v>88432</v>
      </c>
      <c r="F16" s="83">
        <v>1925</v>
      </c>
      <c r="G16" s="83">
        <v>1684</v>
      </c>
      <c r="H16" s="83">
        <v>919</v>
      </c>
      <c r="I16" s="83">
        <v>343</v>
      </c>
      <c r="J16" s="83">
        <v>1106</v>
      </c>
      <c r="K16" s="83">
        <v>941</v>
      </c>
      <c r="L16" s="83">
        <v>1432</v>
      </c>
      <c r="M16" s="83">
        <v>2040</v>
      </c>
      <c r="N16" s="83">
        <v>1515</v>
      </c>
      <c r="O16" s="83">
        <v>1208</v>
      </c>
      <c r="P16" s="83">
        <v>723</v>
      </c>
      <c r="Q16" s="83">
        <v>484</v>
      </c>
      <c r="R16" s="83">
        <v>207</v>
      </c>
      <c r="S16" s="83">
        <v>1213</v>
      </c>
      <c r="T16" s="83">
        <v>972</v>
      </c>
      <c r="U16" s="83">
        <v>944</v>
      </c>
      <c r="V16" s="83">
        <v>2456</v>
      </c>
      <c r="W16" s="83">
        <v>3005</v>
      </c>
      <c r="X16" s="83">
        <v>2178</v>
      </c>
      <c r="Y16" s="83">
        <v>1448</v>
      </c>
      <c r="Z16" s="83">
        <v>1571</v>
      </c>
      <c r="AA16" s="83">
        <v>1872</v>
      </c>
      <c r="AB16" s="83">
        <v>1517</v>
      </c>
      <c r="AC16" s="83">
        <v>2081</v>
      </c>
      <c r="AD16" s="83">
        <v>952</v>
      </c>
      <c r="AE16" s="83">
        <v>134</v>
      </c>
      <c r="AF16" s="83">
        <v>3146</v>
      </c>
      <c r="AG16" s="83">
        <v>2902</v>
      </c>
      <c r="AH16" s="83">
        <v>1196</v>
      </c>
      <c r="AI16" s="83">
        <v>2399</v>
      </c>
      <c r="AJ16" s="83">
        <v>602</v>
      </c>
      <c r="AK16" s="83">
        <v>1277</v>
      </c>
      <c r="AL16" s="83">
        <v>547</v>
      </c>
      <c r="AM16" s="102">
        <v>712</v>
      </c>
      <c r="AN16" s="83">
        <v>896</v>
      </c>
      <c r="AO16" s="83">
        <v>780</v>
      </c>
      <c r="AP16" s="83">
        <v>799</v>
      </c>
      <c r="AQ16" s="83">
        <v>520</v>
      </c>
      <c r="AR16" s="83">
        <v>625</v>
      </c>
      <c r="AS16" s="83">
        <v>406</v>
      </c>
      <c r="AT16" s="83">
        <v>281</v>
      </c>
      <c r="AU16" s="83">
        <v>419</v>
      </c>
      <c r="AV16" s="83">
        <v>1990</v>
      </c>
      <c r="AW16" s="83">
        <v>3899</v>
      </c>
      <c r="AX16" s="83">
        <v>1113</v>
      </c>
      <c r="AY16" s="83">
        <v>1354</v>
      </c>
      <c r="AZ16" s="83">
        <v>2292</v>
      </c>
      <c r="BA16" s="83">
        <v>913</v>
      </c>
      <c r="BB16" s="83">
        <v>0</v>
      </c>
      <c r="BC16" s="83">
        <v>788</v>
      </c>
      <c r="BD16" s="83">
        <v>328</v>
      </c>
      <c r="BE16" s="83">
        <v>415</v>
      </c>
      <c r="BF16" s="83">
        <v>2685</v>
      </c>
      <c r="BG16" s="83">
        <v>1879</v>
      </c>
      <c r="BH16" s="83">
        <v>1135</v>
      </c>
      <c r="BI16" s="83">
        <v>936</v>
      </c>
      <c r="BJ16" s="83">
        <v>1320</v>
      </c>
      <c r="BK16" s="83">
        <v>639</v>
      </c>
      <c r="BL16" s="83">
        <v>2273</v>
      </c>
      <c r="BM16" s="83">
        <v>2632</v>
      </c>
      <c r="BN16" s="83">
        <v>1663</v>
      </c>
      <c r="BO16" s="83">
        <v>2483</v>
      </c>
      <c r="BP16" s="83">
        <v>2806</v>
      </c>
      <c r="BQ16" s="83">
        <v>2512</v>
      </c>
    </row>
    <row r="17" spans="1:69" s="34" customFormat="1" ht="21.9" customHeight="1" x14ac:dyDescent="0.25">
      <c r="A17" s="125"/>
      <c r="B17" s="88"/>
      <c r="C17" s="85" t="s">
        <v>76</v>
      </c>
      <c r="D17" s="86"/>
      <c r="E17" s="83">
        <f t="shared" si="0"/>
        <v>638</v>
      </c>
      <c r="F17" s="87">
        <v>0</v>
      </c>
      <c r="G17" s="87">
        <v>0</v>
      </c>
      <c r="H17" s="87">
        <v>0</v>
      </c>
      <c r="I17" s="87">
        <v>0</v>
      </c>
      <c r="J17" s="87">
        <v>0</v>
      </c>
      <c r="K17" s="87">
        <v>0</v>
      </c>
      <c r="L17" s="87">
        <v>0</v>
      </c>
      <c r="M17" s="87">
        <v>1</v>
      </c>
      <c r="N17" s="87">
        <v>1</v>
      </c>
      <c r="O17" s="87">
        <v>0</v>
      </c>
      <c r="P17" s="87">
        <v>2</v>
      </c>
      <c r="Q17" s="87">
        <v>4</v>
      </c>
      <c r="R17" s="87">
        <v>0</v>
      </c>
      <c r="S17" s="87">
        <v>8</v>
      </c>
      <c r="T17" s="87">
        <v>16</v>
      </c>
      <c r="U17" s="87">
        <v>0</v>
      </c>
      <c r="V17" s="83">
        <v>4</v>
      </c>
      <c r="W17" s="83">
        <v>49</v>
      </c>
      <c r="X17" s="83">
        <v>3</v>
      </c>
      <c r="Y17" s="83">
        <v>1</v>
      </c>
      <c r="Z17" s="83">
        <v>0</v>
      </c>
      <c r="AA17" s="83">
        <v>0</v>
      </c>
      <c r="AB17" s="83">
        <v>22</v>
      </c>
      <c r="AC17" s="83">
        <v>0</v>
      </c>
      <c r="AD17" s="83">
        <v>0</v>
      </c>
      <c r="AE17" s="83">
        <v>2</v>
      </c>
      <c r="AF17" s="83">
        <v>6</v>
      </c>
      <c r="AG17" s="83">
        <v>0</v>
      </c>
      <c r="AH17" s="83">
        <v>3</v>
      </c>
      <c r="AI17" s="83">
        <v>27</v>
      </c>
      <c r="AJ17" s="83">
        <v>6</v>
      </c>
      <c r="AK17" s="83">
        <v>0</v>
      </c>
      <c r="AL17" s="83">
        <v>0</v>
      </c>
      <c r="AM17" s="102">
        <v>28</v>
      </c>
      <c r="AN17" s="83">
        <v>0</v>
      </c>
      <c r="AO17" s="83">
        <v>0</v>
      </c>
      <c r="AP17" s="83">
        <v>3</v>
      </c>
      <c r="AQ17" s="87">
        <v>0</v>
      </c>
      <c r="AR17" s="87">
        <v>0</v>
      </c>
      <c r="AS17" s="87">
        <v>0</v>
      </c>
      <c r="AT17" s="87">
        <v>0</v>
      </c>
      <c r="AU17" s="87">
        <v>22</v>
      </c>
      <c r="AV17" s="87">
        <v>0</v>
      </c>
      <c r="AW17" s="87">
        <v>39</v>
      </c>
      <c r="AX17" s="87">
        <v>1</v>
      </c>
      <c r="AY17" s="87">
        <v>0</v>
      </c>
      <c r="AZ17" s="87">
        <v>1</v>
      </c>
      <c r="BA17" s="83">
        <v>5</v>
      </c>
      <c r="BB17" s="83">
        <v>0</v>
      </c>
      <c r="BC17" s="83">
        <v>0</v>
      </c>
      <c r="BD17" s="83">
        <v>0</v>
      </c>
      <c r="BE17" s="83">
        <v>0</v>
      </c>
      <c r="BF17" s="83">
        <v>0</v>
      </c>
      <c r="BG17" s="83">
        <v>2</v>
      </c>
      <c r="BH17" s="83">
        <v>2</v>
      </c>
      <c r="BI17" s="83">
        <v>353</v>
      </c>
      <c r="BJ17" s="83">
        <v>0</v>
      </c>
      <c r="BK17" s="83">
        <v>0</v>
      </c>
      <c r="BL17" s="83">
        <v>6</v>
      </c>
      <c r="BM17" s="83">
        <v>19</v>
      </c>
      <c r="BN17" s="83">
        <v>0</v>
      </c>
      <c r="BO17" s="83">
        <v>0</v>
      </c>
      <c r="BP17" s="83">
        <v>0</v>
      </c>
      <c r="BQ17" s="83">
        <v>2</v>
      </c>
    </row>
    <row r="18" spans="1:69" s="34" customFormat="1" ht="21.9" customHeight="1" x14ac:dyDescent="0.25">
      <c r="A18" s="125" t="s">
        <v>77</v>
      </c>
      <c r="B18" s="88"/>
      <c r="C18" s="85" t="s">
        <v>212</v>
      </c>
      <c r="D18" s="86"/>
      <c r="E18" s="83">
        <f t="shared" si="0"/>
        <v>21817</v>
      </c>
      <c r="F18" s="83">
        <v>300</v>
      </c>
      <c r="G18" s="83">
        <v>149</v>
      </c>
      <c r="H18" s="83">
        <v>23</v>
      </c>
      <c r="I18" s="83">
        <v>2</v>
      </c>
      <c r="J18" s="83">
        <v>87</v>
      </c>
      <c r="K18" s="83">
        <v>83</v>
      </c>
      <c r="L18" s="83">
        <v>153</v>
      </c>
      <c r="M18" s="83">
        <v>1672</v>
      </c>
      <c r="N18" s="83">
        <v>364</v>
      </c>
      <c r="O18" s="83">
        <v>212</v>
      </c>
      <c r="P18" s="83">
        <v>164</v>
      </c>
      <c r="Q18" s="83">
        <v>63</v>
      </c>
      <c r="R18" s="83">
        <v>0</v>
      </c>
      <c r="S18" s="83">
        <v>204</v>
      </c>
      <c r="T18" s="83">
        <v>256</v>
      </c>
      <c r="U18" s="83">
        <v>83</v>
      </c>
      <c r="V18" s="83">
        <v>253</v>
      </c>
      <c r="W18" s="83">
        <v>516</v>
      </c>
      <c r="X18" s="83">
        <v>285</v>
      </c>
      <c r="Y18" s="83">
        <v>200</v>
      </c>
      <c r="Z18" s="83">
        <v>79</v>
      </c>
      <c r="AA18" s="83">
        <v>493</v>
      </c>
      <c r="AB18" s="83">
        <v>393</v>
      </c>
      <c r="AC18" s="83">
        <v>36</v>
      </c>
      <c r="AD18" s="83">
        <v>20</v>
      </c>
      <c r="AE18" s="83">
        <v>247</v>
      </c>
      <c r="AF18" s="83">
        <v>1866</v>
      </c>
      <c r="AG18" s="83">
        <v>561</v>
      </c>
      <c r="AH18" s="83">
        <v>123</v>
      </c>
      <c r="AI18" s="83">
        <v>2325</v>
      </c>
      <c r="AJ18" s="83">
        <v>114</v>
      </c>
      <c r="AK18" s="83">
        <v>291</v>
      </c>
      <c r="AL18" s="83">
        <v>8</v>
      </c>
      <c r="AM18" s="102">
        <v>140</v>
      </c>
      <c r="AN18" s="83">
        <v>27</v>
      </c>
      <c r="AO18" s="83">
        <v>22</v>
      </c>
      <c r="AP18" s="83">
        <v>351</v>
      </c>
      <c r="AQ18" s="83">
        <v>21</v>
      </c>
      <c r="AR18" s="83">
        <v>3</v>
      </c>
      <c r="AS18" s="83">
        <v>30</v>
      </c>
      <c r="AT18" s="83">
        <v>103</v>
      </c>
      <c r="AU18" s="83">
        <v>82</v>
      </c>
      <c r="AV18" s="83">
        <v>68</v>
      </c>
      <c r="AW18" s="83">
        <v>1221</v>
      </c>
      <c r="AX18" s="83">
        <v>386</v>
      </c>
      <c r="AY18" s="83">
        <v>239</v>
      </c>
      <c r="AZ18" s="83">
        <v>2659</v>
      </c>
      <c r="BA18" s="83">
        <v>761</v>
      </c>
      <c r="BB18" s="83">
        <v>73</v>
      </c>
      <c r="BC18" s="83">
        <v>8</v>
      </c>
      <c r="BD18" s="83">
        <v>8</v>
      </c>
      <c r="BE18" s="83">
        <v>0</v>
      </c>
      <c r="BF18" s="83">
        <v>896</v>
      </c>
      <c r="BG18" s="83">
        <v>185</v>
      </c>
      <c r="BH18" s="83">
        <v>605</v>
      </c>
      <c r="BI18" s="83">
        <v>923</v>
      </c>
      <c r="BJ18" s="83">
        <v>67</v>
      </c>
      <c r="BK18" s="83">
        <v>511</v>
      </c>
      <c r="BL18" s="83">
        <v>145</v>
      </c>
      <c r="BM18" s="83">
        <v>55</v>
      </c>
      <c r="BN18" s="83">
        <v>96</v>
      </c>
      <c r="BO18" s="83">
        <v>8</v>
      </c>
      <c r="BP18" s="83">
        <v>0</v>
      </c>
      <c r="BQ18" s="83">
        <v>499</v>
      </c>
    </row>
    <row r="19" spans="1:69" s="34" customFormat="1" ht="21.9" customHeight="1" x14ac:dyDescent="0.25">
      <c r="A19" s="125"/>
      <c r="B19" s="88"/>
      <c r="C19" s="85" t="s">
        <v>76</v>
      </c>
      <c r="D19" s="86"/>
      <c r="E19" s="83">
        <f t="shared" si="0"/>
        <v>324</v>
      </c>
      <c r="F19" s="83">
        <v>0</v>
      </c>
      <c r="G19" s="83">
        <v>0</v>
      </c>
      <c r="H19" s="83">
        <v>0</v>
      </c>
      <c r="I19" s="83">
        <v>0</v>
      </c>
      <c r="J19" s="83">
        <v>0</v>
      </c>
      <c r="K19" s="83">
        <v>2</v>
      </c>
      <c r="L19" s="83">
        <v>0</v>
      </c>
      <c r="M19" s="83">
        <v>9</v>
      </c>
      <c r="N19" s="83">
        <v>3</v>
      </c>
      <c r="O19" s="83">
        <v>0</v>
      </c>
      <c r="P19" s="83">
        <v>1</v>
      </c>
      <c r="Q19" s="83">
        <v>1</v>
      </c>
      <c r="R19" s="83">
        <v>0</v>
      </c>
      <c r="S19" s="83">
        <v>5</v>
      </c>
      <c r="T19" s="83">
        <v>7</v>
      </c>
      <c r="U19" s="83">
        <v>0</v>
      </c>
      <c r="V19" s="83">
        <v>1</v>
      </c>
      <c r="W19" s="83">
        <v>10</v>
      </c>
      <c r="X19" s="83">
        <v>0</v>
      </c>
      <c r="Y19" s="83">
        <v>4</v>
      </c>
      <c r="Z19" s="83">
        <v>4</v>
      </c>
      <c r="AA19" s="83">
        <v>5</v>
      </c>
      <c r="AB19" s="83">
        <v>5</v>
      </c>
      <c r="AC19" s="83">
        <v>0</v>
      </c>
      <c r="AD19" s="83">
        <v>1</v>
      </c>
      <c r="AE19" s="83">
        <v>2</v>
      </c>
      <c r="AF19" s="83">
        <v>15</v>
      </c>
      <c r="AG19" s="83">
        <v>4</v>
      </c>
      <c r="AH19" s="83">
        <v>2</v>
      </c>
      <c r="AI19" s="83">
        <v>45</v>
      </c>
      <c r="AJ19" s="83">
        <v>12</v>
      </c>
      <c r="AK19" s="83">
        <v>10</v>
      </c>
      <c r="AL19" s="83">
        <v>0</v>
      </c>
      <c r="AM19" s="102">
        <v>11</v>
      </c>
      <c r="AN19" s="83">
        <v>1</v>
      </c>
      <c r="AO19" s="83">
        <v>0</v>
      </c>
      <c r="AP19" s="83">
        <v>13</v>
      </c>
      <c r="AQ19" s="83">
        <v>0</v>
      </c>
      <c r="AR19" s="83">
        <v>0</v>
      </c>
      <c r="AS19" s="83">
        <v>0</v>
      </c>
      <c r="AT19" s="83">
        <v>0</v>
      </c>
      <c r="AU19" s="83">
        <v>2</v>
      </c>
      <c r="AV19" s="83">
        <v>1</v>
      </c>
      <c r="AW19" s="83">
        <v>10</v>
      </c>
      <c r="AX19" s="83">
        <v>9</v>
      </c>
      <c r="AY19" s="83">
        <v>0</v>
      </c>
      <c r="AZ19" s="83">
        <v>3</v>
      </c>
      <c r="BA19" s="83">
        <v>0</v>
      </c>
      <c r="BB19" s="83">
        <v>0</v>
      </c>
      <c r="BC19" s="83">
        <v>0</v>
      </c>
      <c r="BD19" s="83">
        <v>0</v>
      </c>
      <c r="BE19" s="83">
        <v>0</v>
      </c>
      <c r="BF19" s="83">
        <v>1</v>
      </c>
      <c r="BG19" s="83">
        <v>4</v>
      </c>
      <c r="BH19" s="83">
        <v>7</v>
      </c>
      <c r="BI19" s="83">
        <v>83</v>
      </c>
      <c r="BJ19" s="83">
        <v>0</v>
      </c>
      <c r="BK19" s="83">
        <v>10</v>
      </c>
      <c r="BL19" s="83">
        <v>3</v>
      </c>
      <c r="BM19" s="83">
        <v>2</v>
      </c>
      <c r="BN19" s="83">
        <v>0</v>
      </c>
      <c r="BO19" s="83">
        <v>0</v>
      </c>
      <c r="BP19" s="83">
        <v>0</v>
      </c>
      <c r="BQ19" s="83">
        <v>16</v>
      </c>
    </row>
    <row r="20" spans="1:69" s="34" customFormat="1" ht="21.9" customHeight="1" x14ac:dyDescent="0.25">
      <c r="A20" s="125" t="s">
        <v>255</v>
      </c>
      <c r="B20" s="88"/>
      <c r="C20" s="85" t="s">
        <v>75</v>
      </c>
      <c r="D20" s="86"/>
      <c r="E20" s="83">
        <f t="shared" si="0"/>
        <v>10261</v>
      </c>
      <c r="F20" s="83">
        <v>117</v>
      </c>
      <c r="G20" s="83">
        <v>129</v>
      </c>
      <c r="H20" s="83">
        <v>25</v>
      </c>
      <c r="I20" s="83">
        <v>4</v>
      </c>
      <c r="J20" s="83">
        <v>21</v>
      </c>
      <c r="K20" s="83">
        <v>47</v>
      </c>
      <c r="L20" s="83">
        <v>32</v>
      </c>
      <c r="M20" s="83">
        <v>1289</v>
      </c>
      <c r="N20" s="83">
        <v>173</v>
      </c>
      <c r="O20" s="83">
        <v>20</v>
      </c>
      <c r="P20" s="83">
        <v>80</v>
      </c>
      <c r="Q20" s="83">
        <v>40</v>
      </c>
      <c r="R20" s="83">
        <v>0</v>
      </c>
      <c r="S20" s="83">
        <v>246</v>
      </c>
      <c r="T20" s="83">
        <v>189</v>
      </c>
      <c r="U20" s="83">
        <v>27</v>
      </c>
      <c r="V20" s="83">
        <v>145</v>
      </c>
      <c r="W20" s="83">
        <v>282</v>
      </c>
      <c r="X20" s="83">
        <v>151</v>
      </c>
      <c r="Y20" s="83">
        <v>113</v>
      </c>
      <c r="Z20" s="83">
        <v>53</v>
      </c>
      <c r="AA20" s="83">
        <v>288</v>
      </c>
      <c r="AB20" s="83">
        <v>88</v>
      </c>
      <c r="AC20" s="83">
        <v>24</v>
      </c>
      <c r="AD20" s="83">
        <v>25</v>
      </c>
      <c r="AE20" s="83">
        <v>235</v>
      </c>
      <c r="AF20" s="83">
        <v>1256</v>
      </c>
      <c r="AG20" s="83">
        <v>166</v>
      </c>
      <c r="AH20" s="83">
        <v>151</v>
      </c>
      <c r="AI20" s="83">
        <v>600</v>
      </c>
      <c r="AJ20" s="83">
        <v>134</v>
      </c>
      <c r="AK20" s="83">
        <v>207</v>
      </c>
      <c r="AL20" s="83">
        <v>4</v>
      </c>
      <c r="AM20" s="102">
        <v>119</v>
      </c>
      <c r="AN20" s="83">
        <v>25</v>
      </c>
      <c r="AO20" s="83">
        <v>12</v>
      </c>
      <c r="AP20" s="83">
        <v>152</v>
      </c>
      <c r="AQ20" s="83">
        <v>50</v>
      </c>
      <c r="AR20" s="83">
        <v>23</v>
      </c>
      <c r="AS20" s="83">
        <v>1</v>
      </c>
      <c r="AT20" s="83">
        <v>66</v>
      </c>
      <c r="AU20" s="83">
        <v>34</v>
      </c>
      <c r="AV20" s="83">
        <v>31</v>
      </c>
      <c r="AW20" s="83">
        <v>576</v>
      </c>
      <c r="AX20" s="83">
        <v>436</v>
      </c>
      <c r="AY20" s="83">
        <v>76</v>
      </c>
      <c r="AZ20" s="83">
        <v>595</v>
      </c>
      <c r="BA20" s="83">
        <v>287</v>
      </c>
      <c r="BB20" s="83">
        <v>4</v>
      </c>
      <c r="BC20" s="83">
        <v>0</v>
      </c>
      <c r="BD20" s="83">
        <v>0</v>
      </c>
      <c r="BE20" s="83">
        <v>10</v>
      </c>
      <c r="BF20" s="83">
        <v>82</v>
      </c>
      <c r="BG20" s="83">
        <v>76</v>
      </c>
      <c r="BH20" s="83">
        <v>150</v>
      </c>
      <c r="BI20" s="83">
        <v>554</v>
      </c>
      <c r="BJ20" s="83">
        <v>30</v>
      </c>
      <c r="BK20" s="83">
        <v>162</v>
      </c>
      <c r="BL20" s="83">
        <v>81</v>
      </c>
      <c r="BM20" s="83">
        <v>102</v>
      </c>
      <c r="BN20" s="83">
        <v>73</v>
      </c>
      <c r="BO20" s="83">
        <v>3</v>
      </c>
      <c r="BP20" s="83">
        <v>1</v>
      </c>
      <c r="BQ20" s="83">
        <v>89</v>
      </c>
    </row>
    <row r="21" spans="1:69" s="34" customFormat="1" ht="21.9" customHeight="1" x14ac:dyDescent="0.25">
      <c r="A21" s="125"/>
      <c r="B21" s="88"/>
      <c r="C21" s="85" t="s">
        <v>76</v>
      </c>
      <c r="D21" s="86"/>
      <c r="E21" s="83">
        <f t="shared" si="0"/>
        <v>412</v>
      </c>
      <c r="F21" s="83">
        <v>0</v>
      </c>
      <c r="G21" s="83">
        <v>0</v>
      </c>
      <c r="H21" s="83">
        <v>0</v>
      </c>
      <c r="I21" s="83">
        <v>0</v>
      </c>
      <c r="J21" s="83">
        <v>2</v>
      </c>
      <c r="K21" s="83">
        <v>2</v>
      </c>
      <c r="L21" s="83">
        <v>0</v>
      </c>
      <c r="M21" s="83">
        <v>7</v>
      </c>
      <c r="N21" s="83">
        <v>3</v>
      </c>
      <c r="O21" s="83">
        <v>1</v>
      </c>
      <c r="P21" s="83">
        <v>5</v>
      </c>
      <c r="Q21" s="83">
        <v>2</v>
      </c>
      <c r="R21" s="83">
        <v>0</v>
      </c>
      <c r="S21" s="83">
        <v>9</v>
      </c>
      <c r="T21" s="83">
        <v>7</v>
      </c>
      <c r="U21" s="83">
        <v>0</v>
      </c>
      <c r="V21" s="83">
        <v>11</v>
      </c>
      <c r="W21" s="83">
        <v>13</v>
      </c>
      <c r="X21" s="83">
        <v>3</v>
      </c>
      <c r="Y21" s="83">
        <v>5</v>
      </c>
      <c r="Z21" s="83">
        <v>3</v>
      </c>
      <c r="AA21" s="83">
        <v>15</v>
      </c>
      <c r="AB21" s="83">
        <v>3</v>
      </c>
      <c r="AC21" s="83">
        <v>0</v>
      </c>
      <c r="AD21" s="83">
        <v>4</v>
      </c>
      <c r="AE21" s="83">
        <v>6</v>
      </c>
      <c r="AF21" s="83">
        <v>32</v>
      </c>
      <c r="AG21" s="83">
        <v>11</v>
      </c>
      <c r="AH21" s="83">
        <v>4</v>
      </c>
      <c r="AI21" s="83">
        <v>35</v>
      </c>
      <c r="AJ21" s="83">
        <v>10</v>
      </c>
      <c r="AK21" s="83">
        <v>22</v>
      </c>
      <c r="AL21" s="83">
        <v>0</v>
      </c>
      <c r="AM21" s="102">
        <v>8</v>
      </c>
      <c r="AN21" s="83">
        <v>3</v>
      </c>
      <c r="AO21" s="83">
        <v>2</v>
      </c>
      <c r="AP21" s="83">
        <v>7</v>
      </c>
      <c r="AQ21" s="83">
        <v>0</v>
      </c>
      <c r="AR21" s="83">
        <v>0</v>
      </c>
      <c r="AS21" s="83">
        <v>0</v>
      </c>
      <c r="AT21" s="83">
        <v>10</v>
      </c>
      <c r="AU21" s="83">
        <v>5</v>
      </c>
      <c r="AV21" s="83">
        <v>3</v>
      </c>
      <c r="AW21" s="83">
        <v>24</v>
      </c>
      <c r="AX21" s="83">
        <v>5</v>
      </c>
      <c r="AY21" s="83">
        <v>2</v>
      </c>
      <c r="AZ21" s="83">
        <v>16</v>
      </c>
      <c r="BA21" s="83">
        <v>23</v>
      </c>
      <c r="BB21" s="83">
        <v>2</v>
      </c>
      <c r="BC21" s="83">
        <v>0</v>
      </c>
      <c r="BD21" s="83">
        <v>0</v>
      </c>
      <c r="BE21" s="83">
        <v>0</v>
      </c>
      <c r="BF21" s="83">
        <v>3</v>
      </c>
      <c r="BG21" s="83">
        <v>10</v>
      </c>
      <c r="BH21" s="83">
        <v>10</v>
      </c>
      <c r="BI21" s="83">
        <v>37</v>
      </c>
      <c r="BJ21" s="83">
        <v>0</v>
      </c>
      <c r="BK21" s="83">
        <v>7</v>
      </c>
      <c r="BL21" s="83">
        <v>3</v>
      </c>
      <c r="BM21" s="83">
        <v>0</v>
      </c>
      <c r="BN21" s="83">
        <v>1</v>
      </c>
      <c r="BO21" s="83">
        <v>0</v>
      </c>
      <c r="BP21" s="83">
        <v>0</v>
      </c>
      <c r="BQ21" s="83">
        <v>16</v>
      </c>
    </row>
    <row r="22" spans="1:69" s="34" customFormat="1" ht="21.9" customHeight="1" x14ac:dyDescent="0.25">
      <c r="A22" s="125" t="s">
        <v>339</v>
      </c>
      <c r="B22" s="88"/>
      <c r="C22" s="85" t="s">
        <v>75</v>
      </c>
      <c r="D22" s="86"/>
      <c r="E22" s="83">
        <f t="shared" si="0"/>
        <v>43636</v>
      </c>
      <c r="F22" s="83">
        <v>1036</v>
      </c>
      <c r="G22" s="83">
        <v>471</v>
      </c>
      <c r="H22" s="83">
        <v>256</v>
      </c>
      <c r="I22" s="83">
        <v>18</v>
      </c>
      <c r="J22" s="83">
        <v>291</v>
      </c>
      <c r="K22" s="83">
        <v>290</v>
      </c>
      <c r="L22" s="83">
        <v>143</v>
      </c>
      <c r="M22" s="83">
        <v>2332</v>
      </c>
      <c r="N22" s="83">
        <v>862</v>
      </c>
      <c r="O22" s="83">
        <v>78</v>
      </c>
      <c r="P22" s="83">
        <v>474</v>
      </c>
      <c r="Q22" s="83">
        <v>183</v>
      </c>
      <c r="R22" s="83">
        <v>0</v>
      </c>
      <c r="S22" s="83">
        <v>486</v>
      </c>
      <c r="T22" s="83">
        <v>565</v>
      </c>
      <c r="U22" s="83">
        <v>254</v>
      </c>
      <c r="V22" s="83">
        <v>952</v>
      </c>
      <c r="W22" s="83">
        <v>1272</v>
      </c>
      <c r="X22" s="83">
        <v>439</v>
      </c>
      <c r="Y22" s="83">
        <v>369</v>
      </c>
      <c r="Z22" s="83">
        <v>236</v>
      </c>
      <c r="AA22" s="83">
        <v>1520</v>
      </c>
      <c r="AB22" s="83">
        <v>430</v>
      </c>
      <c r="AC22" s="83">
        <v>287</v>
      </c>
      <c r="AD22" s="83">
        <v>145</v>
      </c>
      <c r="AE22" s="83">
        <v>543</v>
      </c>
      <c r="AF22" s="83">
        <v>4355</v>
      </c>
      <c r="AG22" s="83">
        <v>1262</v>
      </c>
      <c r="AH22" s="83">
        <v>967</v>
      </c>
      <c r="AI22" s="83">
        <v>1757</v>
      </c>
      <c r="AJ22" s="83">
        <v>188</v>
      </c>
      <c r="AK22" s="83">
        <v>694</v>
      </c>
      <c r="AL22" s="83">
        <v>84</v>
      </c>
      <c r="AM22" s="102">
        <v>333</v>
      </c>
      <c r="AN22" s="83">
        <v>80</v>
      </c>
      <c r="AO22" s="83">
        <v>30</v>
      </c>
      <c r="AP22" s="83">
        <v>479</v>
      </c>
      <c r="AQ22" s="83">
        <v>7</v>
      </c>
      <c r="AR22" s="83">
        <v>2</v>
      </c>
      <c r="AS22" s="83">
        <v>99</v>
      </c>
      <c r="AT22" s="83">
        <v>227</v>
      </c>
      <c r="AU22" s="83">
        <v>150</v>
      </c>
      <c r="AV22" s="83">
        <v>398</v>
      </c>
      <c r="AW22" s="83">
        <v>3878</v>
      </c>
      <c r="AX22" s="83">
        <v>1356</v>
      </c>
      <c r="AY22" s="83">
        <v>165</v>
      </c>
      <c r="AZ22" s="83">
        <v>2193</v>
      </c>
      <c r="BA22" s="83">
        <v>155</v>
      </c>
      <c r="BB22" s="83">
        <v>7</v>
      </c>
      <c r="BC22" s="83">
        <v>50</v>
      </c>
      <c r="BD22" s="83">
        <v>115</v>
      </c>
      <c r="BE22" s="83">
        <v>52</v>
      </c>
      <c r="BF22" s="83">
        <v>1539</v>
      </c>
      <c r="BG22" s="83">
        <v>1219</v>
      </c>
      <c r="BH22" s="83">
        <v>1568</v>
      </c>
      <c r="BI22" s="83">
        <v>1709</v>
      </c>
      <c r="BJ22" s="83">
        <v>551</v>
      </c>
      <c r="BK22" s="83">
        <v>1196</v>
      </c>
      <c r="BL22" s="83">
        <v>884</v>
      </c>
      <c r="BM22" s="83">
        <v>458</v>
      </c>
      <c r="BN22" s="83">
        <v>246</v>
      </c>
      <c r="BO22" s="83">
        <v>67</v>
      </c>
      <c r="BP22" s="83">
        <v>0</v>
      </c>
      <c r="BQ22" s="83">
        <v>1184</v>
      </c>
    </row>
    <row r="23" spans="1:69" s="34" customFormat="1" ht="21.9" customHeight="1" x14ac:dyDescent="0.25">
      <c r="A23" s="125"/>
      <c r="B23" s="88"/>
      <c r="C23" s="85" t="s">
        <v>76</v>
      </c>
      <c r="D23" s="86"/>
      <c r="E23" s="83">
        <f t="shared" si="0"/>
        <v>1912</v>
      </c>
      <c r="F23" s="83">
        <v>0</v>
      </c>
      <c r="G23" s="83">
        <v>1</v>
      </c>
      <c r="H23" s="83">
        <v>0</v>
      </c>
      <c r="I23" s="83">
        <v>0</v>
      </c>
      <c r="J23" s="83">
        <v>1</v>
      </c>
      <c r="K23" s="83">
        <v>4</v>
      </c>
      <c r="L23" s="83">
        <v>1</v>
      </c>
      <c r="M23" s="83">
        <v>7</v>
      </c>
      <c r="N23" s="83">
        <v>7</v>
      </c>
      <c r="O23" s="83">
        <v>4</v>
      </c>
      <c r="P23" s="83">
        <v>3</v>
      </c>
      <c r="Q23" s="83">
        <v>7</v>
      </c>
      <c r="R23" s="83">
        <v>0</v>
      </c>
      <c r="S23" s="83">
        <v>7</v>
      </c>
      <c r="T23" s="83">
        <v>40</v>
      </c>
      <c r="U23" s="83">
        <v>11</v>
      </c>
      <c r="V23" s="83">
        <v>6</v>
      </c>
      <c r="W23" s="83">
        <v>27</v>
      </c>
      <c r="X23" s="83">
        <v>0</v>
      </c>
      <c r="Y23" s="83">
        <v>7</v>
      </c>
      <c r="Z23" s="83">
        <v>5</v>
      </c>
      <c r="AA23" s="83">
        <v>16</v>
      </c>
      <c r="AB23" s="83">
        <v>2</v>
      </c>
      <c r="AC23" s="83">
        <v>10</v>
      </c>
      <c r="AD23" s="83">
        <v>0</v>
      </c>
      <c r="AE23" s="83">
        <v>21</v>
      </c>
      <c r="AF23" s="83">
        <v>38</v>
      </c>
      <c r="AG23" s="83">
        <v>27</v>
      </c>
      <c r="AH23" s="83">
        <v>19</v>
      </c>
      <c r="AI23" s="83">
        <v>20</v>
      </c>
      <c r="AJ23" s="83">
        <v>7</v>
      </c>
      <c r="AK23" s="83">
        <v>21</v>
      </c>
      <c r="AL23" s="83">
        <v>0</v>
      </c>
      <c r="AM23" s="102">
        <v>9</v>
      </c>
      <c r="AN23" s="83">
        <v>1</v>
      </c>
      <c r="AO23" s="83">
        <v>0</v>
      </c>
      <c r="AP23" s="83">
        <v>15</v>
      </c>
      <c r="AQ23" s="83">
        <v>0</v>
      </c>
      <c r="AR23" s="83">
        <v>0</v>
      </c>
      <c r="AS23" s="83">
        <v>0</v>
      </c>
      <c r="AT23" s="83">
        <v>14</v>
      </c>
      <c r="AU23" s="83">
        <v>0</v>
      </c>
      <c r="AV23" s="83">
        <v>0</v>
      </c>
      <c r="AW23" s="83">
        <v>38</v>
      </c>
      <c r="AX23" s="83">
        <v>2</v>
      </c>
      <c r="AY23" s="83">
        <v>0</v>
      </c>
      <c r="AZ23" s="83">
        <v>6</v>
      </c>
      <c r="BA23" s="83">
        <v>2</v>
      </c>
      <c r="BB23" s="83">
        <v>0</v>
      </c>
      <c r="BC23" s="83">
        <v>1</v>
      </c>
      <c r="BD23" s="83">
        <v>3</v>
      </c>
      <c r="BE23" s="83">
        <v>3</v>
      </c>
      <c r="BF23" s="83">
        <v>2</v>
      </c>
      <c r="BG23" s="83">
        <v>16</v>
      </c>
      <c r="BH23" s="83">
        <v>26</v>
      </c>
      <c r="BI23" s="83">
        <v>1259</v>
      </c>
      <c r="BJ23" s="83">
        <v>68</v>
      </c>
      <c r="BK23" s="83">
        <v>41</v>
      </c>
      <c r="BL23" s="83">
        <v>14</v>
      </c>
      <c r="BM23" s="83">
        <v>8</v>
      </c>
      <c r="BN23" s="83">
        <v>0</v>
      </c>
      <c r="BO23" s="83">
        <v>0</v>
      </c>
      <c r="BP23" s="83">
        <v>0</v>
      </c>
      <c r="BQ23" s="83">
        <v>65</v>
      </c>
    </row>
    <row r="24" spans="1:69" s="34" customFormat="1" ht="21.9" customHeight="1" x14ac:dyDescent="0.25">
      <c r="A24" s="125" t="s">
        <v>340</v>
      </c>
      <c r="B24" s="88"/>
      <c r="C24" s="85" t="s">
        <v>212</v>
      </c>
      <c r="D24" s="86"/>
      <c r="E24" s="83">
        <f t="shared" si="0"/>
        <v>15731</v>
      </c>
      <c r="F24" s="83">
        <v>266</v>
      </c>
      <c r="G24" s="83">
        <v>119</v>
      </c>
      <c r="H24" s="83">
        <v>25</v>
      </c>
      <c r="I24" s="83">
        <v>0</v>
      </c>
      <c r="J24" s="83">
        <v>32</v>
      </c>
      <c r="K24" s="83">
        <v>38</v>
      </c>
      <c r="L24" s="83">
        <v>68</v>
      </c>
      <c r="M24" s="83">
        <v>705</v>
      </c>
      <c r="N24" s="83">
        <v>78</v>
      </c>
      <c r="O24" s="83">
        <v>9</v>
      </c>
      <c r="P24" s="83">
        <v>90</v>
      </c>
      <c r="Q24" s="83">
        <v>51</v>
      </c>
      <c r="R24" s="83">
        <v>9</v>
      </c>
      <c r="S24" s="83">
        <v>193</v>
      </c>
      <c r="T24" s="83">
        <v>226</v>
      </c>
      <c r="U24" s="83">
        <v>104</v>
      </c>
      <c r="V24" s="83">
        <v>228</v>
      </c>
      <c r="W24" s="83">
        <v>548</v>
      </c>
      <c r="X24" s="83">
        <v>256</v>
      </c>
      <c r="Y24" s="83">
        <v>77</v>
      </c>
      <c r="Z24" s="83">
        <v>62</v>
      </c>
      <c r="AA24" s="83">
        <v>713</v>
      </c>
      <c r="AB24" s="83">
        <v>209</v>
      </c>
      <c r="AC24" s="83">
        <v>50</v>
      </c>
      <c r="AD24" s="83">
        <v>31</v>
      </c>
      <c r="AE24" s="83">
        <v>189</v>
      </c>
      <c r="AF24" s="83">
        <v>2311</v>
      </c>
      <c r="AG24" s="83">
        <v>609</v>
      </c>
      <c r="AH24" s="83">
        <v>168</v>
      </c>
      <c r="AI24" s="83">
        <v>2117</v>
      </c>
      <c r="AJ24" s="83">
        <v>126</v>
      </c>
      <c r="AK24" s="83">
        <v>254</v>
      </c>
      <c r="AL24" s="83">
        <v>3</v>
      </c>
      <c r="AM24" s="102">
        <v>120</v>
      </c>
      <c r="AN24" s="83">
        <v>82</v>
      </c>
      <c r="AO24" s="83">
        <v>9</v>
      </c>
      <c r="AP24" s="83">
        <v>631</v>
      </c>
      <c r="AQ24" s="83">
        <v>51</v>
      </c>
      <c r="AR24" s="83">
        <v>21</v>
      </c>
      <c r="AS24" s="83">
        <v>97</v>
      </c>
      <c r="AT24" s="83">
        <v>46</v>
      </c>
      <c r="AU24" s="83">
        <v>31</v>
      </c>
      <c r="AV24" s="83">
        <v>101</v>
      </c>
      <c r="AW24" s="83">
        <v>1655</v>
      </c>
      <c r="AX24" s="83">
        <v>114</v>
      </c>
      <c r="AY24" s="83">
        <v>44</v>
      </c>
      <c r="AZ24" s="83">
        <v>598</v>
      </c>
      <c r="BA24" s="83">
        <v>196</v>
      </c>
      <c r="BB24" s="83">
        <v>18</v>
      </c>
      <c r="BC24" s="83">
        <v>0</v>
      </c>
      <c r="BD24" s="83">
        <v>0</v>
      </c>
      <c r="BE24" s="83">
        <v>2</v>
      </c>
      <c r="BF24" s="83">
        <v>230</v>
      </c>
      <c r="BG24" s="83">
        <v>182</v>
      </c>
      <c r="BH24" s="83">
        <v>483</v>
      </c>
      <c r="BI24" s="83">
        <v>303</v>
      </c>
      <c r="BJ24" s="83">
        <v>113</v>
      </c>
      <c r="BK24" s="83">
        <v>264</v>
      </c>
      <c r="BL24" s="83">
        <v>109</v>
      </c>
      <c r="BM24" s="83">
        <v>68</v>
      </c>
      <c r="BN24" s="83">
        <v>126</v>
      </c>
      <c r="BO24" s="83">
        <v>1</v>
      </c>
      <c r="BP24" s="83">
        <v>3</v>
      </c>
      <c r="BQ24" s="83">
        <v>69</v>
      </c>
    </row>
    <row r="25" spans="1:69" s="34" customFormat="1" ht="21.9" customHeight="1" x14ac:dyDescent="0.25">
      <c r="A25" s="125"/>
      <c r="B25" s="88"/>
      <c r="C25" s="85" t="s">
        <v>76</v>
      </c>
      <c r="D25" s="86"/>
      <c r="E25" s="83">
        <f t="shared" si="0"/>
        <v>279</v>
      </c>
      <c r="F25" s="87">
        <v>1</v>
      </c>
      <c r="G25" s="87">
        <v>0</v>
      </c>
      <c r="H25" s="87">
        <v>0</v>
      </c>
      <c r="I25" s="87">
        <v>0</v>
      </c>
      <c r="J25" s="87">
        <v>0</v>
      </c>
      <c r="K25" s="87">
        <v>4</v>
      </c>
      <c r="L25" s="87">
        <v>0</v>
      </c>
      <c r="M25" s="87">
        <v>3</v>
      </c>
      <c r="N25" s="87">
        <v>3</v>
      </c>
      <c r="O25" s="87">
        <v>0</v>
      </c>
      <c r="P25" s="87">
        <v>5</v>
      </c>
      <c r="Q25" s="87">
        <v>1</v>
      </c>
      <c r="R25" s="87">
        <v>0</v>
      </c>
      <c r="S25" s="87">
        <v>5</v>
      </c>
      <c r="T25" s="87">
        <v>1</v>
      </c>
      <c r="U25" s="87">
        <v>0</v>
      </c>
      <c r="V25" s="83">
        <v>6</v>
      </c>
      <c r="W25" s="83">
        <v>12</v>
      </c>
      <c r="X25" s="83">
        <v>1</v>
      </c>
      <c r="Y25" s="83">
        <v>3</v>
      </c>
      <c r="Z25" s="83">
        <v>0</v>
      </c>
      <c r="AA25" s="83">
        <v>0</v>
      </c>
      <c r="AB25" s="83">
        <v>9</v>
      </c>
      <c r="AC25" s="83">
        <v>0</v>
      </c>
      <c r="AD25" s="83">
        <v>1</v>
      </c>
      <c r="AE25" s="83">
        <v>4</v>
      </c>
      <c r="AF25" s="83">
        <v>32</v>
      </c>
      <c r="AG25" s="83">
        <v>17</v>
      </c>
      <c r="AH25" s="83">
        <v>1</v>
      </c>
      <c r="AI25" s="83">
        <v>33</v>
      </c>
      <c r="AJ25" s="83">
        <v>12</v>
      </c>
      <c r="AK25" s="83">
        <v>1</v>
      </c>
      <c r="AL25" s="83">
        <v>0</v>
      </c>
      <c r="AM25" s="102">
        <v>1</v>
      </c>
      <c r="AN25" s="83">
        <v>0</v>
      </c>
      <c r="AO25" s="83">
        <v>1</v>
      </c>
      <c r="AP25" s="83">
        <v>11</v>
      </c>
      <c r="AQ25" s="87">
        <v>0</v>
      </c>
      <c r="AR25" s="87">
        <v>0</v>
      </c>
      <c r="AS25" s="87">
        <v>0</v>
      </c>
      <c r="AT25" s="87">
        <v>2</v>
      </c>
      <c r="AU25" s="87">
        <v>3</v>
      </c>
      <c r="AV25" s="87">
        <v>0</v>
      </c>
      <c r="AW25" s="87">
        <v>8</v>
      </c>
      <c r="AX25" s="87">
        <v>6</v>
      </c>
      <c r="AY25" s="87">
        <v>0</v>
      </c>
      <c r="AZ25" s="87">
        <v>0</v>
      </c>
      <c r="BA25" s="83">
        <v>3</v>
      </c>
      <c r="BB25" s="83">
        <v>5</v>
      </c>
      <c r="BC25" s="83">
        <v>0</v>
      </c>
      <c r="BD25" s="83">
        <v>0</v>
      </c>
      <c r="BE25" s="83">
        <v>0</v>
      </c>
      <c r="BF25" s="83">
        <v>1</v>
      </c>
      <c r="BG25" s="83">
        <v>0</v>
      </c>
      <c r="BH25" s="83">
        <v>24</v>
      </c>
      <c r="BI25" s="83">
        <v>44</v>
      </c>
      <c r="BJ25" s="83">
        <v>0</v>
      </c>
      <c r="BK25" s="83">
        <v>11</v>
      </c>
      <c r="BL25" s="83">
        <v>0</v>
      </c>
      <c r="BM25" s="83">
        <v>2</v>
      </c>
      <c r="BN25" s="83">
        <v>0</v>
      </c>
      <c r="BO25" s="83">
        <v>0</v>
      </c>
      <c r="BP25" s="83">
        <v>0</v>
      </c>
      <c r="BQ25" s="83">
        <v>2</v>
      </c>
    </row>
    <row r="26" spans="1:69" s="34" customFormat="1" ht="21.9" customHeight="1" x14ac:dyDescent="0.25">
      <c r="A26" s="125" t="s">
        <v>81</v>
      </c>
      <c r="C26" s="85" t="s">
        <v>75</v>
      </c>
      <c r="D26" s="86"/>
      <c r="E26" s="83">
        <f>SUM(F26:BQ26)</f>
        <v>21873</v>
      </c>
      <c r="F26" s="83">
        <v>285</v>
      </c>
      <c r="G26" s="83">
        <v>266</v>
      </c>
      <c r="H26" s="83">
        <v>59</v>
      </c>
      <c r="I26" s="83">
        <v>10</v>
      </c>
      <c r="J26" s="83">
        <v>201</v>
      </c>
      <c r="K26" s="83">
        <v>164</v>
      </c>
      <c r="L26" s="83">
        <v>63</v>
      </c>
      <c r="M26" s="83">
        <v>793</v>
      </c>
      <c r="N26" s="83">
        <v>197</v>
      </c>
      <c r="O26" s="83">
        <v>203</v>
      </c>
      <c r="P26" s="83">
        <v>150</v>
      </c>
      <c r="Q26" s="83">
        <v>80</v>
      </c>
      <c r="R26" s="83">
        <v>0</v>
      </c>
      <c r="S26" s="83">
        <v>225</v>
      </c>
      <c r="T26" s="83">
        <v>170</v>
      </c>
      <c r="U26" s="83">
        <v>491</v>
      </c>
      <c r="V26" s="83">
        <v>421</v>
      </c>
      <c r="W26" s="83">
        <v>571</v>
      </c>
      <c r="X26" s="83">
        <v>135</v>
      </c>
      <c r="Y26" s="83">
        <v>98</v>
      </c>
      <c r="Z26" s="83">
        <v>146</v>
      </c>
      <c r="AA26" s="83">
        <v>934</v>
      </c>
      <c r="AB26" s="83">
        <v>174</v>
      </c>
      <c r="AC26" s="83">
        <v>75</v>
      </c>
      <c r="AD26" s="83">
        <v>93</v>
      </c>
      <c r="AE26" s="83">
        <v>238</v>
      </c>
      <c r="AF26" s="83">
        <v>1280</v>
      </c>
      <c r="AG26" s="83">
        <v>296</v>
      </c>
      <c r="AH26" s="83">
        <v>227</v>
      </c>
      <c r="AI26" s="83">
        <v>1328</v>
      </c>
      <c r="AJ26" s="83">
        <v>333</v>
      </c>
      <c r="AK26" s="83">
        <v>399</v>
      </c>
      <c r="AL26" s="83">
        <v>4</v>
      </c>
      <c r="AM26" s="102">
        <v>126</v>
      </c>
      <c r="AN26" s="83">
        <v>363</v>
      </c>
      <c r="AO26" s="83">
        <v>243</v>
      </c>
      <c r="AP26" s="83">
        <v>100</v>
      </c>
      <c r="AQ26" s="83">
        <v>88</v>
      </c>
      <c r="AR26" s="83">
        <v>70</v>
      </c>
      <c r="AS26" s="83">
        <v>96</v>
      </c>
      <c r="AT26" s="83">
        <v>139</v>
      </c>
      <c r="AU26" s="83">
        <v>48</v>
      </c>
      <c r="AV26" s="83">
        <v>118</v>
      </c>
      <c r="AW26" s="83">
        <v>1790</v>
      </c>
      <c r="AX26" s="83">
        <v>129</v>
      </c>
      <c r="AY26" s="83">
        <v>138</v>
      </c>
      <c r="AZ26" s="83">
        <v>4637</v>
      </c>
      <c r="BA26" s="83">
        <v>236</v>
      </c>
      <c r="BB26" s="83">
        <v>12</v>
      </c>
      <c r="BC26" s="83">
        <v>158</v>
      </c>
      <c r="BD26" s="83">
        <v>174</v>
      </c>
      <c r="BE26" s="83">
        <v>45</v>
      </c>
      <c r="BF26" s="83">
        <v>126</v>
      </c>
      <c r="BG26" s="83">
        <v>119</v>
      </c>
      <c r="BH26" s="83">
        <v>370</v>
      </c>
      <c r="BI26" s="83">
        <v>243</v>
      </c>
      <c r="BJ26" s="83">
        <v>292</v>
      </c>
      <c r="BK26" s="83">
        <v>212</v>
      </c>
      <c r="BL26" s="83">
        <v>96</v>
      </c>
      <c r="BM26" s="83">
        <v>643</v>
      </c>
      <c r="BN26" s="83">
        <v>198</v>
      </c>
      <c r="BO26" s="83">
        <v>590</v>
      </c>
      <c r="BP26" s="83">
        <v>27</v>
      </c>
      <c r="BQ26" s="83">
        <v>138</v>
      </c>
    </row>
    <row r="27" spans="1:69" s="34" customFormat="1" ht="21.9" customHeight="1" x14ac:dyDescent="0.25">
      <c r="A27" s="125"/>
      <c r="C27" s="85" t="s">
        <v>76</v>
      </c>
      <c r="D27" s="86"/>
      <c r="E27" s="83">
        <f>SUM(F27:BQ27)</f>
        <v>476</v>
      </c>
      <c r="F27" s="87">
        <v>0</v>
      </c>
      <c r="G27" s="87">
        <v>3</v>
      </c>
      <c r="H27" s="87">
        <v>0</v>
      </c>
      <c r="I27" s="87">
        <v>0</v>
      </c>
      <c r="J27" s="87">
        <v>0</v>
      </c>
      <c r="K27" s="87">
        <v>6</v>
      </c>
      <c r="L27" s="87">
        <v>0</v>
      </c>
      <c r="M27" s="87">
        <v>15</v>
      </c>
      <c r="N27" s="87">
        <v>10</v>
      </c>
      <c r="O27" s="87">
        <v>0</v>
      </c>
      <c r="P27" s="87">
        <v>0</v>
      </c>
      <c r="Q27" s="87">
        <v>5</v>
      </c>
      <c r="R27" s="87">
        <v>0</v>
      </c>
      <c r="S27" s="87">
        <v>11</v>
      </c>
      <c r="T27" s="87">
        <v>20</v>
      </c>
      <c r="U27" s="87">
        <v>0</v>
      </c>
      <c r="V27" s="83">
        <v>8</v>
      </c>
      <c r="W27" s="83">
        <v>13</v>
      </c>
      <c r="X27" s="83">
        <v>3</v>
      </c>
      <c r="Y27" s="83">
        <v>4</v>
      </c>
      <c r="Z27" s="83">
        <v>3</v>
      </c>
      <c r="AA27" s="83">
        <v>4</v>
      </c>
      <c r="AB27" s="83">
        <v>19</v>
      </c>
      <c r="AC27" s="83">
        <v>0</v>
      </c>
      <c r="AD27" s="83">
        <v>2</v>
      </c>
      <c r="AE27" s="83">
        <v>10</v>
      </c>
      <c r="AF27" s="83">
        <v>25</v>
      </c>
      <c r="AG27" s="83">
        <v>8</v>
      </c>
      <c r="AH27" s="83">
        <v>3</v>
      </c>
      <c r="AI27" s="83">
        <v>17</v>
      </c>
      <c r="AJ27" s="83">
        <v>2</v>
      </c>
      <c r="AK27" s="83">
        <v>10</v>
      </c>
      <c r="AL27" s="83">
        <v>0</v>
      </c>
      <c r="AM27" s="102">
        <v>6</v>
      </c>
      <c r="AN27" s="83">
        <v>0</v>
      </c>
      <c r="AO27" s="83">
        <v>0</v>
      </c>
      <c r="AP27" s="83">
        <v>5</v>
      </c>
      <c r="AQ27" s="87">
        <v>0</v>
      </c>
      <c r="AR27" s="87">
        <v>0</v>
      </c>
      <c r="AS27" s="87">
        <v>0</v>
      </c>
      <c r="AT27" s="87">
        <v>24</v>
      </c>
      <c r="AU27" s="87">
        <v>0</v>
      </c>
      <c r="AV27" s="87">
        <v>1</v>
      </c>
      <c r="AW27" s="87">
        <v>28</v>
      </c>
      <c r="AX27" s="87">
        <v>17</v>
      </c>
      <c r="AY27" s="87">
        <v>0</v>
      </c>
      <c r="AZ27" s="87">
        <v>5</v>
      </c>
      <c r="BA27" s="83">
        <v>33</v>
      </c>
      <c r="BB27" s="83">
        <v>1</v>
      </c>
      <c r="BC27" s="83">
        <v>0</v>
      </c>
      <c r="BD27" s="83">
        <v>0</v>
      </c>
      <c r="BE27" s="83">
        <v>0</v>
      </c>
      <c r="BF27" s="83">
        <v>4</v>
      </c>
      <c r="BG27" s="83">
        <v>16</v>
      </c>
      <c r="BH27" s="83">
        <v>79</v>
      </c>
      <c r="BI27" s="83">
        <v>6</v>
      </c>
      <c r="BJ27" s="83">
        <v>2</v>
      </c>
      <c r="BK27" s="83">
        <v>8</v>
      </c>
      <c r="BL27" s="83">
        <v>3</v>
      </c>
      <c r="BM27" s="83">
        <v>11</v>
      </c>
      <c r="BN27" s="83">
        <v>6</v>
      </c>
      <c r="BO27" s="83">
        <v>0</v>
      </c>
      <c r="BP27" s="83">
        <v>0</v>
      </c>
      <c r="BQ27" s="83">
        <v>20</v>
      </c>
    </row>
    <row r="28" spans="1:69" s="34" customFormat="1" ht="21.9" customHeight="1" x14ac:dyDescent="0.25">
      <c r="A28" s="202" t="s">
        <v>82</v>
      </c>
      <c r="B28" s="88"/>
      <c r="C28" s="85" t="s">
        <v>75</v>
      </c>
      <c r="D28" s="86"/>
      <c r="E28" s="83">
        <f t="shared" si="0"/>
        <v>13617</v>
      </c>
      <c r="F28" s="83">
        <v>391</v>
      </c>
      <c r="G28" s="83">
        <v>252</v>
      </c>
      <c r="H28" s="83">
        <v>26</v>
      </c>
      <c r="I28" s="83">
        <v>0</v>
      </c>
      <c r="J28" s="83">
        <v>118</v>
      </c>
      <c r="K28" s="83">
        <v>51</v>
      </c>
      <c r="L28" s="83">
        <v>125</v>
      </c>
      <c r="M28" s="83">
        <v>614</v>
      </c>
      <c r="N28" s="83">
        <v>174</v>
      </c>
      <c r="O28" s="83">
        <v>92</v>
      </c>
      <c r="P28" s="83">
        <v>164</v>
      </c>
      <c r="Q28" s="83">
        <v>52</v>
      </c>
      <c r="R28" s="83">
        <v>0</v>
      </c>
      <c r="S28" s="83">
        <v>124</v>
      </c>
      <c r="T28" s="83">
        <v>78</v>
      </c>
      <c r="U28" s="83">
        <v>66</v>
      </c>
      <c r="V28" s="83">
        <v>177</v>
      </c>
      <c r="W28" s="83">
        <v>438</v>
      </c>
      <c r="X28" s="83">
        <v>156</v>
      </c>
      <c r="Y28" s="83">
        <v>56</v>
      </c>
      <c r="Z28" s="83">
        <v>45</v>
      </c>
      <c r="AA28" s="83">
        <v>417</v>
      </c>
      <c r="AB28" s="83">
        <v>46</v>
      </c>
      <c r="AC28" s="83">
        <v>36</v>
      </c>
      <c r="AD28" s="83">
        <v>77</v>
      </c>
      <c r="AE28" s="83">
        <v>65</v>
      </c>
      <c r="AF28" s="83">
        <v>1302</v>
      </c>
      <c r="AG28" s="83">
        <v>1160</v>
      </c>
      <c r="AH28" s="83">
        <v>112</v>
      </c>
      <c r="AI28" s="83">
        <v>1256</v>
      </c>
      <c r="AJ28" s="83">
        <v>175</v>
      </c>
      <c r="AK28" s="83">
        <v>342</v>
      </c>
      <c r="AL28" s="83">
        <v>0</v>
      </c>
      <c r="AM28" s="102">
        <v>57</v>
      </c>
      <c r="AN28" s="83">
        <v>49</v>
      </c>
      <c r="AO28" s="83">
        <v>0</v>
      </c>
      <c r="AP28" s="83">
        <v>324</v>
      </c>
      <c r="AQ28" s="83">
        <v>2</v>
      </c>
      <c r="AR28" s="83">
        <v>4</v>
      </c>
      <c r="AS28" s="83">
        <v>71</v>
      </c>
      <c r="AT28" s="83">
        <v>136</v>
      </c>
      <c r="AU28" s="83">
        <v>75</v>
      </c>
      <c r="AV28" s="83">
        <v>276</v>
      </c>
      <c r="AW28" s="83">
        <v>2054</v>
      </c>
      <c r="AX28" s="83">
        <v>249</v>
      </c>
      <c r="AY28" s="83">
        <v>9</v>
      </c>
      <c r="AZ28" s="83">
        <v>481</v>
      </c>
      <c r="BA28" s="83">
        <v>240</v>
      </c>
      <c r="BB28" s="83">
        <v>2</v>
      </c>
      <c r="BC28" s="83">
        <v>1</v>
      </c>
      <c r="BD28" s="83">
        <v>0</v>
      </c>
      <c r="BE28" s="83">
        <v>0</v>
      </c>
      <c r="BF28" s="83">
        <v>427</v>
      </c>
      <c r="BG28" s="83">
        <v>211</v>
      </c>
      <c r="BH28" s="83">
        <v>152</v>
      </c>
      <c r="BI28" s="83">
        <v>102</v>
      </c>
      <c r="BJ28" s="83">
        <v>98</v>
      </c>
      <c r="BK28" s="83">
        <v>60</v>
      </c>
      <c r="BL28" s="83">
        <v>97</v>
      </c>
      <c r="BM28" s="83">
        <v>43</v>
      </c>
      <c r="BN28" s="83">
        <v>198</v>
      </c>
      <c r="BO28" s="83">
        <v>0</v>
      </c>
      <c r="BP28" s="83">
        <v>4</v>
      </c>
      <c r="BQ28" s="83">
        <v>8</v>
      </c>
    </row>
    <row r="29" spans="1:69" s="34" customFormat="1" ht="21.9" customHeight="1" x14ac:dyDescent="0.25">
      <c r="A29" s="202"/>
      <c r="B29" s="88"/>
      <c r="C29" s="85" t="s">
        <v>76</v>
      </c>
      <c r="D29" s="86"/>
      <c r="E29" s="83">
        <f t="shared" si="0"/>
        <v>242</v>
      </c>
      <c r="F29" s="87">
        <v>0</v>
      </c>
      <c r="G29" s="87">
        <v>0</v>
      </c>
      <c r="H29" s="87">
        <v>1</v>
      </c>
      <c r="I29" s="87">
        <v>0</v>
      </c>
      <c r="J29" s="87">
        <v>0</v>
      </c>
      <c r="K29" s="87">
        <v>0</v>
      </c>
      <c r="L29" s="87">
        <v>4</v>
      </c>
      <c r="M29" s="87">
        <v>1</v>
      </c>
      <c r="N29" s="87">
        <v>7</v>
      </c>
      <c r="O29" s="87">
        <v>3</v>
      </c>
      <c r="P29" s="87">
        <v>1</v>
      </c>
      <c r="Q29" s="87">
        <v>0</v>
      </c>
      <c r="R29" s="87">
        <v>0</v>
      </c>
      <c r="S29" s="87">
        <v>2</v>
      </c>
      <c r="T29" s="87">
        <v>3</v>
      </c>
      <c r="U29" s="87">
        <v>0</v>
      </c>
      <c r="V29" s="83">
        <v>5</v>
      </c>
      <c r="W29" s="83">
        <v>6</v>
      </c>
      <c r="X29" s="83">
        <v>3</v>
      </c>
      <c r="Y29" s="83">
        <v>2</v>
      </c>
      <c r="Z29" s="83">
        <v>6</v>
      </c>
      <c r="AA29" s="83">
        <v>5</v>
      </c>
      <c r="AB29" s="83">
        <v>5</v>
      </c>
      <c r="AC29" s="83">
        <v>0</v>
      </c>
      <c r="AD29" s="83">
        <v>2</v>
      </c>
      <c r="AE29" s="83">
        <v>2</v>
      </c>
      <c r="AF29" s="83">
        <v>20</v>
      </c>
      <c r="AG29" s="83">
        <v>13</v>
      </c>
      <c r="AH29" s="83">
        <v>4</v>
      </c>
      <c r="AI29" s="83">
        <v>11</v>
      </c>
      <c r="AJ29" s="83">
        <v>7</v>
      </c>
      <c r="AK29" s="83">
        <v>3</v>
      </c>
      <c r="AL29" s="83">
        <v>0</v>
      </c>
      <c r="AM29" s="102">
        <v>3</v>
      </c>
      <c r="AN29" s="83">
        <v>0</v>
      </c>
      <c r="AO29" s="83">
        <v>0</v>
      </c>
      <c r="AP29" s="83">
        <v>11</v>
      </c>
      <c r="AQ29" s="87">
        <v>0</v>
      </c>
      <c r="AR29" s="87">
        <v>0</v>
      </c>
      <c r="AS29" s="87">
        <v>0</v>
      </c>
      <c r="AT29" s="87">
        <v>27</v>
      </c>
      <c r="AU29" s="87">
        <v>2</v>
      </c>
      <c r="AV29" s="87">
        <v>5</v>
      </c>
      <c r="AW29" s="87">
        <v>21</v>
      </c>
      <c r="AX29" s="87">
        <v>0</v>
      </c>
      <c r="AY29" s="87">
        <v>0</v>
      </c>
      <c r="AZ29" s="87">
        <v>2</v>
      </c>
      <c r="BA29" s="87">
        <v>4</v>
      </c>
      <c r="BB29" s="87">
        <v>2</v>
      </c>
      <c r="BC29" s="87">
        <v>0</v>
      </c>
      <c r="BD29" s="87">
        <v>0</v>
      </c>
      <c r="BE29" s="83">
        <v>0</v>
      </c>
      <c r="BF29" s="83">
        <v>0</v>
      </c>
      <c r="BG29" s="83">
        <v>1</v>
      </c>
      <c r="BH29" s="83">
        <v>4</v>
      </c>
      <c r="BI29" s="83">
        <v>13</v>
      </c>
      <c r="BJ29" s="83">
        <v>0</v>
      </c>
      <c r="BK29" s="83">
        <v>4</v>
      </c>
      <c r="BL29" s="83">
        <v>7</v>
      </c>
      <c r="BM29" s="83">
        <v>5</v>
      </c>
      <c r="BN29" s="83">
        <v>10</v>
      </c>
      <c r="BO29" s="83">
        <v>0</v>
      </c>
      <c r="BP29" s="83">
        <v>0</v>
      </c>
      <c r="BQ29" s="83">
        <v>5</v>
      </c>
    </row>
    <row r="30" spans="1:69" s="34" customFormat="1" ht="21.9" customHeight="1" x14ac:dyDescent="0.25">
      <c r="A30" s="202" t="s">
        <v>83</v>
      </c>
      <c r="B30" s="88"/>
      <c r="C30" s="85" t="s">
        <v>75</v>
      </c>
      <c r="D30" s="86"/>
      <c r="E30" s="83">
        <f t="shared" si="0"/>
        <v>25892</v>
      </c>
      <c r="F30" s="83">
        <v>690</v>
      </c>
      <c r="G30" s="83">
        <v>50</v>
      </c>
      <c r="H30" s="83">
        <v>240</v>
      </c>
      <c r="I30" s="83">
        <v>0</v>
      </c>
      <c r="J30" s="83">
        <v>39</v>
      </c>
      <c r="K30" s="83">
        <v>343</v>
      </c>
      <c r="L30" s="83">
        <v>235</v>
      </c>
      <c r="M30" s="83">
        <v>686</v>
      </c>
      <c r="N30" s="83">
        <v>103</v>
      </c>
      <c r="O30" s="83">
        <v>4</v>
      </c>
      <c r="P30" s="83">
        <v>256</v>
      </c>
      <c r="Q30" s="83">
        <v>43</v>
      </c>
      <c r="R30" s="83">
        <v>0</v>
      </c>
      <c r="S30" s="83">
        <v>997</v>
      </c>
      <c r="T30" s="83">
        <v>555</v>
      </c>
      <c r="U30" s="83">
        <v>6</v>
      </c>
      <c r="V30" s="83">
        <v>505</v>
      </c>
      <c r="W30" s="83">
        <v>2751</v>
      </c>
      <c r="X30" s="83">
        <v>178</v>
      </c>
      <c r="Y30" s="83">
        <v>117</v>
      </c>
      <c r="Z30" s="83">
        <v>45</v>
      </c>
      <c r="AA30" s="83">
        <v>1234</v>
      </c>
      <c r="AB30" s="83">
        <v>259</v>
      </c>
      <c r="AC30" s="83">
        <v>132</v>
      </c>
      <c r="AD30" s="83">
        <v>56</v>
      </c>
      <c r="AE30" s="83">
        <v>155</v>
      </c>
      <c r="AF30" s="83">
        <v>1238</v>
      </c>
      <c r="AG30" s="83">
        <v>351</v>
      </c>
      <c r="AH30" s="83">
        <v>439</v>
      </c>
      <c r="AI30" s="83">
        <v>970</v>
      </c>
      <c r="AJ30" s="83">
        <v>1088</v>
      </c>
      <c r="AK30" s="83">
        <v>335</v>
      </c>
      <c r="AL30" s="83">
        <v>2</v>
      </c>
      <c r="AM30" s="102">
        <v>547</v>
      </c>
      <c r="AN30" s="83">
        <v>10</v>
      </c>
      <c r="AO30" s="83">
        <v>1</v>
      </c>
      <c r="AP30" s="83">
        <v>450</v>
      </c>
      <c r="AQ30" s="83">
        <v>38</v>
      </c>
      <c r="AR30" s="83">
        <v>18</v>
      </c>
      <c r="AS30" s="83">
        <v>864</v>
      </c>
      <c r="AT30" s="83">
        <v>143</v>
      </c>
      <c r="AU30" s="83">
        <v>0</v>
      </c>
      <c r="AV30" s="83">
        <v>356</v>
      </c>
      <c r="AW30" s="83">
        <v>3566</v>
      </c>
      <c r="AX30" s="83">
        <v>388</v>
      </c>
      <c r="AY30" s="83">
        <v>27</v>
      </c>
      <c r="AZ30" s="83">
        <v>1022</v>
      </c>
      <c r="BA30" s="83">
        <v>302</v>
      </c>
      <c r="BB30" s="83">
        <v>9</v>
      </c>
      <c r="BC30" s="83">
        <v>105</v>
      </c>
      <c r="BD30" s="83">
        <v>63</v>
      </c>
      <c r="BE30" s="83">
        <v>0</v>
      </c>
      <c r="BF30" s="83">
        <v>531</v>
      </c>
      <c r="BG30" s="83">
        <v>210</v>
      </c>
      <c r="BH30" s="83">
        <v>419</v>
      </c>
      <c r="BI30" s="83">
        <v>15</v>
      </c>
      <c r="BJ30" s="83">
        <v>850</v>
      </c>
      <c r="BK30" s="83">
        <v>439</v>
      </c>
      <c r="BL30" s="83">
        <v>56</v>
      </c>
      <c r="BM30" s="83">
        <v>264</v>
      </c>
      <c r="BN30" s="83">
        <v>38</v>
      </c>
      <c r="BO30" s="83">
        <v>22</v>
      </c>
      <c r="BP30" s="83">
        <v>32</v>
      </c>
      <c r="BQ30" s="83">
        <v>1005</v>
      </c>
    </row>
    <row r="31" spans="1:69" s="34" customFormat="1" ht="21.9" customHeight="1" x14ac:dyDescent="0.25">
      <c r="A31" s="202"/>
      <c r="B31" s="88"/>
      <c r="C31" s="85" t="s">
        <v>76</v>
      </c>
      <c r="D31" s="86"/>
      <c r="E31" s="83">
        <f t="shared" si="0"/>
        <v>106</v>
      </c>
      <c r="F31" s="87">
        <v>0</v>
      </c>
      <c r="G31" s="87">
        <v>0</v>
      </c>
      <c r="H31" s="87">
        <v>0</v>
      </c>
      <c r="I31" s="87">
        <v>0</v>
      </c>
      <c r="J31" s="87">
        <v>0</v>
      </c>
      <c r="K31" s="87">
        <v>0</v>
      </c>
      <c r="L31" s="87">
        <v>0</v>
      </c>
      <c r="M31" s="87">
        <v>1</v>
      </c>
      <c r="N31" s="87">
        <v>2</v>
      </c>
      <c r="O31" s="87">
        <v>0</v>
      </c>
      <c r="P31" s="87">
        <v>1</v>
      </c>
      <c r="Q31" s="87">
        <v>1</v>
      </c>
      <c r="R31" s="87">
        <v>0</v>
      </c>
      <c r="S31" s="87">
        <v>2</v>
      </c>
      <c r="T31" s="87">
        <v>3</v>
      </c>
      <c r="U31" s="87">
        <v>0</v>
      </c>
      <c r="V31" s="83">
        <v>1</v>
      </c>
      <c r="W31" s="83">
        <v>12</v>
      </c>
      <c r="X31" s="83">
        <v>0</v>
      </c>
      <c r="Y31" s="83">
        <v>4</v>
      </c>
      <c r="Z31" s="83">
        <v>1</v>
      </c>
      <c r="AA31" s="83">
        <v>0</v>
      </c>
      <c r="AB31" s="83">
        <v>3</v>
      </c>
      <c r="AC31" s="83">
        <v>0</v>
      </c>
      <c r="AD31" s="83">
        <v>1</v>
      </c>
      <c r="AE31" s="83">
        <v>1</v>
      </c>
      <c r="AF31" s="83">
        <v>0</v>
      </c>
      <c r="AG31" s="83">
        <v>2</v>
      </c>
      <c r="AH31" s="83">
        <v>2</v>
      </c>
      <c r="AI31" s="83">
        <v>8</v>
      </c>
      <c r="AJ31" s="83">
        <v>2</v>
      </c>
      <c r="AK31" s="83">
        <v>1</v>
      </c>
      <c r="AL31" s="83">
        <v>1</v>
      </c>
      <c r="AM31" s="102">
        <v>10</v>
      </c>
      <c r="AN31" s="83">
        <v>0</v>
      </c>
      <c r="AO31" s="83">
        <v>0</v>
      </c>
      <c r="AP31" s="83">
        <v>4</v>
      </c>
      <c r="AQ31" s="87">
        <v>0</v>
      </c>
      <c r="AR31" s="87">
        <v>0</v>
      </c>
      <c r="AS31" s="87">
        <v>0</v>
      </c>
      <c r="AT31" s="87">
        <v>2</v>
      </c>
      <c r="AU31" s="87">
        <v>0</v>
      </c>
      <c r="AV31" s="87">
        <v>0</v>
      </c>
      <c r="AW31" s="87">
        <v>6</v>
      </c>
      <c r="AX31" s="87">
        <v>7</v>
      </c>
      <c r="AY31" s="87">
        <v>0</v>
      </c>
      <c r="AZ31" s="87">
        <v>0</v>
      </c>
      <c r="BA31" s="83">
        <v>16</v>
      </c>
      <c r="BB31" s="83">
        <v>0</v>
      </c>
      <c r="BC31" s="83">
        <v>0</v>
      </c>
      <c r="BD31" s="83">
        <v>0</v>
      </c>
      <c r="BE31" s="83">
        <v>0</v>
      </c>
      <c r="BF31" s="83">
        <v>0</v>
      </c>
      <c r="BG31" s="83">
        <v>0</v>
      </c>
      <c r="BH31" s="83">
        <v>4</v>
      </c>
      <c r="BI31" s="83">
        <v>0</v>
      </c>
      <c r="BJ31" s="83">
        <v>0</v>
      </c>
      <c r="BK31" s="83">
        <v>3</v>
      </c>
      <c r="BL31" s="83">
        <v>0</v>
      </c>
      <c r="BM31" s="83">
        <v>2</v>
      </c>
      <c r="BN31" s="83">
        <v>0</v>
      </c>
      <c r="BO31" s="83">
        <v>0</v>
      </c>
      <c r="BP31" s="83">
        <v>2</v>
      </c>
      <c r="BQ31" s="83">
        <v>1</v>
      </c>
    </row>
    <row r="32" spans="1:69" s="34" customFormat="1" ht="21.9" customHeight="1" x14ac:dyDescent="0.25">
      <c r="A32" s="202" t="s">
        <v>84</v>
      </c>
      <c r="B32" s="88"/>
      <c r="C32" s="85" t="s">
        <v>75</v>
      </c>
      <c r="D32" s="86"/>
      <c r="E32" s="83">
        <f t="shared" si="0"/>
        <v>33967</v>
      </c>
      <c r="F32" s="83">
        <v>488</v>
      </c>
      <c r="G32" s="83">
        <v>847</v>
      </c>
      <c r="H32" s="83">
        <v>74</v>
      </c>
      <c r="I32" s="83">
        <v>7</v>
      </c>
      <c r="J32" s="83">
        <v>68</v>
      </c>
      <c r="K32" s="83">
        <v>38</v>
      </c>
      <c r="L32" s="83">
        <v>48</v>
      </c>
      <c r="M32" s="83">
        <v>1291</v>
      </c>
      <c r="N32" s="83">
        <v>563</v>
      </c>
      <c r="O32" s="83">
        <v>90</v>
      </c>
      <c r="P32" s="83">
        <v>208</v>
      </c>
      <c r="Q32" s="83">
        <v>116</v>
      </c>
      <c r="R32" s="83">
        <v>0</v>
      </c>
      <c r="S32" s="83">
        <v>111</v>
      </c>
      <c r="T32" s="83">
        <v>284</v>
      </c>
      <c r="U32" s="83">
        <v>146</v>
      </c>
      <c r="V32" s="83">
        <v>155</v>
      </c>
      <c r="W32" s="83">
        <v>812</v>
      </c>
      <c r="X32" s="83">
        <v>236</v>
      </c>
      <c r="Y32" s="83">
        <v>328</v>
      </c>
      <c r="Z32" s="83">
        <v>57</v>
      </c>
      <c r="AA32" s="83">
        <v>1093</v>
      </c>
      <c r="AB32" s="83">
        <v>440</v>
      </c>
      <c r="AC32" s="83">
        <v>27</v>
      </c>
      <c r="AD32" s="83">
        <v>81</v>
      </c>
      <c r="AE32" s="83">
        <v>233</v>
      </c>
      <c r="AF32" s="83">
        <v>1935</v>
      </c>
      <c r="AG32" s="83">
        <v>343</v>
      </c>
      <c r="AH32" s="83">
        <v>268</v>
      </c>
      <c r="AI32" s="83">
        <v>855</v>
      </c>
      <c r="AJ32" s="83">
        <v>205</v>
      </c>
      <c r="AK32" s="83">
        <v>244</v>
      </c>
      <c r="AL32" s="83">
        <v>0</v>
      </c>
      <c r="AM32" s="102">
        <v>208</v>
      </c>
      <c r="AN32" s="83">
        <v>16</v>
      </c>
      <c r="AO32" s="83">
        <v>2</v>
      </c>
      <c r="AP32" s="83">
        <v>375</v>
      </c>
      <c r="AQ32" s="83">
        <v>139</v>
      </c>
      <c r="AR32" s="83">
        <v>26</v>
      </c>
      <c r="AS32" s="83">
        <v>65</v>
      </c>
      <c r="AT32" s="83">
        <v>42</v>
      </c>
      <c r="AU32" s="83">
        <v>22</v>
      </c>
      <c r="AV32" s="83">
        <v>75</v>
      </c>
      <c r="AW32" s="83">
        <v>2446</v>
      </c>
      <c r="AX32" s="83">
        <v>733</v>
      </c>
      <c r="AY32" s="83">
        <v>27</v>
      </c>
      <c r="AZ32" s="83">
        <v>1596</v>
      </c>
      <c r="BA32" s="83">
        <v>629</v>
      </c>
      <c r="BB32" s="83">
        <v>186</v>
      </c>
      <c r="BC32" s="83">
        <v>74</v>
      </c>
      <c r="BD32" s="83">
        <v>103</v>
      </c>
      <c r="BE32" s="83">
        <v>47</v>
      </c>
      <c r="BF32" s="83">
        <v>421</v>
      </c>
      <c r="BG32" s="83">
        <v>346</v>
      </c>
      <c r="BH32" s="83">
        <v>516</v>
      </c>
      <c r="BI32" s="83">
        <v>11376</v>
      </c>
      <c r="BJ32" s="83">
        <v>182</v>
      </c>
      <c r="BK32" s="83">
        <v>868</v>
      </c>
      <c r="BL32" s="83">
        <v>502</v>
      </c>
      <c r="BM32" s="83">
        <v>565</v>
      </c>
      <c r="BN32" s="83">
        <v>375</v>
      </c>
      <c r="BO32" s="83">
        <v>6</v>
      </c>
      <c r="BP32" s="83">
        <v>0</v>
      </c>
      <c r="BQ32" s="83">
        <v>308</v>
      </c>
    </row>
    <row r="33" spans="1:69" s="34" customFormat="1" ht="21.9" customHeight="1" x14ac:dyDescent="0.25">
      <c r="A33" s="202"/>
      <c r="B33" s="88"/>
      <c r="C33" s="85" t="s">
        <v>76</v>
      </c>
      <c r="D33" s="86"/>
      <c r="E33" s="83">
        <f t="shared" si="0"/>
        <v>571</v>
      </c>
      <c r="F33" s="87">
        <v>0</v>
      </c>
      <c r="G33" s="87">
        <v>0</v>
      </c>
      <c r="H33" s="87">
        <v>0</v>
      </c>
      <c r="I33" s="87">
        <v>1</v>
      </c>
      <c r="J33" s="87">
        <v>2</v>
      </c>
      <c r="K33" s="87">
        <v>0</v>
      </c>
      <c r="L33" s="87">
        <v>0</v>
      </c>
      <c r="M33" s="87">
        <v>1</v>
      </c>
      <c r="N33" s="87">
        <v>4</v>
      </c>
      <c r="O33" s="87">
        <v>0</v>
      </c>
      <c r="P33" s="87">
        <v>2</v>
      </c>
      <c r="Q33" s="87">
        <v>6</v>
      </c>
      <c r="R33" s="87">
        <v>0</v>
      </c>
      <c r="S33" s="87">
        <v>2</v>
      </c>
      <c r="T33" s="87">
        <v>7</v>
      </c>
      <c r="U33" s="87">
        <v>0</v>
      </c>
      <c r="V33" s="83">
        <v>1</v>
      </c>
      <c r="W33" s="83">
        <v>18</v>
      </c>
      <c r="X33" s="83">
        <v>0</v>
      </c>
      <c r="Y33" s="83">
        <v>7</v>
      </c>
      <c r="Z33" s="83">
        <v>1</v>
      </c>
      <c r="AA33" s="83">
        <v>3</v>
      </c>
      <c r="AB33" s="83">
        <v>2</v>
      </c>
      <c r="AC33" s="83">
        <v>0</v>
      </c>
      <c r="AD33" s="83">
        <v>1</v>
      </c>
      <c r="AE33" s="83">
        <v>2</v>
      </c>
      <c r="AF33" s="83">
        <v>8</v>
      </c>
      <c r="AG33" s="83">
        <v>14</v>
      </c>
      <c r="AH33" s="83">
        <v>1</v>
      </c>
      <c r="AI33" s="83">
        <v>30</v>
      </c>
      <c r="AJ33" s="83">
        <v>18</v>
      </c>
      <c r="AK33" s="83">
        <v>0</v>
      </c>
      <c r="AL33" s="83">
        <v>0</v>
      </c>
      <c r="AM33" s="102">
        <v>30</v>
      </c>
      <c r="AN33" s="83">
        <v>2</v>
      </c>
      <c r="AO33" s="83">
        <v>0</v>
      </c>
      <c r="AP33" s="83">
        <v>20</v>
      </c>
      <c r="AQ33" s="87">
        <v>0</v>
      </c>
      <c r="AR33" s="87">
        <v>0</v>
      </c>
      <c r="AS33" s="87">
        <v>0</v>
      </c>
      <c r="AT33" s="87">
        <v>0</v>
      </c>
      <c r="AU33" s="87">
        <v>0</v>
      </c>
      <c r="AV33" s="87">
        <v>0</v>
      </c>
      <c r="AW33" s="87">
        <v>9</v>
      </c>
      <c r="AX33" s="87">
        <v>0</v>
      </c>
      <c r="AY33" s="87">
        <v>0</v>
      </c>
      <c r="AZ33" s="87">
        <v>6</v>
      </c>
      <c r="BA33" s="83">
        <v>7</v>
      </c>
      <c r="BB33" s="83">
        <v>0</v>
      </c>
      <c r="BC33" s="83">
        <v>0</v>
      </c>
      <c r="BD33" s="83">
        <v>0</v>
      </c>
      <c r="BE33" s="83">
        <v>0</v>
      </c>
      <c r="BF33" s="83">
        <v>3</v>
      </c>
      <c r="BG33" s="83">
        <v>10</v>
      </c>
      <c r="BH33" s="83">
        <v>24</v>
      </c>
      <c r="BI33" s="83">
        <v>318</v>
      </c>
      <c r="BJ33" s="83">
        <v>0</v>
      </c>
      <c r="BK33" s="83">
        <v>1</v>
      </c>
      <c r="BL33" s="83">
        <v>1</v>
      </c>
      <c r="BM33" s="83">
        <v>1</v>
      </c>
      <c r="BN33" s="83">
        <v>4</v>
      </c>
      <c r="BO33" s="83">
        <v>0</v>
      </c>
      <c r="BP33" s="83">
        <v>0</v>
      </c>
      <c r="BQ33" s="83">
        <v>4</v>
      </c>
    </row>
    <row r="34" spans="1:69" s="34" customFormat="1" ht="21.9" customHeight="1" x14ac:dyDescent="0.25">
      <c r="A34" s="202" t="s">
        <v>85</v>
      </c>
      <c r="C34" s="85" t="s">
        <v>75</v>
      </c>
      <c r="D34" s="86"/>
      <c r="E34" s="83">
        <f t="shared" si="0"/>
        <v>16127</v>
      </c>
      <c r="F34" s="83">
        <v>320</v>
      </c>
      <c r="G34" s="83">
        <v>332</v>
      </c>
      <c r="H34" s="83">
        <v>51</v>
      </c>
      <c r="I34" s="83">
        <v>2</v>
      </c>
      <c r="J34" s="83">
        <v>31</v>
      </c>
      <c r="K34" s="83">
        <v>80</v>
      </c>
      <c r="L34" s="83">
        <v>55</v>
      </c>
      <c r="M34" s="83">
        <v>440</v>
      </c>
      <c r="N34" s="83">
        <v>226</v>
      </c>
      <c r="O34" s="83">
        <v>59</v>
      </c>
      <c r="P34" s="83">
        <v>25</v>
      </c>
      <c r="Q34" s="83">
        <v>19</v>
      </c>
      <c r="R34" s="83">
        <v>0</v>
      </c>
      <c r="S34" s="83">
        <v>70</v>
      </c>
      <c r="T34" s="83">
        <v>104</v>
      </c>
      <c r="U34" s="83">
        <v>11</v>
      </c>
      <c r="V34" s="83">
        <v>97</v>
      </c>
      <c r="W34" s="83">
        <v>534</v>
      </c>
      <c r="X34" s="83">
        <v>200</v>
      </c>
      <c r="Y34" s="83">
        <v>85</v>
      </c>
      <c r="Z34" s="83">
        <v>36</v>
      </c>
      <c r="AA34" s="83">
        <v>576</v>
      </c>
      <c r="AB34" s="83">
        <v>278</v>
      </c>
      <c r="AC34" s="83">
        <v>36</v>
      </c>
      <c r="AD34" s="83">
        <v>63</v>
      </c>
      <c r="AE34" s="83">
        <v>96</v>
      </c>
      <c r="AF34" s="83">
        <v>1976</v>
      </c>
      <c r="AG34" s="83">
        <v>644</v>
      </c>
      <c r="AH34" s="83">
        <v>242</v>
      </c>
      <c r="AI34" s="83">
        <v>672</v>
      </c>
      <c r="AJ34" s="83">
        <v>140</v>
      </c>
      <c r="AK34" s="83">
        <v>317</v>
      </c>
      <c r="AL34" s="83">
        <v>4</v>
      </c>
      <c r="AM34" s="102">
        <v>184</v>
      </c>
      <c r="AN34" s="83">
        <v>13</v>
      </c>
      <c r="AO34" s="83">
        <v>19</v>
      </c>
      <c r="AP34" s="83">
        <v>766</v>
      </c>
      <c r="AQ34" s="83">
        <v>29</v>
      </c>
      <c r="AR34" s="83">
        <v>49</v>
      </c>
      <c r="AS34" s="83">
        <v>193</v>
      </c>
      <c r="AT34" s="83">
        <v>72</v>
      </c>
      <c r="AU34" s="83">
        <v>80</v>
      </c>
      <c r="AV34" s="83">
        <v>20</v>
      </c>
      <c r="AW34" s="83">
        <v>1583</v>
      </c>
      <c r="AX34" s="83">
        <v>213</v>
      </c>
      <c r="AY34" s="83">
        <v>86</v>
      </c>
      <c r="AZ34" s="83">
        <v>1304</v>
      </c>
      <c r="BA34" s="83">
        <v>432</v>
      </c>
      <c r="BB34" s="83">
        <v>39</v>
      </c>
      <c r="BC34" s="83">
        <v>10</v>
      </c>
      <c r="BD34" s="83">
        <v>1</v>
      </c>
      <c r="BE34" s="83">
        <v>1</v>
      </c>
      <c r="BF34" s="83">
        <v>256</v>
      </c>
      <c r="BG34" s="83">
        <v>121</v>
      </c>
      <c r="BH34" s="83">
        <v>261</v>
      </c>
      <c r="BI34" s="83">
        <v>453</v>
      </c>
      <c r="BJ34" s="83">
        <v>260</v>
      </c>
      <c r="BK34" s="83">
        <v>723</v>
      </c>
      <c r="BL34" s="83">
        <v>444</v>
      </c>
      <c r="BM34" s="83">
        <v>266</v>
      </c>
      <c r="BN34" s="83">
        <v>176</v>
      </c>
      <c r="BO34" s="83">
        <v>13</v>
      </c>
      <c r="BP34" s="83">
        <v>25</v>
      </c>
      <c r="BQ34" s="83">
        <v>214</v>
      </c>
    </row>
    <row r="35" spans="1:69" s="34" customFormat="1" ht="21.9" customHeight="1" x14ac:dyDescent="0.25">
      <c r="A35" s="202"/>
      <c r="C35" s="85" t="s">
        <v>76</v>
      </c>
      <c r="D35" s="86"/>
      <c r="E35" s="83">
        <f t="shared" si="0"/>
        <v>239</v>
      </c>
      <c r="F35" s="87">
        <v>0</v>
      </c>
      <c r="G35" s="87">
        <v>0</v>
      </c>
      <c r="H35" s="87">
        <v>0</v>
      </c>
      <c r="I35" s="87">
        <v>0</v>
      </c>
      <c r="J35" s="87">
        <v>0</v>
      </c>
      <c r="K35" s="87">
        <v>1</v>
      </c>
      <c r="L35" s="87">
        <v>0</v>
      </c>
      <c r="M35" s="87">
        <v>1</v>
      </c>
      <c r="N35" s="87">
        <v>2</v>
      </c>
      <c r="O35" s="87">
        <v>0</v>
      </c>
      <c r="P35" s="87">
        <v>0</v>
      </c>
      <c r="Q35" s="87">
        <v>0</v>
      </c>
      <c r="R35" s="87">
        <v>0</v>
      </c>
      <c r="S35" s="87">
        <v>5</v>
      </c>
      <c r="T35" s="87">
        <v>7</v>
      </c>
      <c r="U35" s="87">
        <v>0</v>
      </c>
      <c r="V35" s="83">
        <v>2</v>
      </c>
      <c r="W35" s="83">
        <v>19</v>
      </c>
      <c r="X35" s="83">
        <v>2</v>
      </c>
      <c r="Y35" s="83">
        <v>1</v>
      </c>
      <c r="Z35" s="83">
        <v>2</v>
      </c>
      <c r="AA35" s="83">
        <v>2</v>
      </c>
      <c r="AB35" s="83">
        <v>5</v>
      </c>
      <c r="AC35" s="83">
        <v>0</v>
      </c>
      <c r="AD35" s="83">
        <v>1</v>
      </c>
      <c r="AE35" s="83">
        <v>2</v>
      </c>
      <c r="AF35" s="83">
        <v>22</v>
      </c>
      <c r="AG35" s="83">
        <v>16</v>
      </c>
      <c r="AH35" s="83">
        <v>10</v>
      </c>
      <c r="AI35" s="83">
        <v>14</v>
      </c>
      <c r="AJ35" s="83">
        <v>18</v>
      </c>
      <c r="AK35" s="83">
        <v>7</v>
      </c>
      <c r="AL35" s="83">
        <v>1</v>
      </c>
      <c r="AM35" s="102">
        <v>21</v>
      </c>
      <c r="AN35" s="83">
        <v>0</v>
      </c>
      <c r="AO35" s="83">
        <v>0</v>
      </c>
      <c r="AP35" s="83">
        <v>19</v>
      </c>
      <c r="AQ35" s="87">
        <v>0</v>
      </c>
      <c r="AR35" s="87">
        <v>0</v>
      </c>
      <c r="AS35" s="87">
        <v>0</v>
      </c>
      <c r="AT35" s="87">
        <v>0</v>
      </c>
      <c r="AU35" s="87">
        <v>0</v>
      </c>
      <c r="AV35" s="87">
        <v>0</v>
      </c>
      <c r="AW35" s="87">
        <v>6</v>
      </c>
      <c r="AX35" s="87">
        <v>1</v>
      </c>
      <c r="AY35" s="87">
        <v>0</v>
      </c>
      <c r="AZ35" s="87">
        <v>1</v>
      </c>
      <c r="BA35" s="83">
        <v>7</v>
      </c>
      <c r="BB35" s="83">
        <v>3</v>
      </c>
      <c r="BC35" s="83">
        <v>0</v>
      </c>
      <c r="BD35" s="83">
        <v>0</v>
      </c>
      <c r="BE35" s="83">
        <v>0</v>
      </c>
      <c r="BF35" s="83">
        <v>0</v>
      </c>
      <c r="BG35" s="83">
        <v>6</v>
      </c>
      <c r="BH35" s="83">
        <v>1</v>
      </c>
      <c r="BI35" s="83">
        <v>16</v>
      </c>
      <c r="BJ35" s="83">
        <v>1</v>
      </c>
      <c r="BK35" s="83">
        <v>6</v>
      </c>
      <c r="BL35" s="83">
        <v>0</v>
      </c>
      <c r="BM35" s="83">
        <v>0</v>
      </c>
      <c r="BN35" s="83">
        <v>0</v>
      </c>
      <c r="BO35" s="83">
        <v>0</v>
      </c>
      <c r="BP35" s="83">
        <v>1</v>
      </c>
      <c r="BQ35" s="83">
        <v>10</v>
      </c>
    </row>
    <row r="36" spans="1:69" s="34" customFormat="1" ht="21.9" customHeight="1" x14ac:dyDescent="0.25">
      <c r="A36" s="202" t="s">
        <v>86</v>
      </c>
      <c r="B36" s="88"/>
      <c r="C36" s="85" t="s">
        <v>75</v>
      </c>
      <c r="D36" s="86"/>
      <c r="E36" s="83">
        <f t="shared" si="0"/>
        <v>20980</v>
      </c>
      <c r="F36" s="83">
        <v>524</v>
      </c>
      <c r="G36" s="83">
        <v>343</v>
      </c>
      <c r="H36" s="83">
        <v>76</v>
      </c>
      <c r="I36" s="83">
        <v>4</v>
      </c>
      <c r="J36" s="83">
        <v>99</v>
      </c>
      <c r="K36" s="83">
        <v>40</v>
      </c>
      <c r="L36" s="83">
        <v>151</v>
      </c>
      <c r="M36" s="83">
        <v>1155</v>
      </c>
      <c r="N36" s="83">
        <v>443</v>
      </c>
      <c r="O36" s="83">
        <v>97</v>
      </c>
      <c r="P36" s="83">
        <v>169</v>
      </c>
      <c r="Q36" s="83">
        <v>157</v>
      </c>
      <c r="R36" s="83">
        <v>1</v>
      </c>
      <c r="S36" s="83">
        <v>158</v>
      </c>
      <c r="T36" s="83">
        <v>145</v>
      </c>
      <c r="U36" s="83">
        <v>82</v>
      </c>
      <c r="V36" s="83">
        <v>426</v>
      </c>
      <c r="W36" s="83">
        <v>1084</v>
      </c>
      <c r="X36" s="83">
        <v>203</v>
      </c>
      <c r="Y36" s="83">
        <v>98</v>
      </c>
      <c r="Z36" s="83">
        <v>35</v>
      </c>
      <c r="AA36" s="83">
        <v>1071</v>
      </c>
      <c r="AB36" s="83">
        <v>380</v>
      </c>
      <c r="AC36" s="83">
        <v>157</v>
      </c>
      <c r="AD36" s="83">
        <v>16</v>
      </c>
      <c r="AE36" s="83">
        <v>113</v>
      </c>
      <c r="AF36" s="83">
        <v>3185</v>
      </c>
      <c r="AG36" s="83">
        <v>984</v>
      </c>
      <c r="AH36" s="83">
        <v>301</v>
      </c>
      <c r="AI36" s="83">
        <v>699</v>
      </c>
      <c r="AJ36" s="83">
        <v>116</v>
      </c>
      <c r="AK36" s="83">
        <v>515</v>
      </c>
      <c r="AL36" s="83">
        <v>27</v>
      </c>
      <c r="AM36" s="102">
        <v>75</v>
      </c>
      <c r="AN36" s="83">
        <v>17</v>
      </c>
      <c r="AO36" s="83">
        <v>19</v>
      </c>
      <c r="AP36" s="83">
        <v>128</v>
      </c>
      <c r="AQ36" s="83">
        <v>5</v>
      </c>
      <c r="AR36" s="83">
        <v>40</v>
      </c>
      <c r="AS36" s="83">
        <v>675</v>
      </c>
      <c r="AT36" s="83">
        <v>47</v>
      </c>
      <c r="AU36" s="83">
        <v>50</v>
      </c>
      <c r="AV36" s="83">
        <v>167</v>
      </c>
      <c r="AW36" s="83">
        <v>2468</v>
      </c>
      <c r="AX36" s="83">
        <v>512</v>
      </c>
      <c r="AY36" s="83">
        <v>9</v>
      </c>
      <c r="AZ36" s="83">
        <v>717</v>
      </c>
      <c r="BA36" s="83">
        <v>177</v>
      </c>
      <c r="BB36" s="83">
        <v>6</v>
      </c>
      <c r="BC36" s="83">
        <v>26</v>
      </c>
      <c r="BD36" s="83">
        <v>1</v>
      </c>
      <c r="BE36" s="83">
        <v>0</v>
      </c>
      <c r="BF36" s="83">
        <v>296</v>
      </c>
      <c r="BG36" s="83">
        <v>127</v>
      </c>
      <c r="BH36" s="83">
        <v>175</v>
      </c>
      <c r="BI36" s="83">
        <v>469</v>
      </c>
      <c r="BJ36" s="83">
        <v>179</v>
      </c>
      <c r="BK36" s="83">
        <v>609</v>
      </c>
      <c r="BL36" s="83">
        <v>375</v>
      </c>
      <c r="BM36" s="83">
        <v>90</v>
      </c>
      <c r="BN36" s="83">
        <v>216</v>
      </c>
      <c r="BO36" s="83">
        <v>14</v>
      </c>
      <c r="BP36" s="83">
        <v>79</v>
      </c>
      <c r="BQ36" s="83">
        <v>158</v>
      </c>
    </row>
    <row r="37" spans="1:69" s="34" customFormat="1" ht="21.9" customHeight="1" x14ac:dyDescent="0.25">
      <c r="A37" s="202"/>
      <c r="B37" s="88"/>
      <c r="C37" s="85" t="s">
        <v>76</v>
      </c>
      <c r="D37" s="86"/>
      <c r="E37" s="83">
        <f t="shared" si="0"/>
        <v>356</v>
      </c>
      <c r="F37" s="87">
        <v>0</v>
      </c>
      <c r="G37" s="87">
        <v>0</v>
      </c>
      <c r="H37" s="87">
        <v>0</v>
      </c>
      <c r="I37" s="87">
        <v>1</v>
      </c>
      <c r="J37" s="87">
        <v>0</v>
      </c>
      <c r="K37" s="87">
        <v>0</v>
      </c>
      <c r="L37" s="87">
        <v>0</v>
      </c>
      <c r="M37" s="87">
        <v>2</v>
      </c>
      <c r="N37" s="87">
        <v>3</v>
      </c>
      <c r="O37" s="87">
        <v>0</v>
      </c>
      <c r="P37" s="87">
        <v>1</v>
      </c>
      <c r="Q37" s="87">
        <v>0</v>
      </c>
      <c r="R37" s="87">
        <v>0</v>
      </c>
      <c r="S37" s="87">
        <v>5</v>
      </c>
      <c r="T37" s="87">
        <v>6</v>
      </c>
      <c r="U37" s="87">
        <v>0</v>
      </c>
      <c r="V37" s="83">
        <v>5</v>
      </c>
      <c r="W37" s="83">
        <v>4</v>
      </c>
      <c r="X37" s="83">
        <v>2</v>
      </c>
      <c r="Y37" s="83">
        <v>0</v>
      </c>
      <c r="Z37" s="83">
        <v>0</v>
      </c>
      <c r="AA37" s="83">
        <v>5</v>
      </c>
      <c r="AB37" s="83">
        <v>0</v>
      </c>
      <c r="AC37" s="83">
        <v>0</v>
      </c>
      <c r="AD37" s="83">
        <v>0</v>
      </c>
      <c r="AE37" s="83">
        <v>4</v>
      </c>
      <c r="AF37" s="83">
        <v>38</v>
      </c>
      <c r="AG37" s="83">
        <v>20</v>
      </c>
      <c r="AH37" s="83">
        <v>4</v>
      </c>
      <c r="AI37" s="83">
        <v>13</v>
      </c>
      <c r="AJ37" s="83">
        <v>3</v>
      </c>
      <c r="AK37" s="83">
        <v>14</v>
      </c>
      <c r="AL37" s="83">
        <v>0</v>
      </c>
      <c r="AM37" s="102">
        <v>3</v>
      </c>
      <c r="AN37" s="83">
        <v>0</v>
      </c>
      <c r="AO37" s="83">
        <v>0</v>
      </c>
      <c r="AP37" s="83">
        <v>11</v>
      </c>
      <c r="AQ37" s="83">
        <v>0</v>
      </c>
      <c r="AR37" s="83">
        <v>0</v>
      </c>
      <c r="AS37" s="83">
        <v>0</v>
      </c>
      <c r="AT37" s="83">
        <v>1</v>
      </c>
      <c r="AU37" s="83">
        <v>0</v>
      </c>
      <c r="AV37" s="83">
        <v>1</v>
      </c>
      <c r="AW37" s="83">
        <v>10</v>
      </c>
      <c r="AX37" s="83">
        <v>15</v>
      </c>
      <c r="AY37" s="83">
        <v>0</v>
      </c>
      <c r="AZ37" s="83">
        <v>1</v>
      </c>
      <c r="BA37" s="83">
        <v>0</v>
      </c>
      <c r="BB37" s="83">
        <v>0</v>
      </c>
      <c r="BC37" s="83">
        <v>0</v>
      </c>
      <c r="BD37" s="83">
        <v>0</v>
      </c>
      <c r="BE37" s="83">
        <v>0</v>
      </c>
      <c r="BF37" s="83">
        <v>3</v>
      </c>
      <c r="BG37" s="83">
        <v>2</v>
      </c>
      <c r="BH37" s="83">
        <v>5</v>
      </c>
      <c r="BI37" s="83">
        <v>161</v>
      </c>
      <c r="BJ37" s="83">
        <v>0</v>
      </c>
      <c r="BK37" s="83">
        <v>1</v>
      </c>
      <c r="BL37" s="83">
        <v>1</v>
      </c>
      <c r="BM37" s="83">
        <v>1</v>
      </c>
      <c r="BN37" s="83">
        <v>0</v>
      </c>
      <c r="BO37" s="83">
        <v>0</v>
      </c>
      <c r="BP37" s="83">
        <v>0</v>
      </c>
      <c r="BQ37" s="83">
        <v>10</v>
      </c>
    </row>
    <row r="38" spans="1:69" s="34" customFormat="1" ht="21.9" customHeight="1" x14ac:dyDescent="0.25">
      <c r="A38" s="202" t="s">
        <v>87</v>
      </c>
      <c r="B38" s="88"/>
      <c r="C38" s="85" t="s">
        <v>75</v>
      </c>
      <c r="D38" s="86"/>
      <c r="E38" s="83">
        <f t="shared" si="0"/>
        <v>21447</v>
      </c>
      <c r="F38" s="83">
        <v>368</v>
      </c>
      <c r="G38" s="83">
        <v>210</v>
      </c>
      <c r="H38" s="83">
        <v>57</v>
      </c>
      <c r="I38" s="83">
        <v>0</v>
      </c>
      <c r="J38" s="83">
        <v>117</v>
      </c>
      <c r="K38" s="83">
        <v>63</v>
      </c>
      <c r="L38" s="83">
        <v>27</v>
      </c>
      <c r="M38" s="83">
        <v>2190</v>
      </c>
      <c r="N38" s="83">
        <v>322</v>
      </c>
      <c r="O38" s="83">
        <v>22</v>
      </c>
      <c r="P38" s="83">
        <v>228</v>
      </c>
      <c r="Q38" s="83">
        <v>70</v>
      </c>
      <c r="R38" s="83">
        <v>0</v>
      </c>
      <c r="S38" s="83">
        <v>194</v>
      </c>
      <c r="T38" s="83">
        <v>241</v>
      </c>
      <c r="U38" s="83">
        <v>115</v>
      </c>
      <c r="V38" s="83">
        <v>160</v>
      </c>
      <c r="W38" s="83">
        <v>923</v>
      </c>
      <c r="X38" s="83">
        <v>280</v>
      </c>
      <c r="Y38" s="83">
        <v>132</v>
      </c>
      <c r="Z38" s="83">
        <v>23</v>
      </c>
      <c r="AA38" s="83">
        <v>838</v>
      </c>
      <c r="AB38" s="83">
        <v>112</v>
      </c>
      <c r="AC38" s="83">
        <v>91</v>
      </c>
      <c r="AD38" s="83">
        <v>80</v>
      </c>
      <c r="AE38" s="83">
        <v>198</v>
      </c>
      <c r="AF38" s="83">
        <v>2220</v>
      </c>
      <c r="AG38" s="83">
        <v>778</v>
      </c>
      <c r="AH38" s="83">
        <v>627</v>
      </c>
      <c r="AI38" s="83">
        <v>1380</v>
      </c>
      <c r="AJ38" s="83">
        <v>313</v>
      </c>
      <c r="AK38" s="83">
        <v>385</v>
      </c>
      <c r="AL38" s="83">
        <v>0</v>
      </c>
      <c r="AM38" s="102">
        <v>207</v>
      </c>
      <c r="AN38" s="83">
        <v>2</v>
      </c>
      <c r="AO38" s="83">
        <v>15</v>
      </c>
      <c r="AP38" s="83">
        <v>735</v>
      </c>
      <c r="AQ38" s="83">
        <v>55</v>
      </c>
      <c r="AR38" s="83">
        <v>52</v>
      </c>
      <c r="AS38" s="83">
        <v>34</v>
      </c>
      <c r="AT38" s="83">
        <v>38</v>
      </c>
      <c r="AU38" s="83">
        <v>82</v>
      </c>
      <c r="AV38" s="83">
        <v>48</v>
      </c>
      <c r="AW38" s="83">
        <v>2769</v>
      </c>
      <c r="AX38" s="83">
        <v>704</v>
      </c>
      <c r="AY38" s="83">
        <v>5</v>
      </c>
      <c r="AZ38" s="83">
        <v>981</v>
      </c>
      <c r="BA38" s="83">
        <v>106</v>
      </c>
      <c r="BB38" s="83">
        <v>0</v>
      </c>
      <c r="BC38" s="83">
        <v>0</v>
      </c>
      <c r="BD38" s="83">
        <v>0</v>
      </c>
      <c r="BE38" s="83">
        <v>0</v>
      </c>
      <c r="BF38" s="83">
        <v>208</v>
      </c>
      <c r="BG38" s="83">
        <v>185</v>
      </c>
      <c r="BH38" s="83">
        <v>128</v>
      </c>
      <c r="BI38" s="83">
        <v>370</v>
      </c>
      <c r="BJ38" s="83">
        <v>193</v>
      </c>
      <c r="BK38" s="83">
        <v>381</v>
      </c>
      <c r="BL38" s="83">
        <v>379</v>
      </c>
      <c r="BM38" s="83">
        <v>295</v>
      </c>
      <c r="BN38" s="83">
        <v>520</v>
      </c>
      <c r="BO38" s="83">
        <v>1</v>
      </c>
      <c r="BP38" s="83">
        <v>26</v>
      </c>
      <c r="BQ38" s="83">
        <v>164</v>
      </c>
    </row>
    <row r="39" spans="1:69" s="34" customFormat="1" ht="21.9" customHeight="1" x14ac:dyDescent="0.25">
      <c r="A39" s="202"/>
      <c r="B39" s="88"/>
      <c r="C39" s="85" t="s">
        <v>76</v>
      </c>
      <c r="D39" s="86"/>
      <c r="E39" s="83">
        <f t="shared" si="0"/>
        <v>419</v>
      </c>
      <c r="F39" s="87">
        <v>0</v>
      </c>
      <c r="G39" s="87">
        <v>0</v>
      </c>
      <c r="H39" s="87">
        <v>0</v>
      </c>
      <c r="I39" s="87">
        <v>0</v>
      </c>
      <c r="J39" s="87">
        <v>0</v>
      </c>
      <c r="K39" s="87">
        <v>0</v>
      </c>
      <c r="L39" s="87">
        <v>0</v>
      </c>
      <c r="M39" s="87">
        <v>1</v>
      </c>
      <c r="N39" s="87">
        <v>1</v>
      </c>
      <c r="O39" s="87">
        <v>3</v>
      </c>
      <c r="P39" s="87">
        <v>2</v>
      </c>
      <c r="Q39" s="87">
        <v>0</v>
      </c>
      <c r="R39" s="87">
        <v>0</v>
      </c>
      <c r="S39" s="87">
        <v>0</v>
      </c>
      <c r="T39" s="87">
        <v>6</v>
      </c>
      <c r="U39" s="87">
        <v>5</v>
      </c>
      <c r="V39" s="83">
        <v>1</v>
      </c>
      <c r="W39" s="83">
        <v>15</v>
      </c>
      <c r="X39" s="83">
        <v>4</v>
      </c>
      <c r="Y39" s="83">
        <v>3</v>
      </c>
      <c r="Z39" s="83">
        <v>2</v>
      </c>
      <c r="AA39" s="83">
        <v>2</v>
      </c>
      <c r="AB39" s="83">
        <v>8</v>
      </c>
      <c r="AC39" s="83">
        <v>0</v>
      </c>
      <c r="AD39" s="83">
        <v>1</v>
      </c>
      <c r="AE39" s="83">
        <v>2</v>
      </c>
      <c r="AF39" s="83">
        <v>75</v>
      </c>
      <c r="AG39" s="83">
        <v>20</v>
      </c>
      <c r="AH39" s="83">
        <v>8</v>
      </c>
      <c r="AI39" s="83">
        <v>8</v>
      </c>
      <c r="AJ39" s="83">
        <v>7</v>
      </c>
      <c r="AK39" s="83">
        <v>5</v>
      </c>
      <c r="AL39" s="83">
        <v>0</v>
      </c>
      <c r="AM39" s="102">
        <v>0</v>
      </c>
      <c r="AN39" s="83">
        <v>0</v>
      </c>
      <c r="AO39" s="83">
        <v>0</v>
      </c>
      <c r="AP39" s="83">
        <v>10</v>
      </c>
      <c r="AQ39" s="83">
        <v>0</v>
      </c>
      <c r="AR39" s="83">
        <v>0</v>
      </c>
      <c r="AS39" s="83">
        <v>0</v>
      </c>
      <c r="AT39" s="83">
        <v>1</v>
      </c>
      <c r="AU39" s="83">
        <v>0</v>
      </c>
      <c r="AV39" s="83">
        <v>1</v>
      </c>
      <c r="AW39" s="83">
        <v>24</v>
      </c>
      <c r="AX39" s="83">
        <v>1</v>
      </c>
      <c r="AY39" s="83">
        <v>0</v>
      </c>
      <c r="AZ39" s="83">
        <v>0</v>
      </c>
      <c r="BA39" s="83">
        <v>0</v>
      </c>
      <c r="BB39" s="83">
        <v>0</v>
      </c>
      <c r="BC39" s="83">
        <v>0</v>
      </c>
      <c r="BD39" s="83">
        <v>0</v>
      </c>
      <c r="BE39" s="83">
        <v>0</v>
      </c>
      <c r="BF39" s="83">
        <v>3</v>
      </c>
      <c r="BG39" s="83">
        <v>11</v>
      </c>
      <c r="BH39" s="83">
        <v>6</v>
      </c>
      <c r="BI39" s="83">
        <v>166</v>
      </c>
      <c r="BJ39" s="83">
        <v>0</v>
      </c>
      <c r="BK39" s="83">
        <v>1</v>
      </c>
      <c r="BL39" s="83">
        <v>10</v>
      </c>
      <c r="BM39" s="83">
        <v>1</v>
      </c>
      <c r="BN39" s="83">
        <v>4</v>
      </c>
      <c r="BO39" s="83">
        <v>0</v>
      </c>
      <c r="BP39" s="83">
        <v>0</v>
      </c>
      <c r="BQ39" s="83">
        <v>1</v>
      </c>
    </row>
    <row r="40" spans="1:69" s="34" customFormat="1" ht="21.9" customHeight="1" x14ac:dyDescent="0.25">
      <c r="A40" s="202" t="s">
        <v>88</v>
      </c>
      <c r="C40" s="85" t="s">
        <v>75</v>
      </c>
      <c r="D40" s="86"/>
      <c r="E40" s="83">
        <f t="shared" si="0"/>
        <v>44009</v>
      </c>
      <c r="F40" s="83">
        <v>1345</v>
      </c>
      <c r="G40" s="83">
        <v>438</v>
      </c>
      <c r="H40" s="83">
        <v>196</v>
      </c>
      <c r="I40" s="83">
        <v>20</v>
      </c>
      <c r="J40" s="83">
        <v>131</v>
      </c>
      <c r="K40" s="83">
        <v>93</v>
      </c>
      <c r="L40" s="83">
        <v>73</v>
      </c>
      <c r="M40" s="83">
        <v>2487</v>
      </c>
      <c r="N40" s="83">
        <v>436</v>
      </c>
      <c r="O40" s="83">
        <v>281</v>
      </c>
      <c r="P40" s="83">
        <v>306</v>
      </c>
      <c r="Q40" s="83">
        <v>68</v>
      </c>
      <c r="R40" s="83">
        <v>0</v>
      </c>
      <c r="S40" s="83">
        <v>198</v>
      </c>
      <c r="T40" s="83">
        <v>527</v>
      </c>
      <c r="U40" s="83">
        <v>285</v>
      </c>
      <c r="V40" s="83">
        <v>693</v>
      </c>
      <c r="W40" s="83">
        <v>572</v>
      </c>
      <c r="X40" s="83">
        <v>357</v>
      </c>
      <c r="Y40" s="83">
        <v>262</v>
      </c>
      <c r="Z40" s="83">
        <v>19</v>
      </c>
      <c r="AA40" s="83">
        <v>1755</v>
      </c>
      <c r="AB40" s="83">
        <v>772</v>
      </c>
      <c r="AC40" s="83">
        <v>303</v>
      </c>
      <c r="AD40" s="83">
        <v>28</v>
      </c>
      <c r="AE40" s="83">
        <v>105</v>
      </c>
      <c r="AF40" s="83">
        <v>4021</v>
      </c>
      <c r="AG40" s="83">
        <v>853</v>
      </c>
      <c r="AH40" s="83">
        <v>132</v>
      </c>
      <c r="AI40" s="83">
        <v>640</v>
      </c>
      <c r="AJ40" s="83">
        <v>114</v>
      </c>
      <c r="AK40" s="83">
        <v>1081</v>
      </c>
      <c r="AL40" s="83">
        <v>55</v>
      </c>
      <c r="AM40" s="102">
        <v>99</v>
      </c>
      <c r="AN40" s="83">
        <v>143</v>
      </c>
      <c r="AO40" s="83">
        <v>7</v>
      </c>
      <c r="AP40" s="83">
        <v>162</v>
      </c>
      <c r="AQ40" s="83">
        <v>42</v>
      </c>
      <c r="AR40" s="83">
        <v>45</v>
      </c>
      <c r="AS40" s="83">
        <v>3</v>
      </c>
      <c r="AT40" s="83">
        <v>303</v>
      </c>
      <c r="AU40" s="83">
        <v>130</v>
      </c>
      <c r="AV40" s="83">
        <v>1306</v>
      </c>
      <c r="AW40" s="83">
        <v>4900</v>
      </c>
      <c r="AX40" s="83">
        <v>813</v>
      </c>
      <c r="AY40" s="83">
        <v>288</v>
      </c>
      <c r="AZ40" s="83">
        <v>3558</v>
      </c>
      <c r="BA40" s="83">
        <v>121</v>
      </c>
      <c r="BB40" s="83">
        <v>8</v>
      </c>
      <c r="BC40" s="83">
        <v>1017</v>
      </c>
      <c r="BD40" s="83">
        <v>1539</v>
      </c>
      <c r="BE40" s="83">
        <v>901</v>
      </c>
      <c r="BF40" s="83">
        <v>2632</v>
      </c>
      <c r="BG40" s="83">
        <v>1574</v>
      </c>
      <c r="BH40" s="83">
        <v>1750</v>
      </c>
      <c r="BI40" s="83">
        <v>74</v>
      </c>
      <c r="BJ40" s="83">
        <v>304</v>
      </c>
      <c r="BK40" s="83">
        <v>731</v>
      </c>
      <c r="BL40" s="83">
        <v>535</v>
      </c>
      <c r="BM40" s="83">
        <v>211</v>
      </c>
      <c r="BN40" s="83">
        <v>119</v>
      </c>
      <c r="BO40" s="83">
        <v>967</v>
      </c>
      <c r="BP40" s="83">
        <v>0</v>
      </c>
      <c r="BQ40" s="83">
        <v>1081</v>
      </c>
    </row>
    <row r="41" spans="1:69" s="34" customFormat="1" ht="21.9" customHeight="1" x14ac:dyDescent="0.25">
      <c r="A41" s="202"/>
      <c r="C41" s="85" t="s">
        <v>76</v>
      </c>
      <c r="D41" s="86"/>
      <c r="E41" s="83">
        <f t="shared" si="0"/>
        <v>82</v>
      </c>
      <c r="F41" s="87">
        <v>0</v>
      </c>
      <c r="G41" s="87">
        <v>0</v>
      </c>
      <c r="H41" s="87">
        <v>0</v>
      </c>
      <c r="I41" s="87">
        <v>0</v>
      </c>
      <c r="J41" s="87">
        <v>0</v>
      </c>
      <c r="K41" s="87">
        <v>0</v>
      </c>
      <c r="L41" s="87">
        <v>0</v>
      </c>
      <c r="M41" s="87">
        <v>0</v>
      </c>
      <c r="N41" s="87">
        <v>1</v>
      </c>
      <c r="O41" s="87">
        <v>0</v>
      </c>
      <c r="P41" s="87">
        <v>2</v>
      </c>
      <c r="Q41" s="87">
        <v>0</v>
      </c>
      <c r="R41" s="87">
        <v>0</v>
      </c>
      <c r="S41" s="87">
        <v>1</v>
      </c>
      <c r="T41" s="87">
        <v>0</v>
      </c>
      <c r="U41" s="87">
        <v>0</v>
      </c>
      <c r="V41" s="83">
        <v>1</v>
      </c>
      <c r="W41" s="83">
        <v>1</v>
      </c>
      <c r="X41" s="83">
        <v>0</v>
      </c>
      <c r="Y41" s="83">
        <v>6</v>
      </c>
      <c r="Z41" s="83">
        <v>0</v>
      </c>
      <c r="AA41" s="83">
        <v>0</v>
      </c>
      <c r="AB41" s="83">
        <v>9</v>
      </c>
      <c r="AC41" s="83">
        <v>0</v>
      </c>
      <c r="AD41" s="83">
        <v>1</v>
      </c>
      <c r="AE41" s="83">
        <v>0</v>
      </c>
      <c r="AF41" s="83">
        <v>1</v>
      </c>
      <c r="AG41" s="83">
        <v>0</v>
      </c>
      <c r="AH41" s="83">
        <v>1</v>
      </c>
      <c r="AI41" s="83">
        <v>14</v>
      </c>
      <c r="AJ41" s="83">
        <v>5</v>
      </c>
      <c r="AK41" s="83">
        <v>0</v>
      </c>
      <c r="AL41" s="83">
        <v>0</v>
      </c>
      <c r="AM41" s="102">
        <v>6</v>
      </c>
      <c r="AN41" s="83">
        <v>0</v>
      </c>
      <c r="AO41" s="83">
        <v>0</v>
      </c>
      <c r="AP41" s="83">
        <v>1</v>
      </c>
      <c r="AQ41" s="83">
        <v>0</v>
      </c>
      <c r="AR41" s="83">
        <v>0</v>
      </c>
      <c r="AS41" s="83">
        <v>0</v>
      </c>
      <c r="AT41" s="83">
        <v>5</v>
      </c>
      <c r="AU41" s="83">
        <v>1</v>
      </c>
      <c r="AV41" s="83">
        <v>0</v>
      </c>
      <c r="AW41" s="83">
        <v>7</v>
      </c>
      <c r="AX41" s="83">
        <v>11</v>
      </c>
      <c r="AY41" s="83">
        <v>0</v>
      </c>
      <c r="AZ41" s="83">
        <v>0</v>
      </c>
      <c r="BA41" s="83">
        <v>0</v>
      </c>
      <c r="BB41" s="83">
        <v>0</v>
      </c>
      <c r="BC41" s="83">
        <v>0</v>
      </c>
      <c r="BD41" s="83">
        <v>0</v>
      </c>
      <c r="BE41" s="83">
        <v>0</v>
      </c>
      <c r="BF41" s="83">
        <v>4</v>
      </c>
      <c r="BG41" s="83">
        <v>4</v>
      </c>
      <c r="BH41" s="83">
        <v>0</v>
      </c>
      <c r="BI41" s="83">
        <v>0</v>
      </c>
      <c r="BJ41" s="83">
        <v>0</v>
      </c>
      <c r="BK41" s="83">
        <v>0</v>
      </c>
      <c r="BL41" s="83">
        <v>0</v>
      </c>
      <c r="BM41" s="83">
        <v>0</v>
      </c>
      <c r="BN41" s="83">
        <v>0</v>
      </c>
      <c r="BO41" s="83">
        <v>0</v>
      </c>
      <c r="BP41" s="83">
        <v>0</v>
      </c>
      <c r="BQ41" s="83">
        <v>0</v>
      </c>
    </row>
    <row r="42" spans="1:69" s="34" customFormat="1" ht="21.9" customHeight="1" x14ac:dyDescent="0.25">
      <c r="A42" s="202" t="s">
        <v>89</v>
      </c>
      <c r="B42" s="88"/>
      <c r="C42" s="85" t="s">
        <v>75</v>
      </c>
      <c r="D42" s="86"/>
      <c r="E42" s="83">
        <f t="shared" si="0"/>
        <v>12690</v>
      </c>
      <c r="F42" s="83">
        <v>997</v>
      </c>
      <c r="G42" s="83">
        <v>679</v>
      </c>
      <c r="H42" s="83">
        <v>25</v>
      </c>
      <c r="I42" s="83">
        <v>0</v>
      </c>
      <c r="J42" s="83">
        <v>56</v>
      </c>
      <c r="K42" s="83">
        <v>13</v>
      </c>
      <c r="L42" s="83">
        <v>587</v>
      </c>
      <c r="M42" s="83">
        <v>600</v>
      </c>
      <c r="N42" s="83">
        <v>154</v>
      </c>
      <c r="O42" s="83">
        <v>38</v>
      </c>
      <c r="P42" s="83">
        <v>391</v>
      </c>
      <c r="Q42" s="83">
        <v>26</v>
      </c>
      <c r="R42" s="83">
        <v>0</v>
      </c>
      <c r="S42" s="83">
        <v>28</v>
      </c>
      <c r="T42" s="83">
        <v>75</v>
      </c>
      <c r="U42" s="83">
        <v>0</v>
      </c>
      <c r="V42" s="83">
        <v>82</v>
      </c>
      <c r="W42" s="83">
        <v>330</v>
      </c>
      <c r="X42" s="83">
        <v>686</v>
      </c>
      <c r="Y42" s="83">
        <v>145</v>
      </c>
      <c r="Z42" s="83">
        <v>60</v>
      </c>
      <c r="AA42" s="83">
        <v>308</v>
      </c>
      <c r="AB42" s="83">
        <v>45</v>
      </c>
      <c r="AC42" s="83">
        <v>66</v>
      </c>
      <c r="AD42" s="83">
        <v>16</v>
      </c>
      <c r="AE42" s="83">
        <v>102</v>
      </c>
      <c r="AF42" s="83">
        <v>730</v>
      </c>
      <c r="AG42" s="83">
        <v>209</v>
      </c>
      <c r="AH42" s="83">
        <v>356</v>
      </c>
      <c r="AI42" s="83">
        <v>108</v>
      </c>
      <c r="AJ42" s="83">
        <v>58</v>
      </c>
      <c r="AK42" s="83">
        <v>126</v>
      </c>
      <c r="AL42" s="83">
        <v>0</v>
      </c>
      <c r="AM42" s="102">
        <v>56</v>
      </c>
      <c r="AN42" s="83">
        <v>6</v>
      </c>
      <c r="AO42" s="83">
        <v>0</v>
      </c>
      <c r="AP42" s="83">
        <v>58</v>
      </c>
      <c r="AQ42" s="83">
        <v>5</v>
      </c>
      <c r="AR42" s="83">
        <v>10</v>
      </c>
      <c r="AS42" s="83">
        <v>18</v>
      </c>
      <c r="AT42" s="83">
        <v>50</v>
      </c>
      <c r="AU42" s="83">
        <v>14</v>
      </c>
      <c r="AV42" s="83">
        <v>63</v>
      </c>
      <c r="AW42" s="83">
        <v>1874</v>
      </c>
      <c r="AX42" s="83">
        <v>35</v>
      </c>
      <c r="AY42" s="83">
        <v>2</v>
      </c>
      <c r="AZ42" s="83">
        <v>662</v>
      </c>
      <c r="BA42" s="83">
        <v>212</v>
      </c>
      <c r="BB42" s="83">
        <v>18</v>
      </c>
      <c r="BC42" s="83">
        <v>0</v>
      </c>
      <c r="BD42" s="83">
        <v>0</v>
      </c>
      <c r="BE42" s="83">
        <v>0</v>
      </c>
      <c r="BF42" s="83">
        <v>6</v>
      </c>
      <c r="BG42" s="83">
        <v>51</v>
      </c>
      <c r="BH42" s="83">
        <v>197</v>
      </c>
      <c r="BI42" s="83">
        <v>377</v>
      </c>
      <c r="BJ42" s="83">
        <v>300</v>
      </c>
      <c r="BK42" s="83">
        <v>112</v>
      </c>
      <c r="BL42" s="83">
        <v>72</v>
      </c>
      <c r="BM42" s="83">
        <v>82</v>
      </c>
      <c r="BN42" s="83">
        <v>1048</v>
      </c>
      <c r="BO42" s="83">
        <v>0</v>
      </c>
      <c r="BP42" s="83">
        <v>75</v>
      </c>
      <c r="BQ42" s="83">
        <v>191</v>
      </c>
    </row>
    <row r="43" spans="1:69" s="34" customFormat="1" ht="21.9" customHeight="1" x14ac:dyDescent="0.25">
      <c r="A43" s="202"/>
      <c r="B43" s="88"/>
      <c r="C43" s="85" t="s">
        <v>76</v>
      </c>
      <c r="D43" s="86"/>
      <c r="E43" s="83">
        <f t="shared" si="0"/>
        <v>1</v>
      </c>
      <c r="F43" s="87">
        <v>0</v>
      </c>
      <c r="G43" s="87">
        <v>0</v>
      </c>
      <c r="H43" s="87">
        <v>0</v>
      </c>
      <c r="I43" s="87">
        <v>0</v>
      </c>
      <c r="J43" s="87">
        <v>0</v>
      </c>
      <c r="K43" s="87">
        <v>0</v>
      </c>
      <c r="L43" s="87">
        <v>0</v>
      </c>
      <c r="M43" s="87">
        <v>0</v>
      </c>
      <c r="N43" s="87">
        <v>0</v>
      </c>
      <c r="O43" s="87">
        <v>0</v>
      </c>
      <c r="P43" s="87">
        <v>0</v>
      </c>
      <c r="Q43" s="87">
        <v>0</v>
      </c>
      <c r="R43" s="87">
        <v>0</v>
      </c>
      <c r="S43" s="87">
        <v>0</v>
      </c>
      <c r="T43" s="87">
        <v>0</v>
      </c>
      <c r="U43" s="87">
        <v>0</v>
      </c>
      <c r="V43" s="83">
        <v>0</v>
      </c>
      <c r="W43" s="83">
        <v>0</v>
      </c>
      <c r="X43" s="83">
        <v>0</v>
      </c>
      <c r="Y43" s="83">
        <v>0</v>
      </c>
      <c r="Z43" s="83">
        <v>0</v>
      </c>
      <c r="AA43" s="83">
        <v>0</v>
      </c>
      <c r="AB43" s="83">
        <v>0</v>
      </c>
      <c r="AC43" s="83">
        <v>0</v>
      </c>
      <c r="AD43" s="83">
        <v>0</v>
      </c>
      <c r="AE43" s="83">
        <v>0</v>
      </c>
      <c r="AF43" s="83">
        <v>1</v>
      </c>
      <c r="AG43" s="83">
        <v>0</v>
      </c>
      <c r="AH43" s="83">
        <v>0</v>
      </c>
      <c r="AI43" s="83">
        <v>0</v>
      </c>
      <c r="AJ43" s="83">
        <v>0</v>
      </c>
      <c r="AK43" s="83">
        <v>0</v>
      </c>
      <c r="AL43" s="83">
        <v>0</v>
      </c>
      <c r="AM43" s="102">
        <v>0</v>
      </c>
      <c r="AN43" s="83">
        <v>0</v>
      </c>
      <c r="AO43" s="83">
        <v>0</v>
      </c>
      <c r="AP43" s="83">
        <v>0</v>
      </c>
      <c r="AQ43" s="83">
        <v>0</v>
      </c>
      <c r="AR43" s="83">
        <v>0</v>
      </c>
      <c r="AS43" s="83">
        <v>0</v>
      </c>
      <c r="AT43" s="83">
        <v>0</v>
      </c>
      <c r="AU43" s="83">
        <v>0</v>
      </c>
      <c r="AV43" s="83">
        <v>0</v>
      </c>
      <c r="AW43" s="83">
        <v>0</v>
      </c>
      <c r="AX43" s="83">
        <v>0</v>
      </c>
      <c r="AY43" s="83">
        <v>0</v>
      </c>
      <c r="AZ43" s="83">
        <v>0</v>
      </c>
      <c r="BA43" s="83">
        <v>0</v>
      </c>
      <c r="BB43" s="83">
        <v>0</v>
      </c>
      <c r="BC43" s="83">
        <v>0</v>
      </c>
      <c r="BD43" s="83">
        <v>0</v>
      </c>
      <c r="BE43" s="83">
        <v>0</v>
      </c>
      <c r="BF43" s="83">
        <v>0</v>
      </c>
      <c r="BG43" s="83">
        <v>0</v>
      </c>
      <c r="BH43" s="83">
        <v>0</v>
      </c>
      <c r="BI43" s="83">
        <v>0</v>
      </c>
      <c r="BJ43" s="83">
        <v>0</v>
      </c>
      <c r="BK43" s="83">
        <v>0</v>
      </c>
      <c r="BL43" s="83">
        <v>0</v>
      </c>
      <c r="BM43" s="83">
        <v>0</v>
      </c>
      <c r="BN43" s="83">
        <v>0</v>
      </c>
      <c r="BO43" s="83">
        <v>0</v>
      </c>
      <c r="BP43" s="83">
        <v>0</v>
      </c>
      <c r="BQ43" s="83">
        <v>0</v>
      </c>
    </row>
    <row r="44" spans="1:69" s="34" customFormat="1" ht="21.9" customHeight="1" x14ac:dyDescent="0.25">
      <c r="A44" s="202" t="s">
        <v>90</v>
      </c>
      <c r="B44" s="88"/>
      <c r="C44" s="85" t="s">
        <v>75</v>
      </c>
      <c r="D44" s="86"/>
      <c r="E44" s="83">
        <f t="shared" si="0"/>
        <v>16346</v>
      </c>
      <c r="F44" s="83">
        <v>76</v>
      </c>
      <c r="G44" s="83">
        <v>35</v>
      </c>
      <c r="H44" s="83">
        <v>13</v>
      </c>
      <c r="I44" s="83">
        <v>4</v>
      </c>
      <c r="J44" s="83">
        <v>23</v>
      </c>
      <c r="K44" s="83">
        <v>47</v>
      </c>
      <c r="L44" s="83">
        <v>35</v>
      </c>
      <c r="M44" s="83">
        <v>1018</v>
      </c>
      <c r="N44" s="83">
        <v>191</v>
      </c>
      <c r="O44" s="83">
        <v>81</v>
      </c>
      <c r="P44" s="83">
        <v>125</v>
      </c>
      <c r="Q44" s="83">
        <v>24</v>
      </c>
      <c r="R44" s="83">
        <v>0</v>
      </c>
      <c r="S44" s="83">
        <v>320</v>
      </c>
      <c r="T44" s="83">
        <v>183</v>
      </c>
      <c r="U44" s="83">
        <v>119</v>
      </c>
      <c r="V44" s="83">
        <v>152</v>
      </c>
      <c r="W44" s="83">
        <v>669</v>
      </c>
      <c r="X44" s="83">
        <v>73</v>
      </c>
      <c r="Y44" s="83">
        <v>163</v>
      </c>
      <c r="Z44" s="83">
        <v>11</v>
      </c>
      <c r="AA44" s="83">
        <v>308</v>
      </c>
      <c r="AB44" s="83">
        <v>261</v>
      </c>
      <c r="AC44" s="83">
        <v>139</v>
      </c>
      <c r="AD44" s="83">
        <v>138</v>
      </c>
      <c r="AE44" s="83">
        <v>85</v>
      </c>
      <c r="AF44" s="83">
        <v>2115</v>
      </c>
      <c r="AG44" s="83">
        <v>1103</v>
      </c>
      <c r="AH44" s="83">
        <v>264</v>
      </c>
      <c r="AI44" s="83">
        <v>1313</v>
      </c>
      <c r="AJ44" s="83">
        <v>73</v>
      </c>
      <c r="AK44" s="83">
        <v>501</v>
      </c>
      <c r="AL44" s="83">
        <v>1</v>
      </c>
      <c r="AM44" s="102">
        <v>193</v>
      </c>
      <c r="AN44" s="83">
        <v>47</v>
      </c>
      <c r="AO44" s="83">
        <v>1</v>
      </c>
      <c r="AP44" s="83">
        <v>166</v>
      </c>
      <c r="AQ44" s="83">
        <v>7</v>
      </c>
      <c r="AR44" s="83">
        <v>4</v>
      </c>
      <c r="AS44" s="83">
        <v>20</v>
      </c>
      <c r="AT44" s="83">
        <v>78</v>
      </c>
      <c r="AU44" s="83">
        <v>22</v>
      </c>
      <c r="AV44" s="83">
        <v>23</v>
      </c>
      <c r="AW44" s="83">
        <v>992</v>
      </c>
      <c r="AX44" s="83">
        <v>109</v>
      </c>
      <c r="AY44" s="83">
        <v>38</v>
      </c>
      <c r="AZ44" s="83">
        <v>1130</v>
      </c>
      <c r="BA44" s="83">
        <v>160</v>
      </c>
      <c r="BB44" s="83">
        <v>253</v>
      </c>
      <c r="BC44" s="83">
        <v>59</v>
      </c>
      <c r="BD44" s="83">
        <v>12</v>
      </c>
      <c r="BE44" s="83">
        <v>2</v>
      </c>
      <c r="BF44" s="83">
        <v>760</v>
      </c>
      <c r="BG44" s="83">
        <v>196</v>
      </c>
      <c r="BH44" s="83">
        <v>309</v>
      </c>
      <c r="BI44" s="83">
        <v>59</v>
      </c>
      <c r="BJ44" s="83">
        <v>99</v>
      </c>
      <c r="BK44" s="83">
        <v>306</v>
      </c>
      <c r="BL44" s="83">
        <v>160</v>
      </c>
      <c r="BM44" s="83">
        <v>69</v>
      </c>
      <c r="BN44" s="83">
        <v>211</v>
      </c>
      <c r="BO44" s="83">
        <v>31</v>
      </c>
      <c r="BP44" s="83">
        <v>21</v>
      </c>
      <c r="BQ44" s="83">
        <v>1146</v>
      </c>
    </row>
    <row r="45" spans="1:69" s="34" customFormat="1" ht="21.9" customHeight="1" x14ac:dyDescent="0.25">
      <c r="A45" s="202"/>
      <c r="B45" s="88"/>
      <c r="C45" s="85" t="s">
        <v>76</v>
      </c>
      <c r="D45" s="86"/>
      <c r="E45" s="83">
        <f t="shared" si="0"/>
        <v>195</v>
      </c>
      <c r="F45" s="87">
        <v>0</v>
      </c>
      <c r="G45" s="87">
        <v>0</v>
      </c>
      <c r="H45" s="87">
        <v>0</v>
      </c>
      <c r="I45" s="87">
        <v>0</v>
      </c>
      <c r="J45" s="87">
        <v>0</v>
      </c>
      <c r="K45" s="87">
        <v>1</v>
      </c>
      <c r="L45" s="87">
        <v>1</v>
      </c>
      <c r="M45" s="87">
        <v>2</v>
      </c>
      <c r="N45" s="87">
        <v>1</v>
      </c>
      <c r="O45" s="87">
        <v>1</v>
      </c>
      <c r="P45" s="87">
        <v>0</v>
      </c>
      <c r="Q45" s="87">
        <v>0</v>
      </c>
      <c r="R45" s="87">
        <v>0</v>
      </c>
      <c r="S45" s="87">
        <v>1</v>
      </c>
      <c r="T45" s="87">
        <v>2</v>
      </c>
      <c r="U45" s="87">
        <v>0</v>
      </c>
      <c r="V45" s="83">
        <v>5</v>
      </c>
      <c r="W45" s="83">
        <v>6</v>
      </c>
      <c r="X45" s="83">
        <v>5</v>
      </c>
      <c r="Y45" s="83">
        <v>0</v>
      </c>
      <c r="Z45" s="83">
        <v>0</v>
      </c>
      <c r="AA45" s="83">
        <v>1</v>
      </c>
      <c r="AB45" s="83">
        <v>2</v>
      </c>
      <c r="AC45" s="83">
        <v>1</v>
      </c>
      <c r="AD45" s="83">
        <v>2</v>
      </c>
      <c r="AE45" s="83">
        <v>9</v>
      </c>
      <c r="AF45" s="83">
        <v>68</v>
      </c>
      <c r="AG45" s="83">
        <v>14</v>
      </c>
      <c r="AH45" s="83">
        <v>1</v>
      </c>
      <c r="AI45" s="83">
        <v>30</v>
      </c>
      <c r="AJ45" s="83">
        <v>2</v>
      </c>
      <c r="AK45" s="83">
        <v>0</v>
      </c>
      <c r="AL45" s="83">
        <v>0</v>
      </c>
      <c r="AM45" s="102">
        <v>8</v>
      </c>
      <c r="AN45" s="83">
        <v>0</v>
      </c>
      <c r="AO45" s="83">
        <v>0</v>
      </c>
      <c r="AP45" s="83">
        <v>6</v>
      </c>
      <c r="AQ45" s="83">
        <v>0</v>
      </c>
      <c r="AR45" s="83">
        <v>0</v>
      </c>
      <c r="AS45" s="83">
        <v>0</v>
      </c>
      <c r="AT45" s="83">
        <v>0</v>
      </c>
      <c r="AU45" s="83">
        <v>0</v>
      </c>
      <c r="AV45" s="83">
        <v>0</v>
      </c>
      <c r="AW45" s="83">
        <v>2</v>
      </c>
      <c r="AX45" s="83">
        <v>0</v>
      </c>
      <c r="AY45" s="83">
        <v>0</v>
      </c>
      <c r="AZ45" s="83">
        <v>0</v>
      </c>
      <c r="BA45" s="83">
        <v>8</v>
      </c>
      <c r="BB45" s="83">
        <v>1</v>
      </c>
      <c r="BC45" s="83">
        <v>0</v>
      </c>
      <c r="BD45" s="83">
        <v>0</v>
      </c>
      <c r="BE45" s="83">
        <v>0</v>
      </c>
      <c r="BF45" s="83">
        <v>0</v>
      </c>
      <c r="BG45" s="83">
        <v>0</v>
      </c>
      <c r="BH45" s="83">
        <v>5</v>
      </c>
      <c r="BI45" s="83">
        <v>2</v>
      </c>
      <c r="BJ45" s="83">
        <v>0</v>
      </c>
      <c r="BK45" s="83">
        <v>0</v>
      </c>
      <c r="BL45" s="83">
        <v>0</v>
      </c>
      <c r="BM45" s="83">
        <v>0</v>
      </c>
      <c r="BN45" s="83">
        <v>0</v>
      </c>
      <c r="BO45" s="83">
        <v>0</v>
      </c>
      <c r="BP45" s="83">
        <v>0</v>
      </c>
      <c r="BQ45" s="83">
        <v>8</v>
      </c>
    </row>
    <row r="46" spans="1:69" s="34" customFormat="1" ht="21.9" customHeight="1" x14ac:dyDescent="0.25">
      <c r="A46" s="202" t="s">
        <v>91</v>
      </c>
      <c r="B46" s="88"/>
      <c r="C46" s="85" t="s">
        <v>75</v>
      </c>
      <c r="D46" s="86"/>
      <c r="E46" s="83">
        <f t="shared" si="0"/>
        <v>26162</v>
      </c>
      <c r="F46" s="83">
        <v>337</v>
      </c>
      <c r="G46" s="83">
        <v>356</v>
      </c>
      <c r="H46" s="83">
        <v>2</v>
      </c>
      <c r="I46" s="83">
        <v>0</v>
      </c>
      <c r="J46" s="83">
        <v>183</v>
      </c>
      <c r="K46" s="83">
        <v>43</v>
      </c>
      <c r="L46" s="83">
        <v>112</v>
      </c>
      <c r="M46" s="83">
        <v>569</v>
      </c>
      <c r="N46" s="83">
        <v>109</v>
      </c>
      <c r="O46" s="83">
        <v>448</v>
      </c>
      <c r="P46" s="83">
        <v>130</v>
      </c>
      <c r="Q46" s="83">
        <v>20</v>
      </c>
      <c r="R46" s="83">
        <v>5</v>
      </c>
      <c r="S46" s="83">
        <v>223</v>
      </c>
      <c r="T46" s="83">
        <v>1056</v>
      </c>
      <c r="U46" s="83">
        <v>666</v>
      </c>
      <c r="V46" s="83">
        <v>136</v>
      </c>
      <c r="W46" s="83">
        <v>210</v>
      </c>
      <c r="X46" s="83">
        <v>351</v>
      </c>
      <c r="Y46" s="83">
        <v>58</v>
      </c>
      <c r="Z46" s="83">
        <v>29</v>
      </c>
      <c r="AA46" s="83">
        <v>1329</v>
      </c>
      <c r="AB46" s="83">
        <v>351</v>
      </c>
      <c r="AC46" s="83">
        <v>304</v>
      </c>
      <c r="AD46" s="83">
        <v>185</v>
      </c>
      <c r="AE46" s="83">
        <v>1</v>
      </c>
      <c r="AF46" s="83">
        <v>3201</v>
      </c>
      <c r="AG46" s="83">
        <v>1466</v>
      </c>
      <c r="AH46" s="83">
        <v>229</v>
      </c>
      <c r="AI46" s="83">
        <v>960</v>
      </c>
      <c r="AJ46" s="83">
        <v>83</v>
      </c>
      <c r="AK46" s="83">
        <v>714</v>
      </c>
      <c r="AL46" s="83">
        <v>2</v>
      </c>
      <c r="AM46" s="102">
        <v>15</v>
      </c>
      <c r="AN46" s="83">
        <v>120</v>
      </c>
      <c r="AO46" s="83">
        <v>9</v>
      </c>
      <c r="AP46" s="83">
        <v>742</v>
      </c>
      <c r="AQ46" s="83">
        <v>8</v>
      </c>
      <c r="AR46" s="83">
        <v>6</v>
      </c>
      <c r="AS46" s="83">
        <v>13</v>
      </c>
      <c r="AT46" s="83">
        <v>34</v>
      </c>
      <c r="AU46" s="83">
        <v>272</v>
      </c>
      <c r="AV46" s="83">
        <v>1946</v>
      </c>
      <c r="AW46" s="83">
        <v>2495</v>
      </c>
      <c r="AX46" s="83">
        <v>1170</v>
      </c>
      <c r="AY46" s="83">
        <v>45</v>
      </c>
      <c r="AZ46" s="83">
        <v>1070</v>
      </c>
      <c r="BA46" s="83">
        <v>119</v>
      </c>
      <c r="BB46" s="83">
        <v>10</v>
      </c>
      <c r="BC46" s="83">
        <v>40</v>
      </c>
      <c r="BD46" s="83">
        <v>0</v>
      </c>
      <c r="BE46" s="83">
        <v>147</v>
      </c>
      <c r="BF46" s="83">
        <v>672</v>
      </c>
      <c r="BG46" s="83">
        <v>661</v>
      </c>
      <c r="BH46" s="83">
        <v>303</v>
      </c>
      <c r="BI46" s="83">
        <v>204</v>
      </c>
      <c r="BJ46" s="83">
        <v>330</v>
      </c>
      <c r="BK46" s="83">
        <v>543</v>
      </c>
      <c r="BL46" s="83">
        <v>378</v>
      </c>
      <c r="BM46" s="83">
        <v>216</v>
      </c>
      <c r="BN46" s="83">
        <v>133</v>
      </c>
      <c r="BO46" s="83">
        <v>550</v>
      </c>
      <c r="BP46" s="83">
        <v>40</v>
      </c>
      <c r="BQ46" s="83">
        <v>3</v>
      </c>
    </row>
    <row r="47" spans="1:69" s="34" customFormat="1" ht="21.9" customHeight="1" x14ac:dyDescent="0.25">
      <c r="A47" s="202"/>
      <c r="B47" s="88"/>
      <c r="C47" s="85" t="s">
        <v>76</v>
      </c>
      <c r="D47" s="86"/>
      <c r="E47" s="83">
        <f t="shared" si="0"/>
        <v>526</v>
      </c>
      <c r="F47" s="87">
        <v>0</v>
      </c>
      <c r="G47" s="87">
        <v>0</v>
      </c>
      <c r="H47" s="87">
        <v>0</v>
      </c>
      <c r="I47" s="87">
        <v>0</v>
      </c>
      <c r="J47" s="87">
        <v>0</v>
      </c>
      <c r="K47" s="87">
        <v>0</v>
      </c>
      <c r="L47" s="87">
        <v>0</v>
      </c>
      <c r="M47" s="87">
        <v>0</v>
      </c>
      <c r="N47" s="87">
        <v>1</v>
      </c>
      <c r="O47" s="87">
        <v>0</v>
      </c>
      <c r="P47" s="87">
        <v>0</v>
      </c>
      <c r="Q47" s="87">
        <v>0</v>
      </c>
      <c r="R47" s="87">
        <v>0</v>
      </c>
      <c r="S47" s="87">
        <v>11</v>
      </c>
      <c r="T47" s="87">
        <v>250</v>
      </c>
      <c r="U47" s="87">
        <v>3</v>
      </c>
      <c r="V47" s="83">
        <v>0</v>
      </c>
      <c r="W47" s="83">
        <v>0</v>
      </c>
      <c r="X47" s="83">
        <v>0</v>
      </c>
      <c r="Y47" s="83">
        <v>0</v>
      </c>
      <c r="Z47" s="83">
        <v>0</v>
      </c>
      <c r="AA47" s="83">
        <v>1</v>
      </c>
      <c r="AB47" s="83">
        <v>0</v>
      </c>
      <c r="AC47" s="83">
        <v>0</v>
      </c>
      <c r="AD47" s="83">
        <v>16</v>
      </c>
      <c r="AE47" s="83">
        <v>0</v>
      </c>
      <c r="AF47" s="83">
        <v>6</v>
      </c>
      <c r="AG47" s="83">
        <v>2</v>
      </c>
      <c r="AH47" s="83">
        <v>0</v>
      </c>
      <c r="AI47" s="83">
        <v>20</v>
      </c>
      <c r="AJ47" s="83">
        <v>0</v>
      </c>
      <c r="AK47" s="83">
        <v>0</v>
      </c>
      <c r="AL47" s="83">
        <v>1</v>
      </c>
      <c r="AM47" s="102">
        <v>0</v>
      </c>
      <c r="AN47" s="83">
        <v>1</v>
      </c>
      <c r="AO47" s="83">
        <v>0</v>
      </c>
      <c r="AP47" s="83">
        <v>0</v>
      </c>
      <c r="AQ47" s="83">
        <v>0</v>
      </c>
      <c r="AR47" s="83">
        <v>0</v>
      </c>
      <c r="AS47" s="83">
        <v>0</v>
      </c>
      <c r="AT47" s="83">
        <v>0</v>
      </c>
      <c r="AU47" s="83">
        <v>2</v>
      </c>
      <c r="AV47" s="83">
        <v>0</v>
      </c>
      <c r="AW47" s="83">
        <v>1</v>
      </c>
      <c r="AX47" s="83">
        <v>1</v>
      </c>
      <c r="AY47" s="83">
        <v>0</v>
      </c>
      <c r="AZ47" s="83">
        <v>0</v>
      </c>
      <c r="BA47" s="83">
        <v>0</v>
      </c>
      <c r="BB47" s="83">
        <v>2</v>
      </c>
      <c r="BC47" s="83">
        <v>0</v>
      </c>
      <c r="BD47" s="83">
        <v>0</v>
      </c>
      <c r="BE47" s="83">
        <v>0</v>
      </c>
      <c r="BF47" s="83">
        <v>0</v>
      </c>
      <c r="BG47" s="83">
        <v>1</v>
      </c>
      <c r="BH47" s="83">
        <v>3</v>
      </c>
      <c r="BI47" s="83">
        <v>204</v>
      </c>
      <c r="BJ47" s="83">
        <v>0</v>
      </c>
      <c r="BK47" s="83">
        <v>0</v>
      </c>
      <c r="BL47" s="83">
        <v>0</v>
      </c>
      <c r="BM47" s="83">
        <v>0</v>
      </c>
      <c r="BN47" s="83">
        <v>0</v>
      </c>
      <c r="BO47" s="83">
        <v>0</v>
      </c>
      <c r="BP47" s="83">
        <v>0</v>
      </c>
      <c r="BQ47" s="83">
        <v>0</v>
      </c>
    </row>
    <row r="48" spans="1:69" s="34" customFormat="1" ht="21.9" customHeight="1" x14ac:dyDescent="0.25">
      <c r="A48" s="202" t="s">
        <v>92</v>
      </c>
      <c r="B48" s="88"/>
      <c r="C48" s="85" t="s">
        <v>75</v>
      </c>
      <c r="D48" s="86"/>
      <c r="E48" s="83">
        <f t="shared" si="0"/>
        <v>16497</v>
      </c>
      <c r="F48" s="83">
        <v>185</v>
      </c>
      <c r="G48" s="83">
        <v>197</v>
      </c>
      <c r="H48" s="83">
        <v>37</v>
      </c>
      <c r="I48" s="83">
        <v>0</v>
      </c>
      <c r="J48" s="83">
        <v>54</v>
      </c>
      <c r="K48" s="83">
        <v>25</v>
      </c>
      <c r="L48" s="83">
        <v>17</v>
      </c>
      <c r="M48" s="83">
        <v>654</v>
      </c>
      <c r="N48" s="83">
        <v>158</v>
      </c>
      <c r="O48" s="83">
        <v>53</v>
      </c>
      <c r="P48" s="83">
        <v>125</v>
      </c>
      <c r="Q48" s="83">
        <v>39</v>
      </c>
      <c r="R48" s="83">
        <v>0</v>
      </c>
      <c r="S48" s="83">
        <v>125</v>
      </c>
      <c r="T48" s="83">
        <v>178</v>
      </c>
      <c r="U48" s="83">
        <v>84</v>
      </c>
      <c r="V48" s="83">
        <v>177</v>
      </c>
      <c r="W48" s="83">
        <v>282</v>
      </c>
      <c r="X48" s="83">
        <v>215</v>
      </c>
      <c r="Y48" s="83">
        <v>187</v>
      </c>
      <c r="Z48" s="83">
        <v>31</v>
      </c>
      <c r="AA48" s="83">
        <v>111</v>
      </c>
      <c r="AB48" s="83">
        <v>281</v>
      </c>
      <c r="AC48" s="83">
        <v>57</v>
      </c>
      <c r="AD48" s="83">
        <v>14</v>
      </c>
      <c r="AE48" s="83">
        <v>114</v>
      </c>
      <c r="AF48" s="83">
        <v>2810</v>
      </c>
      <c r="AG48" s="83">
        <v>549</v>
      </c>
      <c r="AH48" s="83">
        <v>458</v>
      </c>
      <c r="AI48" s="83">
        <v>834</v>
      </c>
      <c r="AJ48" s="83">
        <v>52</v>
      </c>
      <c r="AK48" s="83">
        <v>406</v>
      </c>
      <c r="AL48" s="83">
        <v>3</v>
      </c>
      <c r="AM48" s="102">
        <v>40</v>
      </c>
      <c r="AN48" s="83">
        <v>30</v>
      </c>
      <c r="AO48" s="83">
        <v>2</v>
      </c>
      <c r="AP48" s="83">
        <v>370</v>
      </c>
      <c r="AQ48" s="83">
        <v>39</v>
      </c>
      <c r="AR48" s="83">
        <v>11</v>
      </c>
      <c r="AS48" s="83">
        <v>97</v>
      </c>
      <c r="AT48" s="83">
        <v>49</v>
      </c>
      <c r="AU48" s="83">
        <v>76</v>
      </c>
      <c r="AV48" s="83">
        <v>23</v>
      </c>
      <c r="AW48" s="83">
        <v>929</v>
      </c>
      <c r="AX48" s="83">
        <v>23</v>
      </c>
      <c r="AY48" s="83">
        <v>241</v>
      </c>
      <c r="AZ48" s="83">
        <v>230</v>
      </c>
      <c r="BA48" s="83">
        <v>328</v>
      </c>
      <c r="BB48" s="83">
        <v>5</v>
      </c>
      <c r="BC48" s="83">
        <v>88</v>
      </c>
      <c r="BD48" s="83">
        <v>4</v>
      </c>
      <c r="BE48" s="83">
        <v>3</v>
      </c>
      <c r="BF48" s="83">
        <v>106</v>
      </c>
      <c r="BG48" s="83">
        <v>151</v>
      </c>
      <c r="BH48" s="83">
        <v>189</v>
      </c>
      <c r="BI48" s="83">
        <v>1624</v>
      </c>
      <c r="BJ48" s="83">
        <v>226</v>
      </c>
      <c r="BK48" s="83">
        <v>1072</v>
      </c>
      <c r="BL48" s="83">
        <v>474</v>
      </c>
      <c r="BM48" s="83">
        <v>832</v>
      </c>
      <c r="BN48" s="83">
        <v>696</v>
      </c>
      <c r="BO48" s="83">
        <v>8</v>
      </c>
      <c r="BP48" s="83">
        <v>7</v>
      </c>
      <c r="BQ48" s="83">
        <v>12</v>
      </c>
    </row>
    <row r="49" spans="1:193" s="34" customFormat="1" ht="21.9" customHeight="1" x14ac:dyDescent="0.25">
      <c r="A49" s="202"/>
      <c r="B49" s="88"/>
      <c r="C49" s="85" t="s">
        <v>76</v>
      </c>
      <c r="D49" s="86"/>
      <c r="E49" s="83">
        <f t="shared" si="0"/>
        <v>226</v>
      </c>
      <c r="F49" s="87">
        <v>0</v>
      </c>
      <c r="G49" s="87">
        <v>0</v>
      </c>
      <c r="H49" s="87">
        <v>0</v>
      </c>
      <c r="I49" s="87">
        <v>0</v>
      </c>
      <c r="J49" s="87">
        <v>0</v>
      </c>
      <c r="K49" s="87">
        <v>0</v>
      </c>
      <c r="L49" s="87">
        <v>0</v>
      </c>
      <c r="M49" s="87">
        <v>0</v>
      </c>
      <c r="N49" s="87">
        <v>1</v>
      </c>
      <c r="O49" s="87">
        <v>0</v>
      </c>
      <c r="P49" s="87">
        <v>0</v>
      </c>
      <c r="Q49" s="87">
        <v>0</v>
      </c>
      <c r="R49" s="87">
        <v>0</v>
      </c>
      <c r="S49" s="87">
        <v>0</v>
      </c>
      <c r="T49" s="87">
        <v>3</v>
      </c>
      <c r="U49" s="87">
        <v>3</v>
      </c>
      <c r="V49" s="83">
        <v>2</v>
      </c>
      <c r="W49" s="83">
        <v>8</v>
      </c>
      <c r="X49" s="83">
        <v>3</v>
      </c>
      <c r="Y49" s="83">
        <v>7</v>
      </c>
      <c r="Z49" s="83">
        <v>1</v>
      </c>
      <c r="AA49" s="83">
        <v>0</v>
      </c>
      <c r="AB49" s="83">
        <v>0</v>
      </c>
      <c r="AC49" s="83">
        <v>1</v>
      </c>
      <c r="AD49" s="83">
        <v>0</v>
      </c>
      <c r="AE49" s="83">
        <v>4</v>
      </c>
      <c r="AF49" s="83">
        <v>19</v>
      </c>
      <c r="AG49" s="83">
        <v>5</v>
      </c>
      <c r="AH49" s="83">
        <v>1</v>
      </c>
      <c r="AI49" s="83">
        <v>19</v>
      </c>
      <c r="AJ49" s="83">
        <v>2</v>
      </c>
      <c r="AK49" s="83">
        <v>3</v>
      </c>
      <c r="AL49" s="83">
        <v>0</v>
      </c>
      <c r="AM49" s="102">
        <v>4</v>
      </c>
      <c r="AN49" s="83">
        <v>2</v>
      </c>
      <c r="AO49" s="83">
        <v>0</v>
      </c>
      <c r="AP49" s="83">
        <v>18</v>
      </c>
      <c r="AQ49" s="83">
        <v>1</v>
      </c>
      <c r="AR49" s="83">
        <v>0</v>
      </c>
      <c r="AS49" s="83">
        <v>0</v>
      </c>
      <c r="AT49" s="83">
        <v>2</v>
      </c>
      <c r="AU49" s="83">
        <v>0</v>
      </c>
      <c r="AV49" s="83">
        <v>0</v>
      </c>
      <c r="AW49" s="83">
        <v>9</v>
      </c>
      <c r="AX49" s="83">
        <v>0</v>
      </c>
      <c r="AY49" s="83">
        <v>0</v>
      </c>
      <c r="AZ49" s="83">
        <v>1</v>
      </c>
      <c r="BA49" s="83">
        <v>1</v>
      </c>
      <c r="BB49" s="83">
        <v>0</v>
      </c>
      <c r="BC49" s="83">
        <v>0</v>
      </c>
      <c r="BD49" s="83">
        <v>0</v>
      </c>
      <c r="BE49" s="83">
        <v>2</v>
      </c>
      <c r="BF49" s="83">
        <v>2</v>
      </c>
      <c r="BG49" s="83">
        <v>15</v>
      </c>
      <c r="BH49" s="83">
        <v>5</v>
      </c>
      <c r="BI49" s="83">
        <v>41</v>
      </c>
      <c r="BJ49" s="83">
        <v>0</v>
      </c>
      <c r="BK49" s="83">
        <v>17</v>
      </c>
      <c r="BL49" s="83">
        <v>7</v>
      </c>
      <c r="BM49" s="83">
        <v>7</v>
      </c>
      <c r="BN49" s="83">
        <v>8</v>
      </c>
      <c r="BO49" s="83">
        <v>0</v>
      </c>
      <c r="BP49" s="83">
        <v>0</v>
      </c>
      <c r="BQ49" s="83">
        <v>2</v>
      </c>
    </row>
    <row r="50" spans="1:193" s="34" customFormat="1" ht="21.9" customHeight="1" x14ac:dyDescent="0.25">
      <c r="A50" s="202" t="s">
        <v>93</v>
      </c>
      <c r="C50" s="85" t="s">
        <v>75</v>
      </c>
      <c r="D50" s="86"/>
      <c r="E50" s="83">
        <f t="shared" si="0"/>
        <v>25912</v>
      </c>
      <c r="F50" s="83">
        <v>1021</v>
      </c>
      <c r="G50" s="83">
        <v>468</v>
      </c>
      <c r="H50" s="83">
        <v>360</v>
      </c>
      <c r="I50" s="83">
        <v>0</v>
      </c>
      <c r="J50" s="83">
        <v>0</v>
      </c>
      <c r="K50" s="83">
        <v>50</v>
      </c>
      <c r="L50" s="83">
        <v>863</v>
      </c>
      <c r="M50" s="83">
        <v>425</v>
      </c>
      <c r="N50" s="83">
        <v>208</v>
      </c>
      <c r="O50" s="83">
        <v>100</v>
      </c>
      <c r="P50" s="83">
        <v>185</v>
      </c>
      <c r="Q50" s="83">
        <v>48</v>
      </c>
      <c r="R50" s="83">
        <v>5</v>
      </c>
      <c r="S50" s="83">
        <v>180</v>
      </c>
      <c r="T50" s="83">
        <v>123</v>
      </c>
      <c r="U50" s="83">
        <v>219</v>
      </c>
      <c r="V50" s="83">
        <v>393</v>
      </c>
      <c r="W50" s="83">
        <v>1228</v>
      </c>
      <c r="X50" s="83">
        <v>551</v>
      </c>
      <c r="Y50" s="83">
        <v>180</v>
      </c>
      <c r="Z50" s="83">
        <v>43</v>
      </c>
      <c r="AA50" s="83">
        <v>717</v>
      </c>
      <c r="AB50" s="83">
        <v>1104</v>
      </c>
      <c r="AC50" s="83">
        <v>184</v>
      </c>
      <c r="AD50" s="83">
        <v>31</v>
      </c>
      <c r="AE50" s="83">
        <v>59</v>
      </c>
      <c r="AF50" s="83">
        <v>2971</v>
      </c>
      <c r="AG50" s="83">
        <v>1302</v>
      </c>
      <c r="AH50" s="83">
        <v>416</v>
      </c>
      <c r="AI50" s="83">
        <v>2081</v>
      </c>
      <c r="AJ50" s="83">
        <v>123</v>
      </c>
      <c r="AK50" s="83">
        <v>1059</v>
      </c>
      <c r="AL50" s="83">
        <v>14</v>
      </c>
      <c r="AM50" s="102">
        <v>47</v>
      </c>
      <c r="AN50" s="83">
        <v>45</v>
      </c>
      <c r="AO50" s="83">
        <v>128</v>
      </c>
      <c r="AP50" s="83">
        <v>490</v>
      </c>
      <c r="AQ50" s="83">
        <v>15</v>
      </c>
      <c r="AR50" s="83">
        <v>12</v>
      </c>
      <c r="AS50" s="83">
        <v>11</v>
      </c>
      <c r="AT50" s="83">
        <v>36</v>
      </c>
      <c r="AU50" s="83">
        <v>88</v>
      </c>
      <c r="AV50" s="83">
        <v>83</v>
      </c>
      <c r="AW50" s="83">
        <v>1880</v>
      </c>
      <c r="AX50" s="83">
        <v>251</v>
      </c>
      <c r="AY50" s="83">
        <v>35</v>
      </c>
      <c r="AZ50" s="83">
        <v>408</v>
      </c>
      <c r="BA50" s="83">
        <v>842</v>
      </c>
      <c r="BB50" s="83">
        <v>1</v>
      </c>
      <c r="BC50" s="83">
        <v>158</v>
      </c>
      <c r="BD50" s="83">
        <v>0</v>
      </c>
      <c r="BE50" s="83">
        <v>0</v>
      </c>
      <c r="BF50" s="83">
        <v>423</v>
      </c>
      <c r="BG50" s="83">
        <v>178</v>
      </c>
      <c r="BH50" s="83">
        <v>344</v>
      </c>
      <c r="BI50" s="83">
        <v>45</v>
      </c>
      <c r="BJ50" s="83">
        <v>168</v>
      </c>
      <c r="BK50" s="83">
        <v>1278</v>
      </c>
      <c r="BL50" s="83">
        <v>918</v>
      </c>
      <c r="BM50" s="83">
        <v>574</v>
      </c>
      <c r="BN50" s="83">
        <v>174</v>
      </c>
      <c r="BO50" s="83">
        <v>22</v>
      </c>
      <c r="BP50" s="83">
        <v>277</v>
      </c>
      <c r="BQ50" s="83">
        <v>270</v>
      </c>
    </row>
    <row r="51" spans="1:193" s="34" customFormat="1" ht="21.9" customHeight="1" x14ac:dyDescent="0.25">
      <c r="A51" s="202"/>
      <c r="C51" s="85" t="s">
        <v>76</v>
      </c>
      <c r="D51" s="86"/>
      <c r="E51" s="83">
        <f t="shared" si="0"/>
        <v>325</v>
      </c>
      <c r="F51" s="87">
        <v>0</v>
      </c>
      <c r="G51" s="87">
        <v>0</v>
      </c>
      <c r="H51" s="87">
        <v>0</v>
      </c>
      <c r="I51" s="87">
        <v>0</v>
      </c>
      <c r="J51" s="87">
        <v>0</v>
      </c>
      <c r="K51" s="87">
        <v>1</v>
      </c>
      <c r="L51" s="87">
        <v>0</v>
      </c>
      <c r="M51" s="87">
        <v>11</v>
      </c>
      <c r="N51" s="87">
        <v>4</v>
      </c>
      <c r="O51" s="87">
        <v>0</v>
      </c>
      <c r="P51" s="87">
        <v>0</v>
      </c>
      <c r="Q51" s="87">
        <v>0</v>
      </c>
      <c r="R51" s="87">
        <v>0</v>
      </c>
      <c r="S51" s="87">
        <v>3</v>
      </c>
      <c r="T51" s="87">
        <v>3</v>
      </c>
      <c r="U51" s="87">
        <v>1</v>
      </c>
      <c r="V51" s="83">
        <v>7</v>
      </c>
      <c r="W51" s="83">
        <v>10</v>
      </c>
      <c r="X51" s="83">
        <v>5</v>
      </c>
      <c r="Y51" s="83">
        <v>0</v>
      </c>
      <c r="Z51" s="83">
        <v>5</v>
      </c>
      <c r="AA51" s="83">
        <v>3</v>
      </c>
      <c r="AB51" s="83">
        <v>1</v>
      </c>
      <c r="AC51" s="83">
        <v>3</v>
      </c>
      <c r="AD51" s="83">
        <v>0</v>
      </c>
      <c r="AE51" s="83">
        <v>7</v>
      </c>
      <c r="AF51" s="83">
        <v>2</v>
      </c>
      <c r="AG51" s="83">
        <v>2</v>
      </c>
      <c r="AH51" s="83">
        <v>7</v>
      </c>
      <c r="AI51" s="83">
        <v>13</v>
      </c>
      <c r="AJ51" s="83">
        <v>0</v>
      </c>
      <c r="AK51" s="83">
        <v>2</v>
      </c>
      <c r="AL51" s="83">
        <v>0</v>
      </c>
      <c r="AM51" s="102">
        <v>1</v>
      </c>
      <c r="AN51" s="83">
        <v>6</v>
      </c>
      <c r="AO51" s="83">
        <v>0</v>
      </c>
      <c r="AP51" s="83">
        <v>11</v>
      </c>
      <c r="AQ51" s="83">
        <v>0</v>
      </c>
      <c r="AR51" s="83">
        <v>0</v>
      </c>
      <c r="AS51" s="83">
        <v>0</v>
      </c>
      <c r="AT51" s="83">
        <v>1</v>
      </c>
      <c r="AU51" s="83">
        <v>1</v>
      </c>
      <c r="AV51" s="83">
        <v>0</v>
      </c>
      <c r="AW51" s="83">
        <v>8</v>
      </c>
      <c r="AX51" s="83">
        <v>0</v>
      </c>
      <c r="AY51" s="83">
        <v>0</v>
      </c>
      <c r="AZ51" s="83">
        <v>0</v>
      </c>
      <c r="BA51" s="83">
        <v>15</v>
      </c>
      <c r="BB51" s="83">
        <v>0</v>
      </c>
      <c r="BC51" s="83">
        <v>0</v>
      </c>
      <c r="BD51" s="83">
        <v>0</v>
      </c>
      <c r="BE51" s="83">
        <v>0</v>
      </c>
      <c r="BF51" s="83">
        <v>0</v>
      </c>
      <c r="BG51" s="83">
        <v>6</v>
      </c>
      <c r="BH51" s="83">
        <v>12</v>
      </c>
      <c r="BI51" s="83">
        <v>131</v>
      </c>
      <c r="BJ51" s="83">
        <v>25</v>
      </c>
      <c r="BK51" s="83">
        <v>15</v>
      </c>
      <c r="BL51" s="83">
        <v>0</v>
      </c>
      <c r="BM51" s="83">
        <v>0</v>
      </c>
      <c r="BN51" s="83">
        <v>0</v>
      </c>
      <c r="BO51" s="83">
        <v>0</v>
      </c>
      <c r="BP51" s="83">
        <v>0</v>
      </c>
      <c r="BQ51" s="83">
        <v>3</v>
      </c>
    </row>
    <row r="52" spans="1:193" s="34" customFormat="1" ht="21.9" customHeight="1" x14ac:dyDescent="0.25">
      <c r="A52" s="202" t="s">
        <v>94</v>
      </c>
      <c r="B52" s="88"/>
      <c r="C52" s="85" t="s">
        <v>75</v>
      </c>
      <c r="D52" s="86"/>
      <c r="E52" s="83">
        <f t="shared" si="0"/>
        <v>15173</v>
      </c>
      <c r="F52" s="83">
        <v>166</v>
      </c>
      <c r="G52" s="83">
        <v>208</v>
      </c>
      <c r="H52" s="83">
        <v>130</v>
      </c>
      <c r="I52" s="83">
        <v>0</v>
      </c>
      <c r="J52" s="83">
        <v>160</v>
      </c>
      <c r="K52" s="83">
        <v>56</v>
      </c>
      <c r="L52" s="83">
        <v>32</v>
      </c>
      <c r="M52" s="83">
        <v>510</v>
      </c>
      <c r="N52" s="83">
        <v>199</v>
      </c>
      <c r="O52" s="83">
        <v>21</v>
      </c>
      <c r="P52" s="83">
        <v>169</v>
      </c>
      <c r="Q52" s="83">
        <v>13</v>
      </c>
      <c r="R52" s="83">
        <v>0</v>
      </c>
      <c r="S52" s="83">
        <v>406</v>
      </c>
      <c r="T52" s="83">
        <v>121</v>
      </c>
      <c r="U52" s="83">
        <v>26</v>
      </c>
      <c r="V52" s="83">
        <v>581</v>
      </c>
      <c r="W52" s="83">
        <v>470</v>
      </c>
      <c r="X52" s="83">
        <v>116</v>
      </c>
      <c r="Y52" s="83">
        <v>51</v>
      </c>
      <c r="Z52" s="83">
        <v>55</v>
      </c>
      <c r="AA52" s="83">
        <v>440</v>
      </c>
      <c r="AB52" s="83">
        <v>100</v>
      </c>
      <c r="AC52" s="83">
        <v>111</v>
      </c>
      <c r="AD52" s="83">
        <v>11</v>
      </c>
      <c r="AE52" s="83">
        <v>127</v>
      </c>
      <c r="AF52" s="83">
        <v>2982</v>
      </c>
      <c r="AG52" s="83">
        <v>902</v>
      </c>
      <c r="AH52" s="83">
        <v>136</v>
      </c>
      <c r="AI52" s="83">
        <v>931</v>
      </c>
      <c r="AJ52" s="83">
        <v>35</v>
      </c>
      <c r="AK52" s="83">
        <v>66</v>
      </c>
      <c r="AL52" s="83">
        <v>0</v>
      </c>
      <c r="AM52" s="102">
        <v>62</v>
      </c>
      <c r="AN52" s="83">
        <v>3</v>
      </c>
      <c r="AO52" s="83">
        <v>11</v>
      </c>
      <c r="AP52" s="83">
        <v>170</v>
      </c>
      <c r="AQ52" s="83">
        <v>66</v>
      </c>
      <c r="AR52" s="83">
        <v>11</v>
      </c>
      <c r="AS52" s="83">
        <v>35</v>
      </c>
      <c r="AT52" s="83">
        <v>123</v>
      </c>
      <c r="AU52" s="83">
        <v>16</v>
      </c>
      <c r="AV52" s="83">
        <v>118</v>
      </c>
      <c r="AW52" s="83">
        <v>1489</v>
      </c>
      <c r="AX52" s="83">
        <v>122</v>
      </c>
      <c r="AY52" s="83">
        <v>56</v>
      </c>
      <c r="AZ52" s="83">
        <v>495</v>
      </c>
      <c r="BA52" s="83">
        <v>63</v>
      </c>
      <c r="BB52" s="83">
        <v>0</v>
      </c>
      <c r="BC52" s="83">
        <v>130</v>
      </c>
      <c r="BD52" s="83">
        <v>81</v>
      </c>
      <c r="BE52" s="83">
        <v>0</v>
      </c>
      <c r="BF52" s="83">
        <v>151</v>
      </c>
      <c r="BG52" s="83">
        <v>82</v>
      </c>
      <c r="BH52" s="83">
        <v>330</v>
      </c>
      <c r="BI52" s="83">
        <v>151</v>
      </c>
      <c r="BJ52" s="83">
        <v>14</v>
      </c>
      <c r="BK52" s="83">
        <v>122</v>
      </c>
      <c r="BL52" s="83">
        <v>104</v>
      </c>
      <c r="BM52" s="83">
        <v>334</v>
      </c>
      <c r="BN52" s="83">
        <v>1034</v>
      </c>
      <c r="BO52" s="83">
        <v>293</v>
      </c>
      <c r="BP52" s="83">
        <v>12</v>
      </c>
      <c r="BQ52" s="83">
        <v>164</v>
      </c>
    </row>
    <row r="53" spans="1:193" s="34" customFormat="1" ht="21.9" customHeight="1" x14ac:dyDescent="0.25">
      <c r="A53" s="202"/>
      <c r="B53" s="88"/>
      <c r="C53" s="85" t="s">
        <v>76</v>
      </c>
      <c r="D53" s="86"/>
      <c r="E53" s="83">
        <f t="shared" si="0"/>
        <v>242</v>
      </c>
      <c r="F53" s="87">
        <v>0</v>
      </c>
      <c r="G53" s="87">
        <v>0</v>
      </c>
      <c r="H53" s="87">
        <v>0</v>
      </c>
      <c r="I53" s="87">
        <v>0</v>
      </c>
      <c r="J53" s="87">
        <v>0</v>
      </c>
      <c r="K53" s="87">
        <v>0</v>
      </c>
      <c r="L53" s="87">
        <v>0</v>
      </c>
      <c r="M53" s="87">
        <v>1</v>
      </c>
      <c r="N53" s="87">
        <v>2</v>
      </c>
      <c r="O53" s="87">
        <v>0</v>
      </c>
      <c r="P53" s="87">
        <v>3</v>
      </c>
      <c r="Q53" s="87">
        <v>0</v>
      </c>
      <c r="R53" s="87">
        <v>0</v>
      </c>
      <c r="S53" s="87">
        <v>3</v>
      </c>
      <c r="T53" s="87">
        <v>4</v>
      </c>
      <c r="U53" s="87">
        <v>0</v>
      </c>
      <c r="V53" s="83">
        <v>0</v>
      </c>
      <c r="W53" s="83">
        <v>13</v>
      </c>
      <c r="X53" s="83">
        <v>1</v>
      </c>
      <c r="Y53" s="83">
        <v>1</v>
      </c>
      <c r="Z53" s="83">
        <v>0</v>
      </c>
      <c r="AA53" s="83">
        <v>0</v>
      </c>
      <c r="AB53" s="83">
        <v>3</v>
      </c>
      <c r="AC53" s="83">
        <v>0</v>
      </c>
      <c r="AD53" s="83">
        <v>0</v>
      </c>
      <c r="AE53" s="83">
        <v>0</v>
      </c>
      <c r="AF53" s="83">
        <v>54</v>
      </c>
      <c r="AG53" s="83">
        <v>26</v>
      </c>
      <c r="AH53" s="83">
        <v>1</v>
      </c>
      <c r="AI53" s="83">
        <v>18</v>
      </c>
      <c r="AJ53" s="83">
        <v>0</v>
      </c>
      <c r="AK53" s="83">
        <v>0</v>
      </c>
      <c r="AL53" s="83">
        <v>0</v>
      </c>
      <c r="AM53" s="102">
        <v>4</v>
      </c>
      <c r="AN53" s="83">
        <v>0</v>
      </c>
      <c r="AO53" s="83">
        <v>0</v>
      </c>
      <c r="AP53" s="83">
        <v>1</v>
      </c>
      <c r="AQ53" s="83">
        <v>0</v>
      </c>
      <c r="AR53" s="83">
        <v>0</v>
      </c>
      <c r="AS53" s="83">
        <v>0</v>
      </c>
      <c r="AT53" s="83">
        <v>12</v>
      </c>
      <c r="AU53" s="83">
        <v>1</v>
      </c>
      <c r="AV53" s="83">
        <v>1</v>
      </c>
      <c r="AW53" s="83">
        <v>8</v>
      </c>
      <c r="AX53" s="83">
        <v>1</v>
      </c>
      <c r="AY53" s="83">
        <v>0</v>
      </c>
      <c r="AZ53" s="83">
        <v>5</v>
      </c>
      <c r="BA53" s="83">
        <v>0</v>
      </c>
      <c r="BB53" s="83">
        <v>0</v>
      </c>
      <c r="BC53" s="83">
        <v>1</v>
      </c>
      <c r="BD53" s="83">
        <v>0</v>
      </c>
      <c r="BE53" s="83">
        <v>0</v>
      </c>
      <c r="BF53" s="83">
        <v>0</v>
      </c>
      <c r="BG53" s="83">
        <v>3</v>
      </c>
      <c r="BH53" s="83">
        <v>15</v>
      </c>
      <c r="BI53" s="83">
        <v>10</v>
      </c>
      <c r="BJ53" s="83">
        <v>0</v>
      </c>
      <c r="BK53" s="83">
        <v>8</v>
      </c>
      <c r="BL53" s="83">
        <v>20</v>
      </c>
      <c r="BM53" s="83">
        <v>17</v>
      </c>
      <c r="BN53" s="83">
        <v>2</v>
      </c>
      <c r="BO53" s="83">
        <v>0</v>
      </c>
      <c r="BP53" s="83">
        <v>2</v>
      </c>
      <c r="BQ53" s="83">
        <v>1</v>
      </c>
    </row>
    <row r="54" spans="1:193" s="34" customFormat="1" ht="21.9" customHeight="1" x14ac:dyDescent="0.25">
      <c r="A54" s="202" t="s">
        <v>95</v>
      </c>
      <c r="B54" s="88"/>
      <c r="C54" s="85" t="s">
        <v>75</v>
      </c>
      <c r="D54" s="86"/>
      <c r="E54" s="83">
        <f t="shared" si="0"/>
        <v>4952</v>
      </c>
      <c r="F54" s="83">
        <v>110</v>
      </c>
      <c r="G54" s="83">
        <v>0</v>
      </c>
      <c r="H54" s="83">
        <v>0</v>
      </c>
      <c r="I54" s="83">
        <v>0</v>
      </c>
      <c r="J54" s="83">
        <v>0</v>
      </c>
      <c r="K54" s="83">
        <v>0</v>
      </c>
      <c r="L54" s="83">
        <v>0</v>
      </c>
      <c r="M54" s="83">
        <v>157</v>
      </c>
      <c r="N54" s="83">
        <v>220</v>
      </c>
      <c r="O54" s="83">
        <v>0</v>
      </c>
      <c r="P54" s="83">
        <v>30</v>
      </c>
      <c r="Q54" s="83">
        <v>12</v>
      </c>
      <c r="R54" s="83">
        <v>0</v>
      </c>
      <c r="S54" s="83">
        <v>50</v>
      </c>
      <c r="T54" s="83">
        <v>77</v>
      </c>
      <c r="U54" s="83">
        <v>0</v>
      </c>
      <c r="V54" s="83">
        <v>58</v>
      </c>
      <c r="W54" s="83">
        <v>50</v>
      </c>
      <c r="X54" s="83">
        <v>111</v>
      </c>
      <c r="Y54" s="83">
        <v>41</v>
      </c>
      <c r="Z54" s="83">
        <v>0</v>
      </c>
      <c r="AA54" s="83">
        <v>2</v>
      </c>
      <c r="AB54" s="83">
        <v>146</v>
      </c>
      <c r="AC54" s="83">
        <v>0</v>
      </c>
      <c r="AD54" s="83">
        <v>277</v>
      </c>
      <c r="AE54" s="83">
        <v>0</v>
      </c>
      <c r="AF54" s="83">
        <v>818</v>
      </c>
      <c r="AG54" s="83">
        <v>1014</v>
      </c>
      <c r="AH54" s="83">
        <v>30</v>
      </c>
      <c r="AI54" s="83">
        <v>509</v>
      </c>
      <c r="AJ54" s="83">
        <v>30</v>
      </c>
      <c r="AK54" s="83">
        <v>46</v>
      </c>
      <c r="AL54" s="83">
        <v>21</v>
      </c>
      <c r="AM54" s="102">
        <v>44</v>
      </c>
      <c r="AN54" s="83">
        <v>0</v>
      </c>
      <c r="AO54" s="83">
        <v>0</v>
      </c>
      <c r="AP54" s="83">
        <v>62</v>
      </c>
      <c r="AQ54" s="83">
        <v>2</v>
      </c>
      <c r="AR54" s="83">
        <v>2</v>
      </c>
      <c r="AS54" s="83">
        <v>2</v>
      </c>
      <c r="AT54" s="83">
        <v>28</v>
      </c>
      <c r="AU54" s="83">
        <v>23</v>
      </c>
      <c r="AV54" s="83">
        <v>26</v>
      </c>
      <c r="AW54" s="83">
        <v>233</v>
      </c>
      <c r="AX54" s="83">
        <v>131</v>
      </c>
      <c r="AY54" s="83">
        <v>0</v>
      </c>
      <c r="AZ54" s="83">
        <v>16</v>
      </c>
      <c r="BA54" s="83">
        <v>2</v>
      </c>
      <c r="BB54" s="83">
        <v>0</v>
      </c>
      <c r="BC54" s="83">
        <v>0</v>
      </c>
      <c r="BD54" s="83">
        <v>0</v>
      </c>
      <c r="BE54" s="83">
        <v>0</v>
      </c>
      <c r="BF54" s="83">
        <v>4</v>
      </c>
      <c r="BG54" s="83">
        <v>53</v>
      </c>
      <c r="BH54" s="83">
        <v>36</v>
      </c>
      <c r="BI54" s="83">
        <v>20</v>
      </c>
      <c r="BJ54" s="83">
        <v>5</v>
      </c>
      <c r="BK54" s="83">
        <v>400</v>
      </c>
      <c r="BL54" s="83">
        <v>4</v>
      </c>
      <c r="BM54" s="83">
        <v>16</v>
      </c>
      <c r="BN54" s="83">
        <v>0</v>
      </c>
      <c r="BO54" s="83">
        <v>6</v>
      </c>
      <c r="BP54" s="83">
        <v>0</v>
      </c>
      <c r="BQ54" s="83">
        <v>28</v>
      </c>
    </row>
    <row r="55" spans="1:193" s="34" customFormat="1" ht="21.9" customHeight="1" x14ac:dyDescent="0.25">
      <c r="A55" s="202"/>
      <c r="B55" s="88"/>
      <c r="C55" s="85" t="s">
        <v>76</v>
      </c>
      <c r="D55" s="86"/>
      <c r="E55" s="83">
        <f t="shared" si="0"/>
        <v>26</v>
      </c>
      <c r="F55" s="87">
        <v>0</v>
      </c>
      <c r="G55" s="87">
        <v>0</v>
      </c>
      <c r="H55" s="87">
        <v>0</v>
      </c>
      <c r="I55" s="87">
        <v>0</v>
      </c>
      <c r="J55" s="87">
        <v>0</v>
      </c>
      <c r="K55" s="87">
        <v>0</v>
      </c>
      <c r="L55" s="87">
        <v>0</v>
      </c>
      <c r="M55" s="87">
        <v>5</v>
      </c>
      <c r="N55" s="87">
        <v>0</v>
      </c>
      <c r="O55" s="87">
        <v>0</v>
      </c>
      <c r="P55" s="87">
        <v>0</v>
      </c>
      <c r="Q55" s="87">
        <v>0</v>
      </c>
      <c r="R55" s="87">
        <v>0</v>
      </c>
      <c r="S55" s="87">
        <v>1</v>
      </c>
      <c r="T55" s="87">
        <v>0</v>
      </c>
      <c r="U55" s="87">
        <v>0</v>
      </c>
      <c r="V55" s="83">
        <v>0</v>
      </c>
      <c r="W55" s="83">
        <v>0</v>
      </c>
      <c r="X55" s="83">
        <v>0</v>
      </c>
      <c r="Y55" s="83">
        <v>0</v>
      </c>
      <c r="Z55" s="83">
        <v>0</v>
      </c>
      <c r="AA55" s="83">
        <v>0</v>
      </c>
      <c r="AB55" s="83">
        <v>0</v>
      </c>
      <c r="AC55" s="83">
        <v>0</v>
      </c>
      <c r="AD55" s="83">
        <v>0</v>
      </c>
      <c r="AE55" s="83">
        <v>0</v>
      </c>
      <c r="AF55" s="83">
        <v>0</v>
      </c>
      <c r="AG55" s="83">
        <v>1</v>
      </c>
      <c r="AH55" s="83">
        <v>0</v>
      </c>
      <c r="AI55" s="83">
        <v>8</v>
      </c>
      <c r="AJ55" s="83">
        <v>0</v>
      </c>
      <c r="AK55" s="83">
        <v>0</v>
      </c>
      <c r="AL55" s="83">
        <v>0</v>
      </c>
      <c r="AM55" s="102">
        <v>2</v>
      </c>
      <c r="AN55" s="83">
        <v>0</v>
      </c>
      <c r="AO55" s="83">
        <v>0</v>
      </c>
      <c r="AP55" s="83">
        <v>0</v>
      </c>
      <c r="AQ55" s="83">
        <v>0</v>
      </c>
      <c r="AR55" s="83">
        <v>0</v>
      </c>
      <c r="AS55" s="83">
        <v>0</v>
      </c>
      <c r="AT55" s="83">
        <v>0</v>
      </c>
      <c r="AU55" s="83">
        <v>0</v>
      </c>
      <c r="AV55" s="83">
        <v>0</v>
      </c>
      <c r="AW55" s="83">
        <v>5</v>
      </c>
      <c r="AX55" s="83">
        <v>0</v>
      </c>
      <c r="AY55" s="83">
        <v>0</v>
      </c>
      <c r="AZ55" s="83">
        <v>1</v>
      </c>
      <c r="BA55" s="83">
        <v>1</v>
      </c>
      <c r="BB55" s="83">
        <v>0</v>
      </c>
      <c r="BC55" s="83">
        <v>0</v>
      </c>
      <c r="BD55" s="83">
        <v>0</v>
      </c>
      <c r="BE55" s="83">
        <v>0</v>
      </c>
      <c r="BF55" s="83">
        <v>0</v>
      </c>
      <c r="BG55" s="83">
        <v>0</v>
      </c>
      <c r="BH55" s="83">
        <v>0</v>
      </c>
      <c r="BI55" s="83">
        <v>0</v>
      </c>
      <c r="BJ55" s="83">
        <v>0</v>
      </c>
      <c r="BK55" s="83">
        <v>2</v>
      </c>
      <c r="BL55" s="83">
        <v>0</v>
      </c>
      <c r="BM55" s="83">
        <v>0</v>
      </c>
      <c r="BN55" s="83">
        <v>0</v>
      </c>
      <c r="BO55" s="83">
        <v>0</v>
      </c>
      <c r="BP55" s="83">
        <v>0</v>
      </c>
      <c r="BQ55" s="83">
        <v>0</v>
      </c>
    </row>
    <row r="56" spans="1:193" s="34" customFormat="1" ht="21.9" customHeight="1" x14ac:dyDescent="0.25">
      <c r="A56" s="202" t="s">
        <v>96</v>
      </c>
      <c r="B56" s="88"/>
      <c r="C56" s="85" t="s">
        <v>75</v>
      </c>
      <c r="D56" s="86"/>
      <c r="E56" s="83">
        <f t="shared" si="0"/>
        <v>1240</v>
      </c>
      <c r="F56" s="83">
        <v>15</v>
      </c>
      <c r="G56" s="83">
        <v>20</v>
      </c>
      <c r="H56" s="83">
        <v>0</v>
      </c>
      <c r="I56" s="83">
        <v>0</v>
      </c>
      <c r="J56" s="83">
        <v>0</v>
      </c>
      <c r="K56" s="83">
        <v>0</v>
      </c>
      <c r="L56" s="83">
        <v>40</v>
      </c>
      <c r="M56" s="83">
        <v>43</v>
      </c>
      <c r="N56" s="83">
        <v>11</v>
      </c>
      <c r="O56" s="83">
        <v>0</v>
      </c>
      <c r="P56" s="83">
        <v>59</v>
      </c>
      <c r="Q56" s="83">
        <v>1</v>
      </c>
      <c r="R56" s="83">
        <v>0</v>
      </c>
      <c r="S56" s="83">
        <v>18</v>
      </c>
      <c r="T56" s="83">
        <v>39</v>
      </c>
      <c r="U56" s="83">
        <v>0</v>
      </c>
      <c r="V56" s="83">
        <v>8</v>
      </c>
      <c r="W56" s="83">
        <v>44</v>
      </c>
      <c r="X56" s="83">
        <v>130</v>
      </c>
      <c r="Y56" s="83">
        <v>14</v>
      </c>
      <c r="Z56" s="83">
        <v>18</v>
      </c>
      <c r="AA56" s="83">
        <v>2</v>
      </c>
      <c r="AB56" s="83">
        <v>12</v>
      </c>
      <c r="AC56" s="83">
        <v>0</v>
      </c>
      <c r="AD56" s="83">
        <v>0</v>
      </c>
      <c r="AE56" s="83">
        <v>12</v>
      </c>
      <c r="AF56" s="83">
        <v>95</v>
      </c>
      <c r="AG56" s="83">
        <v>19</v>
      </c>
      <c r="AH56" s="83">
        <v>47</v>
      </c>
      <c r="AI56" s="83">
        <v>198</v>
      </c>
      <c r="AJ56" s="83">
        <v>4</v>
      </c>
      <c r="AK56" s="83">
        <v>46</v>
      </c>
      <c r="AL56" s="83">
        <v>20</v>
      </c>
      <c r="AM56" s="102">
        <v>4</v>
      </c>
      <c r="AN56" s="83">
        <v>2</v>
      </c>
      <c r="AO56" s="83">
        <v>0</v>
      </c>
      <c r="AP56" s="83">
        <v>10</v>
      </c>
      <c r="AQ56" s="83">
        <v>0</v>
      </c>
      <c r="AR56" s="83">
        <v>0</v>
      </c>
      <c r="AS56" s="83">
        <v>0</v>
      </c>
      <c r="AT56" s="83">
        <v>7</v>
      </c>
      <c r="AU56" s="83">
        <v>1</v>
      </c>
      <c r="AV56" s="83">
        <v>20</v>
      </c>
      <c r="AW56" s="83">
        <v>175</v>
      </c>
      <c r="AX56" s="83">
        <v>4</v>
      </c>
      <c r="AY56" s="83">
        <v>5</v>
      </c>
      <c r="AZ56" s="83">
        <v>45</v>
      </c>
      <c r="BA56" s="83">
        <v>0</v>
      </c>
      <c r="BB56" s="83">
        <v>0</v>
      </c>
      <c r="BC56" s="83">
        <v>0</v>
      </c>
      <c r="BD56" s="83">
        <v>0</v>
      </c>
      <c r="BE56" s="83">
        <v>0</v>
      </c>
      <c r="BF56" s="83">
        <v>0</v>
      </c>
      <c r="BG56" s="83">
        <v>0</v>
      </c>
      <c r="BH56" s="83">
        <v>1</v>
      </c>
      <c r="BI56" s="83">
        <v>0</v>
      </c>
      <c r="BJ56" s="83">
        <v>0</v>
      </c>
      <c r="BK56" s="83">
        <v>24</v>
      </c>
      <c r="BL56" s="83">
        <v>18</v>
      </c>
      <c r="BM56" s="83">
        <v>3</v>
      </c>
      <c r="BN56" s="83">
        <v>0</v>
      </c>
      <c r="BO56" s="83">
        <v>0</v>
      </c>
      <c r="BP56" s="83">
        <v>0</v>
      </c>
      <c r="BQ56" s="83">
        <v>6</v>
      </c>
    </row>
    <row r="57" spans="1:193" s="34" customFormat="1" ht="21.9" customHeight="1" x14ac:dyDescent="0.25">
      <c r="A57" s="203"/>
      <c r="B57" s="89"/>
      <c r="C57" s="90" t="s">
        <v>76</v>
      </c>
      <c r="D57" s="91"/>
      <c r="E57" s="92">
        <f t="shared" si="0"/>
        <v>13</v>
      </c>
      <c r="F57" s="93">
        <v>0</v>
      </c>
      <c r="G57" s="93">
        <v>0</v>
      </c>
      <c r="H57" s="93">
        <v>0</v>
      </c>
      <c r="I57" s="93">
        <v>0</v>
      </c>
      <c r="J57" s="93">
        <v>0</v>
      </c>
      <c r="K57" s="93">
        <v>0</v>
      </c>
      <c r="L57" s="93">
        <v>0</v>
      </c>
      <c r="M57" s="93">
        <v>0</v>
      </c>
      <c r="N57" s="93">
        <v>0</v>
      </c>
      <c r="O57" s="93">
        <v>0</v>
      </c>
      <c r="P57" s="93">
        <v>0</v>
      </c>
      <c r="Q57" s="93">
        <v>0</v>
      </c>
      <c r="R57" s="93">
        <v>0</v>
      </c>
      <c r="S57" s="93">
        <v>0</v>
      </c>
      <c r="T57" s="93">
        <v>1</v>
      </c>
      <c r="U57" s="93">
        <v>0</v>
      </c>
      <c r="V57" s="94">
        <v>1</v>
      </c>
      <c r="W57" s="94">
        <v>0</v>
      </c>
      <c r="X57" s="94">
        <v>0</v>
      </c>
      <c r="Y57" s="94">
        <v>0</v>
      </c>
      <c r="Z57" s="94">
        <v>0</v>
      </c>
      <c r="AA57" s="94">
        <v>0</v>
      </c>
      <c r="AB57" s="94">
        <v>0</v>
      </c>
      <c r="AC57" s="94">
        <v>0</v>
      </c>
      <c r="AD57" s="94">
        <v>0</v>
      </c>
      <c r="AE57" s="94">
        <v>0</v>
      </c>
      <c r="AF57" s="94">
        <v>0</v>
      </c>
      <c r="AG57" s="94">
        <v>0</v>
      </c>
      <c r="AH57" s="94">
        <v>3</v>
      </c>
      <c r="AI57" s="94">
        <v>8</v>
      </c>
      <c r="AJ57" s="94">
        <v>0</v>
      </c>
      <c r="AK57" s="94">
        <v>0</v>
      </c>
      <c r="AL57" s="94">
        <v>0</v>
      </c>
      <c r="AM57" s="92">
        <v>0</v>
      </c>
      <c r="AN57" s="94">
        <v>0</v>
      </c>
      <c r="AO57" s="94">
        <v>0</v>
      </c>
      <c r="AP57" s="94">
        <v>0</v>
      </c>
      <c r="AQ57" s="94">
        <v>0</v>
      </c>
      <c r="AR57" s="94">
        <v>0</v>
      </c>
      <c r="AS57" s="94">
        <v>0</v>
      </c>
      <c r="AT57" s="94">
        <v>0</v>
      </c>
      <c r="AU57" s="94">
        <v>0</v>
      </c>
      <c r="AV57" s="94">
        <v>0</v>
      </c>
      <c r="AW57" s="94">
        <v>0</v>
      </c>
      <c r="AX57" s="94">
        <v>0</v>
      </c>
      <c r="AY57" s="94">
        <v>0</v>
      </c>
      <c r="AZ57" s="94">
        <v>0</v>
      </c>
      <c r="BA57" s="94">
        <v>0</v>
      </c>
      <c r="BB57" s="94">
        <v>0</v>
      </c>
      <c r="BC57" s="94">
        <v>0</v>
      </c>
      <c r="BD57" s="94">
        <v>0</v>
      </c>
      <c r="BE57" s="94">
        <v>0</v>
      </c>
      <c r="BF57" s="94">
        <v>0</v>
      </c>
      <c r="BG57" s="94">
        <v>0</v>
      </c>
      <c r="BH57" s="94">
        <v>0</v>
      </c>
      <c r="BI57" s="94">
        <v>0</v>
      </c>
      <c r="BJ57" s="94">
        <v>0</v>
      </c>
      <c r="BK57" s="94">
        <v>0</v>
      </c>
      <c r="BL57" s="94">
        <v>0</v>
      </c>
      <c r="BM57" s="94">
        <v>0</v>
      </c>
      <c r="BN57" s="94">
        <v>0</v>
      </c>
      <c r="BO57" s="94">
        <v>0</v>
      </c>
      <c r="BP57" s="94">
        <v>0</v>
      </c>
      <c r="BQ57" s="94">
        <v>0</v>
      </c>
    </row>
    <row r="58" spans="1:193" s="58" customFormat="1" ht="21.9" customHeight="1" x14ac:dyDescent="0.3">
      <c r="AB58" s="59"/>
      <c r="AD58" s="60"/>
      <c r="AH58" s="61"/>
      <c r="AJ58" s="95"/>
      <c r="AM58" s="63" t="s">
        <v>191</v>
      </c>
      <c r="AN58" s="63"/>
      <c r="AO58" s="63"/>
      <c r="AP58" s="64"/>
      <c r="AQ58" s="64"/>
      <c r="AR58" s="63" t="s">
        <v>178</v>
      </c>
      <c r="AS58" s="63"/>
      <c r="AT58" s="5"/>
      <c r="AU58" s="63"/>
      <c r="AV58" s="5"/>
      <c r="AX58" s="63"/>
      <c r="AY58" s="5" t="s">
        <v>179</v>
      </c>
      <c r="AZ58" s="64"/>
      <c r="BA58" s="64"/>
      <c r="BB58" s="5"/>
      <c r="BD58" s="63"/>
      <c r="BE58" s="5"/>
      <c r="BF58" s="65"/>
      <c r="BG58" s="64"/>
      <c r="BH58" s="5" t="s">
        <v>180</v>
      </c>
      <c r="BJ58" s="76"/>
      <c r="BK58" s="5"/>
      <c r="BL58" s="5"/>
      <c r="BM58" s="62"/>
      <c r="BN58" s="95"/>
      <c r="BO58" s="95"/>
      <c r="BP58" s="95"/>
      <c r="BQ58" s="95"/>
      <c r="BR58" s="95"/>
      <c r="BS58" s="95"/>
      <c r="BT58" s="95"/>
      <c r="BU58" s="95"/>
      <c r="BV58" s="95"/>
      <c r="BW58" s="95"/>
      <c r="BX58" s="95"/>
      <c r="BY58" s="95"/>
      <c r="BZ58" s="95"/>
      <c r="CA58" s="95"/>
      <c r="CB58" s="95"/>
      <c r="CC58" s="95"/>
      <c r="CD58" s="95"/>
      <c r="CE58" s="95"/>
      <c r="CF58" s="95"/>
      <c r="CG58" s="95"/>
      <c r="CH58" s="95"/>
      <c r="CI58" s="95"/>
      <c r="CJ58" s="95"/>
      <c r="CK58" s="95"/>
      <c r="CL58" s="95"/>
      <c r="CM58" s="95"/>
      <c r="CN58" s="95"/>
      <c r="CO58" s="95"/>
      <c r="CP58" s="95"/>
      <c r="CQ58" s="95"/>
      <c r="CR58" s="95"/>
      <c r="CS58" s="95"/>
      <c r="CT58" s="95"/>
      <c r="CU58" s="95"/>
      <c r="CV58" s="95"/>
      <c r="CW58" s="95"/>
      <c r="CX58" s="95"/>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5"/>
      <c r="EB58" s="95"/>
      <c r="EC58" s="95"/>
      <c r="ED58" s="95"/>
      <c r="EE58" s="95"/>
      <c r="EF58" s="95"/>
      <c r="EG58" s="95"/>
      <c r="EH58" s="95"/>
      <c r="EI58" s="95"/>
      <c r="EJ58" s="95"/>
      <c r="EK58" s="95"/>
      <c r="EL58" s="95"/>
      <c r="EM58" s="95"/>
      <c r="EN58" s="95"/>
      <c r="EO58" s="95"/>
      <c r="EP58" s="95"/>
      <c r="EQ58" s="95"/>
      <c r="ER58" s="95"/>
      <c r="ES58" s="95"/>
      <c r="ET58" s="95"/>
      <c r="EU58" s="95"/>
      <c r="EV58" s="95"/>
      <c r="EW58" s="95"/>
      <c r="EX58" s="95"/>
      <c r="EY58" s="95"/>
      <c r="EZ58" s="95"/>
      <c r="FA58" s="95"/>
      <c r="FB58" s="95"/>
      <c r="FC58" s="95"/>
      <c r="FD58" s="95"/>
      <c r="FE58" s="95"/>
      <c r="FF58" s="95"/>
      <c r="FG58" s="95"/>
      <c r="FH58" s="95"/>
      <c r="FI58" s="95"/>
      <c r="FJ58" s="95"/>
      <c r="FK58" s="95"/>
      <c r="FL58" s="95"/>
      <c r="FM58" s="95"/>
      <c r="FN58" s="95"/>
      <c r="FO58" s="95"/>
      <c r="FP58" s="95"/>
      <c r="FQ58" s="95"/>
      <c r="FR58" s="95"/>
      <c r="FS58" s="95"/>
      <c r="FT58" s="95"/>
      <c r="FU58" s="95"/>
      <c r="FV58" s="95"/>
      <c r="FW58" s="95"/>
      <c r="FX58" s="95"/>
      <c r="FY58" s="95"/>
      <c r="FZ58" s="95"/>
      <c r="GA58" s="95"/>
      <c r="GB58" s="95"/>
      <c r="GC58" s="95"/>
      <c r="GD58" s="95"/>
      <c r="GE58" s="95"/>
      <c r="GF58" s="95"/>
      <c r="GG58" s="95"/>
      <c r="GH58" s="95"/>
      <c r="GI58" s="95"/>
      <c r="GJ58" s="95"/>
      <c r="GK58" s="95"/>
    </row>
    <row r="59" spans="1:193" s="58" customFormat="1" ht="21.9" customHeight="1" x14ac:dyDescent="0.3">
      <c r="AH59" s="61"/>
      <c r="AJ59" s="95"/>
      <c r="AM59" s="63"/>
      <c r="AN59" s="63"/>
      <c r="AO59" s="63"/>
      <c r="AP59" s="64"/>
      <c r="AQ59" s="64"/>
      <c r="AR59" s="64"/>
      <c r="AS59" s="65"/>
      <c r="AT59" s="63"/>
      <c r="AU59" s="63"/>
      <c r="AV59" s="63"/>
      <c r="AX59" s="63"/>
      <c r="AY59" s="65" t="s">
        <v>181</v>
      </c>
      <c r="AZ59" s="63"/>
      <c r="BA59" s="63"/>
      <c r="BB59" s="5"/>
      <c r="BC59" s="63"/>
      <c r="BD59" s="63"/>
      <c r="BE59" s="5"/>
      <c r="BF59" s="65"/>
      <c r="BG59" s="63"/>
      <c r="BH59" s="5"/>
      <c r="BI59" s="59"/>
      <c r="BK59" s="5"/>
      <c r="BL59" s="5"/>
      <c r="BM59" s="62"/>
      <c r="BN59" s="95"/>
      <c r="BO59" s="95"/>
      <c r="BP59" s="95"/>
      <c r="BQ59" s="95"/>
      <c r="BR59" s="95"/>
      <c r="BS59" s="95"/>
      <c r="BT59" s="95"/>
      <c r="BU59" s="95"/>
      <c r="BV59" s="95"/>
      <c r="BW59" s="95"/>
      <c r="BX59" s="95"/>
      <c r="BY59" s="95"/>
      <c r="BZ59" s="95"/>
      <c r="CA59" s="95"/>
      <c r="CB59" s="95"/>
      <c r="CC59" s="95"/>
      <c r="CD59" s="95"/>
      <c r="CE59" s="95"/>
      <c r="CF59" s="95"/>
      <c r="CG59" s="95"/>
      <c r="CH59" s="95"/>
      <c r="CI59" s="95"/>
      <c r="CJ59" s="95"/>
      <c r="CK59" s="95"/>
      <c r="CL59" s="95"/>
      <c r="CM59" s="95"/>
      <c r="CN59" s="95"/>
      <c r="CO59" s="95"/>
      <c r="CP59" s="95"/>
      <c r="CQ59" s="95"/>
      <c r="CR59" s="95"/>
      <c r="CS59" s="95"/>
      <c r="CT59" s="95"/>
      <c r="CU59" s="95"/>
      <c r="CV59" s="95"/>
      <c r="CW59" s="95"/>
      <c r="CX59" s="95"/>
      <c r="CY59" s="95"/>
      <c r="CZ59" s="95"/>
      <c r="DA59" s="95"/>
      <c r="DB59" s="95"/>
      <c r="DC59" s="95"/>
      <c r="DD59" s="95"/>
      <c r="DE59" s="95"/>
      <c r="DF59" s="95"/>
      <c r="DG59" s="95"/>
      <c r="DH59" s="95"/>
      <c r="DI59" s="95"/>
      <c r="DJ59" s="95"/>
      <c r="DK59" s="95"/>
      <c r="DL59" s="95"/>
      <c r="DM59" s="95"/>
      <c r="DN59" s="95"/>
      <c r="DO59" s="95"/>
      <c r="DP59" s="95"/>
      <c r="DQ59" s="95"/>
      <c r="DR59" s="95"/>
      <c r="DS59" s="95"/>
      <c r="DT59" s="95"/>
      <c r="DU59" s="95"/>
      <c r="DV59" s="95"/>
      <c r="DW59" s="95"/>
      <c r="DX59" s="95"/>
      <c r="DY59" s="95"/>
      <c r="DZ59" s="95"/>
      <c r="EA59" s="95"/>
      <c r="EB59" s="95"/>
      <c r="EC59" s="95"/>
      <c r="ED59" s="95"/>
      <c r="EE59" s="95"/>
      <c r="EF59" s="95"/>
      <c r="EG59" s="95"/>
      <c r="EH59" s="95"/>
      <c r="EI59" s="95"/>
      <c r="EJ59" s="95"/>
      <c r="EK59" s="95"/>
      <c r="EL59" s="95"/>
      <c r="EM59" s="95"/>
      <c r="EN59" s="95"/>
      <c r="EO59" s="95"/>
      <c r="EP59" s="95"/>
      <c r="EQ59" s="95"/>
      <c r="ER59" s="95"/>
      <c r="ES59" s="95"/>
      <c r="ET59" s="95"/>
      <c r="EU59" s="95"/>
      <c r="EV59" s="95"/>
      <c r="EW59" s="95"/>
      <c r="EX59" s="95"/>
      <c r="EY59" s="95"/>
      <c r="EZ59" s="95"/>
      <c r="FA59" s="95"/>
      <c r="FB59" s="95"/>
      <c r="FC59" s="95"/>
      <c r="FD59" s="95"/>
      <c r="FE59" s="95"/>
      <c r="FF59" s="95"/>
      <c r="FG59" s="95"/>
      <c r="FH59" s="95"/>
      <c r="FI59" s="95"/>
      <c r="FJ59" s="95"/>
      <c r="FK59" s="95"/>
      <c r="FL59" s="95"/>
      <c r="FM59" s="95"/>
      <c r="FN59" s="95"/>
      <c r="FO59" s="95"/>
      <c r="FP59" s="95"/>
      <c r="FQ59" s="95"/>
      <c r="FR59" s="95"/>
      <c r="FS59" s="95"/>
      <c r="FT59" s="95"/>
      <c r="FU59" s="95"/>
      <c r="FV59" s="95"/>
      <c r="FW59" s="95"/>
      <c r="FX59" s="95"/>
      <c r="FY59" s="95"/>
      <c r="FZ59" s="95"/>
      <c r="GA59" s="95"/>
      <c r="GB59" s="95"/>
      <c r="GC59" s="95"/>
      <c r="GD59" s="95"/>
      <c r="GE59" s="95"/>
      <c r="GF59" s="95"/>
      <c r="GG59" s="95"/>
      <c r="GH59" s="95"/>
      <c r="GI59" s="95"/>
      <c r="GJ59" s="95"/>
      <c r="GK59" s="95"/>
    </row>
    <row r="60" spans="1:193" s="58" customFormat="1" ht="21.9" customHeight="1" x14ac:dyDescent="0.3">
      <c r="AA60" s="73"/>
      <c r="AB60" s="74"/>
      <c r="AC60" s="73"/>
      <c r="AD60" s="75"/>
      <c r="AE60" s="75"/>
      <c r="AF60" s="75"/>
      <c r="AG60" s="75"/>
      <c r="AJ60" s="95"/>
      <c r="AM60" s="76" t="s">
        <v>192</v>
      </c>
      <c r="AN60" s="62"/>
      <c r="AP60" s="76"/>
      <c r="AQ60" s="76"/>
      <c r="AR60" s="77"/>
      <c r="AS60" s="76"/>
      <c r="AT60" s="104"/>
      <c r="AU60" s="76"/>
      <c r="AV60" s="76"/>
      <c r="AW60" s="76"/>
      <c r="AX60" s="76"/>
      <c r="AY60" s="76"/>
      <c r="AZ60" s="77"/>
      <c r="BA60" s="76"/>
      <c r="BB60" s="76"/>
      <c r="BC60" s="76"/>
      <c r="BD60" s="76"/>
      <c r="BE60" s="59"/>
      <c r="BF60" s="59"/>
      <c r="BG60" s="59"/>
      <c r="BH60" s="75"/>
      <c r="BI60" s="59"/>
      <c r="BK60" s="5"/>
      <c r="BL60" s="5"/>
      <c r="BM60" s="62"/>
      <c r="BN60" s="95"/>
      <c r="BO60" s="95"/>
      <c r="BP60" s="95"/>
      <c r="BQ60" s="95"/>
      <c r="BR60" s="95"/>
      <c r="BS60" s="95"/>
      <c r="BT60" s="95"/>
      <c r="BU60" s="95"/>
      <c r="BV60" s="95"/>
      <c r="BW60" s="95"/>
      <c r="BX60" s="95"/>
      <c r="BY60" s="95"/>
      <c r="BZ60" s="95"/>
      <c r="CA60" s="95"/>
      <c r="CB60" s="95"/>
      <c r="CC60" s="95"/>
      <c r="CD60" s="95"/>
      <c r="CE60" s="95"/>
      <c r="CF60" s="95"/>
      <c r="CG60" s="95"/>
      <c r="CH60" s="95"/>
      <c r="CI60" s="95"/>
      <c r="CJ60" s="95"/>
      <c r="CK60" s="95"/>
      <c r="CL60" s="95"/>
      <c r="CM60" s="95"/>
      <c r="CN60" s="95"/>
      <c r="CO60" s="95"/>
      <c r="CP60" s="95"/>
      <c r="CQ60" s="95"/>
      <c r="CR60" s="95"/>
      <c r="CS60" s="95"/>
      <c r="CT60" s="95"/>
      <c r="CU60" s="95"/>
      <c r="CV60" s="95"/>
      <c r="CW60" s="95"/>
      <c r="CX60" s="95"/>
      <c r="CY60" s="95"/>
      <c r="CZ60" s="95"/>
      <c r="DA60" s="95"/>
      <c r="DB60" s="95"/>
      <c r="DC60" s="95"/>
      <c r="DD60" s="95"/>
      <c r="DE60" s="95"/>
      <c r="DF60" s="95"/>
      <c r="DG60" s="95"/>
      <c r="DH60" s="95"/>
      <c r="DI60" s="95"/>
      <c r="DJ60" s="95"/>
      <c r="DK60" s="95"/>
      <c r="DL60" s="95"/>
      <c r="DM60" s="95"/>
      <c r="DN60" s="95"/>
      <c r="DO60" s="95"/>
      <c r="DP60" s="95"/>
      <c r="DQ60" s="95"/>
      <c r="DR60" s="95"/>
      <c r="DS60" s="95"/>
      <c r="DT60" s="95"/>
      <c r="DU60" s="95"/>
      <c r="DV60" s="95"/>
      <c r="DW60" s="95"/>
      <c r="DX60" s="95"/>
      <c r="DY60" s="95"/>
      <c r="DZ60" s="95"/>
      <c r="EA60" s="95"/>
      <c r="EB60" s="95"/>
      <c r="EC60" s="95"/>
      <c r="ED60" s="95"/>
      <c r="EE60" s="95"/>
      <c r="EF60" s="95"/>
      <c r="EG60" s="95"/>
      <c r="EH60" s="95"/>
      <c r="EI60" s="95"/>
      <c r="EJ60" s="95"/>
      <c r="EK60" s="95"/>
      <c r="EL60" s="95"/>
      <c r="EM60" s="95"/>
      <c r="EN60" s="95"/>
      <c r="EO60" s="95"/>
      <c r="EP60" s="95"/>
      <c r="EQ60" s="95"/>
      <c r="ER60" s="95"/>
      <c r="ES60" s="95"/>
      <c r="ET60" s="95"/>
      <c r="EU60" s="95"/>
      <c r="EV60" s="95"/>
      <c r="EW60" s="95"/>
      <c r="EX60" s="95"/>
      <c r="EY60" s="95"/>
      <c r="EZ60" s="95"/>
      <c r="FA60" s="95"/>
      <c r="FB60" s="95"/>
      <c r="FC60" s="95"/>
      <c r="FD60" s="95"/>
      <c r="FE60" s="95"/>
      <c r="FF60" s="95"/>
      <c r="FG60" s="95"/>
      <c r="FH60" s="95"/>
      <c r="FI60" s="95"/>
      <c r="FJ60" s="95"/>
      <c r="FK60" s="95"/>
      <c r="FL60" s="95"/>
      <c r="FM60" s="95"/>
      <c r="FN60" s="95"/>
      <c r="FO60" s="95"/>
      <c r="FP60" s="95"/>
      <c r="FQ60" s="95"/>
      <c r="FR60" s="95"/>
      <c r="FS60" s="95"/>
      <c r="FT60" s="95"/>
      <c r="FU60" s="95"/>
      <c r="FV60" s="95"/>
      <c r="FW60" s="95"/>
      <c r="FX60" s="95"/>
      <c r="FY60" s="95"/>
      <c r="FZ60" s="95"/>
      <c r="GA60" s="95"/>
      <c r="GB60" s="95"/>
      <c r="GC60" s="95"/>
      <c r="GD60" s="95"/>
      <c r="GE60" s="95"/>
      <c r="GF60" s="95"/>
      <c r="GG60" s="95"/>
      <c r="GH60" s="95"/>
      <c r="GI60" s="95"/>
      <c r="GJ60" s="95"/>
      <c r="GK60" s="95"/>
    </row>
    <row r="61" spans="1:193" s="58" customFormat="1" ht="21.9" customHeight="1" x14ac:dyDescent="0.3">
      <c r="AA61" s="73"/>
      <c r="AB61" s="74"/>
      <c r="AC61" s="73"/>
      <c r="AD61" s="75"/>
      <c r="AE61" s="75"/>
      <c r="AF61" s="75"/>
      <c r="AG61" s="75"/>
      <c r="AJ61" s="95"/>
      <c r="AM61" s="5" t="s">
        <v>195</v>
      </c>
      <c r="AN61" s="62"/>
      <c r="AP61" s="76"/>
      <c r="AQ61" s="76"/>
      <c r="AR61" s="77"/>
      <c r="AS61" s="76"/>
      <c r="AT61" s="104"/>
      <c r="AU61" s="76"/>
      <c r="AV61" s="76"/>
      <c r="AW61" s="76"/>
      <c r="AX61" s="76"/>
      <c r="AY61" s="76"/>
      <c r="AZ61" s="77"/>
      <c r="BA61" s="76"/>
      <c r="BB61" s="76"/>
      <c r="BC61" s="76"/>
      <c r="BD61" s="76"/>
      <c r="BE61" s="59"/>
      <c r="BF61" s="59"/>
      <c r="BG61" s="59"/>
      <c r="BH61" s="75"/>
      <c r="BI61" s="78"/>
      <c r="BJ61" s="78"/>
      <c r="BK61" s="5"/>
      <c r="BL61" s="5"/>
      <c r="BM61" s="62"/>
      <c r="BN61" s="95"/>
      <c r="BO61" s="95"/>
      <c r="BP61" s="95"/>
      <c r="BQ61" s="95"/>
      <c r="BR61" s="95"/>
      <c r="BS61" s="95"/>
      <c r="BT61" s="95"/>
      <c r="BU61" s="95"/>
      <c r="BV61" s="95"/>
      <c r="BW61" s="95"/>
      <c r="BX61" s="95"/>
      <c r="BY61" s="95"/>
      <c r="BZ61" s="95"/>
      <c r="CA61" s="95"/>
      <c r="CB61" s="95"/>
      <c r="CC61" s="95"/>
      <c r="CD61" s="95"/>
      <c r="CE61" s="95"/>
      <c r="CF61" s="95"/>
      <c r="CG61" s="95"/>
      <c r="CH61" s="95"/>
      <c r="CI61" s="95"/>
      <c r="CJ61" s="95"/>
      <c r="CK61" s="95"/>
      <c r="CL61" s="95"/>
      <c r="CM61" s="95"/>
      <c r="CN61" s="95"/>
      <c r="CO61" s="95"/>
      <c r="CP61" s="95"/>
      <c r="CQ61" s="95"/>
      <c r="CR61" s="95"/>
      <c r="CS61" s="95"/>
      <c r="CT61" s="95"/>
      <c r="CU61" s="95"/>
      <c r="CV61" s="95"/>
      <c r="CW61" s="95"/>
      <c r="CX61" s="95"/>
      <c r="CY61" s="95"/>
      <c r="CZ61" s="95"/>
      <c r="DA61" s="95"/>
      <c r="DB61" s="95"/>
      <c r="DC61" s="95"/>
      <c r="DD61" s="95"/>
      <c r="DE61" s="95"/>
      <c r="DF61" s="95"/>
      <c r="DG61" s="95"/>
      <c r="DH61" s="95"/>
      <c r="DI61" s="95"/>
      <c r="DJ61" s="95"/>
      <c r="DK61" s="95"/>
      <c r="DL61" s="95"/>
      <c r="DM61" s="95"/>
      <c r="DN61" s="95"/>
      <c r="DO61" s="95"/>
      <c r="DP61" s="95"/>
      <c r="DQ61" s="95"/>
      <c r="DR61" s="95"/>
      <c r="DS61" s="95"/>
      <c r="DT61" s="95"/>
      <c r="DU61" s="95"/>
      <c r="DV61" s="95"/>
      <c r="DW61" s="95"/>
      <c r="DX61" s="95"/>
      <c r="DY61" s="95"/>
      <c r="DZ61" s="95"/>
      <c r="EA61" s="95"/>
      <c r="EB61" s="95"/>
      <c r="EC61" s="95"/>
      <c r="ED61" s="95"/>
      <c r="EE61" s="95"/>
      <c r="EF61" s="95"/>
      <c r="EG61" s="95"/>
      <c r="EH61" s="95"/>
      <c r="EI61" s="95"/>
      <c r="EJ61" s="95"/>
      <c r="EK61" s="95"/>
      <c r="EL61" s="95"/>
      <c r="EM61" s="95"/>
      <c r="EN61" s="95"/>
      <c r="EO61" s="95"/>
      <c r="EP61" s="95"/>
      <c r="EQ61" s="95"/>
      <c r="ER61" s="95"/>
      <c r="ES61" s="95"/>
      <c r="ET61" s="95"/>
      <c r="EU61" s="95"/>
      <c r="EV61" s="95"/>
      <c r="EW61" s="95"/>
      <c r="EX61" s="95"/>
      <c r="EY61" s="95"/>
      <c r="EZ61" s="95"/>
      <c r="FA61" s="95"/>
      <c r="FB61" s="95"/>
      <c r="FC61" s="95"/>
      <c r="FD61" s="95"/>
      <c r="FE61" s="95"/>
      <c r="FF61" s="95"/>
      <c r="FG61" s="95"/>
      <c r="FH61" s="95"/>
      <c r="FI61" s="95"/>
      <c r="FJ61" s="95"/>
      <c r="FK61" s="95"/>
      <c r="FL61" s="95"/>
      <c r="FM61" s="95"/>
      <c r="FN61" s="95"/>
      <c r="FO61" s="95"/>
      <c r="FP61" s="95"/>
      <c r="FQ61" s="95"/>
      <c r="FR61" s="95"/>
      <c r="FS61" s="95"/>
      <c r="FT61" s="95"/>
      <c r="FU61" s="95"/>
      <c r="FV61" s="95"/>
      <c r="FW61" s="95"/>
      <c r="FX61" s="95"/>
      <c r="FY61" s="95"/>
      <c r="FZ61" s="95"/>
      <c r="GA61" s="95"/>
      <c r="GB61" s="95"/>
      <c r="GC61" s="95"/>
      <c r="GD61" s="95"/>
      <c r="GE61" s="95"/>
      <c r="GF61" s="95"/>
      <c r="GG61" s="95"/>
      <c r="GH61" s="95"/>
      <c r="GI61" s="95"/>
      <c r="GJ61" s="95"/>
      <c r="GK61" s="95"/>
    </row>
    <row r="62" spans="1:193" s="34" customFormat="1" ht="21.9" customHeight="1" x14ac:dyDescent="0.3">
      <c r="AM62" s="76" t="s">
        <v>193</v>
      </c>
      <c r="AN62" s="76"/>
      <c r="AO62" s="76"/>
      <c r="AP62" s="77"/>
      <c r="AQ62" s="76"/>
      <c r="AR62" s="74"/>
      <c r="AS62" s="104"/>
      <c r="AT62" s="104"/>
      <c r="AU62" s="76"/>
      <c r="AV62" s="76"/>
      <c r="AW62" s="76"/>
      <c r="AX62" s="76"/>
      <c r="AY62" s="76"/>
      <c r="AZ62" s="77"/>
      <c r="BA62" s="76"/>
      <c r="BB62" s="76"/>
      <c r="BC62" s="76"/>
      <c r="BD62" s="76"/>
      <c r="BE62" s="59"/>
      <c r="BF62" s="59"/>
      <c r="BG62" s="59"/>
      <c r="BH62" s="75"/>
      <c r="BI62" s="78"/>
      <c r="BJ62" s="78"/>
      <c r="BK62" s="5"/>
      <c r="BL62" s="5"/>
      <c r="BM62" s="62"/>
    </row>
    <row r="63" spans="1:193" s="34" customFormat="1" ht="21.9" customHeight="1" x14ac:dyDescent="0.25"/>
    <row r="64" spans="1:193" s="34" customFormat="1" ht="21.9" customHeight="1" x14ac:dyDescent="0.25"/>
    <row r="65" s="34" customFormat="1" ht="21.9" customHeight="1" x14ac:dyDescent="0.25"/>
  </sheetData>
  <mergeCells count="121">
    <mergeCell ref="A3:AL3"/>
    <mergeCell ref="AM3:BQ3"/>
    <mergeCell ref="A4:AL4"/>
    <mergeCell ref="AM4:BQ4"/>
    <mergeCell ref="AM1:AN1"/>
    <mergeCell ref="BM1:BN1"/>
    <mergeCell ref="BO1:BQ1"/>
    <mergeCell ref="AH2:AI2"/>
    <mergeCell ref="AJ2:AL2"/>
    <mergeCell ref="AM2:AN2"/>
    <mergeCell ref="BM2:BN2"/>
    <mergeCell ref="BO2:BQ2"/>
    <mergeCell ref="A1:B1"/>
    <mergeCell ref="A2:B2"/>
    <mergeCell ref="AH1:AI1"/>
    <mergeCell ref="AJ1:AL1"/>
    <mergeCell ref="A54:A55"/>
    <mergeCell ref="A56:A57"/>
    <mergeCell ref="A6:D11"/>
    <mergeCell ref="BC6:BD6"/>
    <mergeCell ref="BE6:BE11"/>
    <mergeCell ref="BF6:BH6"/>
    <mergeCell ref="BI6:BI11"/>
    <mergeCell ref="BN7:BN11"/>
    <mergeCell ref="BO6:BQ6"/>
    <mergeCell ref="BC7:BC11"/>
    <mergeCell ref="BG7:BG11"/>
    <mergeCell ref="V6:AH6"/>
    <mergeCell ref="AI6:AL6"/>
    <mergeCell ref="AZ7:AZ11"/>
    <mergeCell ref="AO7:AO11"/>
    <mergeCell ref="AP7:AP11"/>
    <mergeCell ref="AQ7:AQ11"/>
    <mergeCell ref="AX7:AX11"/>
    <mergeCell ref="AR7:AR11"/>
    <mergeCell ref="AS7:AS11"/>
    <mergeCell ref="AT7:AT11"/>
    <mergeCell ref="BP7:BP11"/>
    <mergeCell ref="BQ7:BQ11"/>
    <mergeCell ref="BO7:BO11"/>
    <mergeCell ref="H7:H11"/>
    <mergeCell ref="I7:I11"/>
    <mergeCell ref="A12:A13"/>
    <mergeCell ref="A14:A15"/>
    <mergeCell ref="J7:J11"/>
    <mergeCell ref="K7:K11"/>
    <mergeCell ref="A52:A53"/>
    <mergeCell ref="A42:A43"/>
    <mergeCell ref="A44:A45"/>
    <mergeCell ref="A46:A47"/>
    <mergeCell ref="A48:A49"/>
    <mergeCell ref="A50:A51"/>
    <mergeCell ref="A40:A41"/>
    <mergeCell ref="A28:A29"/>
    <mergeCell ref="A30:A31"/>
    <mergeCell ref="A32:A33"/>
    <mergeCell ref="A34:A35"/>
    <mergeCell ref="A36:A37"/>
    <mergeCell ref="A38:A39"/>
    <mergeCell ref="A16:A17"/>
    <mergeCell ref="A18:A19"/>
    <mergeCell ref="A20:A21"/>
    <mergeCell ref="A22:A23"/>
    <mergeCell ref="A24:A25"/>
    <mergeCell ref="A26:A27"/>
    <mergeCell ref="BM7:BM11"/>
    <mergeCell ref="AU7:AU11"/>
    <mergeCell ref="AV7:AV11"/>
    <mergeCell ref="AW7:AW11"/>
    <mergeCell ref="BH7:BH11"/>
    <mergeCell ref="BD7:BD11"/>
    <mergeCell ref="AI7:AI11"/>
    <mergeCell ref="AJ7:AJ11"/>
    <mergeCell ref="AK7:AK11"/>
    <mergeCell ref="AL7:AL11"/>
    <mergeCell ref="AY7:AY11"/>
    <mergeCell ref="BJ6:BJ11"/>
    <mergeCell ref="BK6:BN6"/>
    <mergeCell ref="AY6:AZ6"/>
    <mergeCell ref="BA6:BB6"/>
    <mergeCell ref="BA7:BA11"/>
    <mergeCell ref="BB7:BB11"/>
    <mergeCell ref="AV6:AX6"/>
    <mergeCell ref="V7:V11"/>
    <mergeCell ref="BF7:BF11"/>
    <mergeCell ref="BK7:BK11"/>
    <mergeCell ref="BL7:BL11"/>
    <mergeCell ref="AC7:AC11"/>
    <mergeCell ref="AD7:AD11"/>
    <mergeCell ref="AE7:AE11"/>
    <mergeCell ref="AF7:AF11"/>
    <mergeCell ref="AG7:AG11"/>
    <mergeCell ref="AH7:AH11"/>
    <mergeCell ref="W7:W11"/>
    <mergeCell ref="X7:X11"/>
    <mergeCell ref="Y7:Y11"/>
    <mergeCell ref="Z7:Z11"/>
    <mergeCell ref="E6:E11"/>
    <mergeCell ref="M7:M11"/>
    <mergeCell ref="N7:N11"/>
    <mergeCell ref="O7:O11"/>
    <mergeCell ref="P7:P11"/>
    <mergeCell ref="L7:L11"/>
    <mergeCell ref="AM6:AP6"/>
    <mergeCell ref="AQ6:AS6"/>
    <mergeCell ref="AT6:AU6"/>
    <mergeCell ref="AM7:AM11"/>
    <mergeCell ref="AN7:AN11"/>
    <mergeCell ref="F7:F11"/>
    <mergeCell ref="G7:G11"/>
    <mergeCell ref="AA7:AA11"/>
    <mergeCell ref="AB7:AB11"/>
    <mergeCell ref="Q7:Q11"/>
    <mergeCell ref="R7:R11"/>
    <mergeCell ref="S7:S11"/>
    <mergeCell ref="T7:T11"/>
    <mergeCell ref="F6:L6"/>
    <mergeCell ref="M6:O6"/>
    <mergeCell ref="P6:R6"/>
    <mergeCell ref="S6:U6"/>
    <mergeCell ref="U7:U11"/>
  </mergeCells>
  <phoneticPr fontId="5" type="noConversion"/>
  <printOptions horizontalCentered="1"/>
  <pageMargins left="0.74803149606299213" right="0.74803149606299213" top="1.1811023622047245" bottom="0.78740157480314965" header="0" footer="0"/>
  <pageSetup paperSize="8" scale="62"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Q65"/>
  <sheetViews>
    <sheetView zoomScale="80" zoomScaleNormal="80" workbookViewId="0">
      <selection activeCell="E6" sqref="E6:E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E1" s="70"/>
      <c r="AF1" s="183" t="s">
        <v>45</v>
      </c>
      <c r="AG1" s="171"/>
      <c r="AH1" s="172" t="s">
        <v>46</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J1" s="69"/>
      <c r="BK1" s="170" t="s">
        <v>45</v>
      </c>
      <c r="BL1" s="171"/>
      <c r="BM1" s="172" t="s">
        <v>46</v>
      </c>
      <c r="BN1" s="173"/>
      <c r="BO1" s="174"/>
      <c r="BP1" s="38"/>
      <c r="BQ1" s="38"/>
    </row>
    <row r="2" spans="1:69"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41"/>
      <c r="AE2" s="71"/>
      <c r="AF2" s="184" t="s">
        <v>187</v>
      </c>
      <c r="AG2" s="166"/>
      <c r="AH2" s="167" t="s">
        <v>10</v>
      </c>
      <c r="AI2" s="168"/>
      <c r="AJ2" s="169"/>
      <c r="AK2" s="163" t="s">
        <v>279</v>
      </c>
      <c r="AL2" s="164"/>
      <c r="AM2" s="7" t="s">
        <v>290</v>
      </c>
      <c r="AN2" s="33"/>
      <c r="AO2" s="33"/>
      <c r="AP2" s="33"/>
      <c r="AQ2" s="33"/>
      <c r="AR2" s="33"/>
      <c r="AS2" s="33"/>
      <c r="AT2" s="33"/>
      <c r="AU2" s="33"/>
      <c r="AV2" s="33"/>
      <c r="AW2" s="33"/>
      <c r="AX2" s="33"/>
      <c r="AY2" s="33"/>
      <c r="AZ2" s="33"/>
      <c r="BA2" s="33"/>
      <c r="BB2" s="33"/>
      <c r="BC2" s="33"/>
      <c r="BD2" s="33"/>
      <c r="BE2" s="33"/>
      <c r="BF2" s="33"/>
      <c r="BG2" s="33"/>
      <c r="BH2" s="42"/>
      <c r="BI2" s="41"/>
      <c r="BJ2" s="72"/>
      <c r="BK2" s="165" t="s">
        <v>187</v>
      </c>
      <c r="BL2" s="166"/>
      <c r="BM2" s="167" t="s">
        <v>10</v>
      </c>
      <c r="BN2" s="168"/>
      <c r="BO2" s="169"/>
      <c r="BP2" s="43"/>
      <c r="BQ2" s="43"/>
    </row>
    <row r="3" spans="1:69" s="53" customFormat="1" ht="30" customHeight="1" x14ac:dyDescent="0.25">
      <c r="A3" s="159" t="s">
        <v>385</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388</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row>
    <row r="4" spans="1:69" s="37" customFormat="1" ht="26.1" customHeight="1" x14ac:dyDescent="0.25">
      <c r="A4" s="160" t="s">
        <v>327</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204" t="s">
        <v>326</v>
      </c>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row>
    <row r="5" spans="1:69" s="37" customFormat="1" ht="20.100000000000001" customHeight="1" x14ac:dyDescent="0.25">
      <c r="A5" s="40"/>
      <c r="B5" s="41"/>
      <c r="C5" s="41"/>
      <c r="D5" s="67"/>
      <c r="E5" s="67"/>
      <c r="F5" s="67"/>
      <c r="G5" s="67"/>
      <c r="H5" s="67"/>
      <c r="I5" s="67"/>
      <c r="J5" s="41"/>
      <c r="K5" s="67"/>
      <c r="L5" s="67"/>
      <c r="M5" s="67"/>
      <c r="N5" s="41"/>
      <c r="O5" s="67"/>
      <c r="P5" s="41"/>
      <c r="Q5" s="67"/>
      <c r="R5" s="44"/>
      <c r="S5" s="67"/>
      <c r="T5" s="33"/>
      <c r="U5" s="33"/>
      <c r="V5" s="33"/>
      <c r="W5" s="68"/>
      <c r="X5" s="5"/>
      <c r="Y5" s="33"/>
      <c r="Z5" s="33"/>
      <c r="AA5" s="33"/>
      <c r="AB5" s="33"/>
      <c r="AC5" s="33"/>
      <c r="AD5" s="33"/>
      <c r="AE5" s="33"/>
      <c r="AG5" s="33"/>
      <c r="AH5" s="33"/>
      <c r="AJ5" s="45" t="s">
        <v>48</v>
      </c>
      <c r="AK5" s="33"/>
      <c r="AL5" s="33"/>
      <c r="AM5" s="33"/>
      <c r="AN5" s="5"/>
      <c r="AO5" s="33"/>
      <c r="AP5" s="33"/>
      <c r="AQ5" s="33"/>
      <c r="AR5" s="33"/>
      <c r="AS5" s="33"/>
      <c r="AT5" s="33"/>
      <c r="AU5" s="33"/>
      <c r="AV5" s="33"/>
      <c r="AW5" s="44"/>
      <c r="AX5" s="45"/>
      <c r="AY5" s="45"/>
      <c r="AZ5" s="45"/>
      <c r="BA5" s="45"/>
      <c r="BB5" s="5"/>
      <c r="BC5" s="33"/>
      <c r="BD5" s="33"/>
      <c r="BE5" s="33"/>
      <c r="BF5" s="33"/>
      <c r="BG5" s="33"/>
      <c r="BH5" s="33"/>
      <c r="BI5" s="5"/>
      <c r="BJ5" s="5"/>
      <c r="BK5" s="5"/>
      <c r="BL5" s="5"/>
      <c r="BM5" s="5"/>
      <c r="BN5" s="5"/>
      <c r="BO5" s="46" t="s">
        <v>49</v>
      </c>
    </row>
    <row r="6" spans="1:69" s="5" customFormat="1" ht="27.9" customHeight="1" x14ac:dyDescent="0.25">
      <c r="A6" s="125" t="s">
        <v>144</v>
      </c>
      <c r="B6" s="125"/>
      <c r="C6" s="125"/>
      <c r="D6" s="125"/>
      <c r="E6" s="136" t="s">
        <v>50</v>
      </c>
      <c r="F6" s="187" t="s">
        <v>254</v>
      </c>
      <c r="G6" s="188"/>
      <c r="H6" s="188"/>
      <c r="I6" s="188"/>
      <c r="J6" s="189"/>
      <c r="K6" s="190" t="s">
        <v>52</v>
      </c>
      <c r="L6" s="191"/>
      <c r="M6" s="192"/>
      <c r="N6" s="193" t="s">
        <v>53</v>
      </c>
      <c r="O6" s="194"/>
      <c r="P6" s="195"/>
      <c r="Q6" s="193" t="s">
        <v>54</v>
      </c>
      <c r="R6" s="194"/>
      <c r="S6" s="195"/>
      <c r="T6" s="187" t="s">
        <v>55</v>
      </c>
      <c r="U6" s="188"/>
      <c r="V6" s="188"/>
      <c r="W6" s="188"/>
      <c r="X6" s="188"/>
      <c r="Y6" s="188"/>
      <c r="Z6" s="188"/>
      <c r="AA6" s="188"/>
      <c r="AB6" s="188"/>
      <c r="AC6" s="188"/>
      <c r="AD6" s="188"/>
      <c r="AE6" s="188"/>
      <c r="AF6" s="189"/>
      <c r="AG6" s="187" t="s">
        <v>121</v>
      </c>
      <c r="AH6" s="188"/>
      <c r="AI6" s="188"/>
      <c r="AJ6" s="189"/>
      <c r="AK6" s="187" t="s">
        <v>217</v>
      </c>
      <c r="AL6" s="188"/>
      <c r="AM6" s="188"/>
      <c r="AN6" s="188"/>
      <c r="AO6" s="187" t="s">
        <v>56</v>
      </c>
      <c r="AP6" s="188"/>
      <c r="AQ6" s="189"/>
      <c r="AR6" s="187" t="s">
        <v>57</v>
      </c>
      <c r="AS6" s="189"/>
      <c r="AT6" s="187" t="s">
        <v>58</v>
      </c>
      <c r="AU6" s="188"/>
      <c r="AV6" s="189"/>
      <c r="AW6" s="187" t="s">
        <v>59</v>
      </c>
      <c r="AX6" s="189"/>
      <c r="AY6" s="196" t="s">
        <v>60</v>
      </c>
      <c r="AZ6" s="197"/>
      <c r="BA6" s="196" t="s">
        <v>61</v>
      </c>
      <c r="BB6" s="197"/>
      <c r="BC6" s="180" t="s">
        <v>62</v>
      </c>
      <c r="BD6" s="196" t="s">
        <v>63</v>
      </c>
      <c r="BE6" s="201"/>
      <c r="BF6" s="197"/>
      <c r="BG6" s="176" t="s">
        <v>36</v>
      </c>
      <c r="BH6" s="180" t="s">
        <v>64</v>
      </c>
      <c r="BI6" s="187" t="s">
        <v>97</v>
      </c>
      <c r="BJ6" s="188"/>
      <c r="BK6" s="188"/>
      <c r="BL6" s="189"/>
      <c r="BM6" s="187" t="s">
        <v>65</v>
      </c>
      <c r="BN6" s="188"/>
      <c r="BO6" s="188"/>
    </row>
    <row r="7" spans="1:69" s="5" customFormat="1" ht="30" customHeight="1" x14ac:dyDescent="0.25">
      <c r="A7" s="125"/>
      <c r="B7" s="125"/>
      <c r="C7" s="125"/>
      <c r="D7" s="125"/>
      <c r="E7" s="136"/>
      <c r="F7" s="139" t="s">
        <v>221</v>
      </c>
      <c r="G7" s="139" t="s">
        <v>291</v>
      </c>
      <c r="H7" s="139" t="s">
        <v>66</v>
      </c>
      <c r="I7" s="130" t="s">
        <v>330</v>
      </c>
      <c r="J7" s="130" t="s">
        <v>331</v>
      </c>
      <c r="K7" s="139" t="s">
        <v>67</v>
      </c>
      <c r="L7" s="130" t="s">
        <v>333</v>
      </c>
      <c r="M7" s="139" t="s">
        <v>68</v>
      </c>
      <c r="N7" s="139" t="s">
        <v>293</v>
      </c>
      <c r="O7" s="139" t="s">
        <v>70</v>
      </c>
      <c r="P7" s="139" t="s">
        <v>71</v>
      </c>
      <c r="Q7" s="139" t="s">
        <v>294</v>
      </c>
      <c r="R7" s="130" t="s">
        <v>332</v>
      </c>
      <c r="S7" s="139" t="s">
        <v>72</v>
      </c>
      <c r="T7" s="139" t="s">
        <v>328</v>
      </c>
      <c r="U7" s="139" t="s">
        <v>296</v>
      </c>
      <c r="V7" s="139" t="s">
        <v>182</v>
      </c>
      <c r="W7" s="139" t="s">
        <v>118</v>
      </c>
      <c r="X7" s="139" t="s">
        <v>107</v>
      </c>
      <c r="Y7" s="139" t="s">
        <v>98</v>
      </c>
      <c r="Z7" s="139" t="s">
        <v>108</v>
      </c>
      <c r="AA7" s="130" t="s">
        <v>319</v>
      </c>
      <c r="AB7" s="139" t="s">
        <v>99</v>
      </c>
      <c r="AC7" s="139" t="s">
        <v>329</v>
      </c>
      <c r="AD7" s="139" t="s">
        <v>136</v>
      </c>
      <c r="AE7" s="139" t="s">
        <v>206</v>
      </c>
      <c r="AF7" s="139" t="s">
        <v>128</v>
      </c>
      <c r="AG7" s="139" t="s">
        <v>122</v>
      </c>
      <c r="AH7" s="139" t="s">
        <v>207</v>
      </c>
      <c r="AI7" s="139" t="s">
        <v>139</v>
      </c>
      <c r="AJ7" s="139" t="s">
        <v>211</v>
      </c>
      <c r="AK7" s="139" t="s">
        <v>129</v>
      </c>
      <c r="AL7" s="139" t="s">
        <v>102</v>
      </c>
      <c r="AM7" s="139" t="s">
        <v>130</v>
      </c>
      <c r="AN7" s="139" t="s">
        <v>208</v>
      </c>
      <c r="AO7" s="130" t="s">
        <v>274</v>
      </c>
      <c r="AP7" s="157" t="s">
        <v>233</v>
      </c>
      <c r="AQ7" s="139" t="s">
        <v>183</v>
      </c>
      <c r="AR7" s="139" t="s">
        <v>308</v>
      </c>
      <c r="AS7" s="139" t="s">
        <v>309</v>
      </c>
      <c r="AT7" s="130" t="s">
        <v>318</v>
      </c>
      <c r="AU7" s="139" t="s">
        <v>310</v>
      </c>
      <c r="AV7" s="139" t="s">
        <v>311</v>
      </c>
      <c r="AW7" s="139" t="s">
        <v>312</v>
      </c>
      <c r="AX7" s="139" t="s">
        <v>313</v>
      </c>
      <c r="AY7" s="139" t="s">
        <v>314</v>
      </c>
      <c r="AZ7" s="139" t="s">
        <v>315</v>
      </c>
      <c r="BA7" s="139" t="s">
        <v>316</v>
      </c>
      <c r="BB7" s="139" t="s">
        <v>317</v>
      </c>
      <c r="BC7" s="177"/>
      <c r="BD7" s="139" t="s">
        <v>116</v>
      </c>
      <c r="BE7" s="139" t="s">
        <v>73</v>
      </c>
      <c r="BF7" s="139" t="s">
        <v>138</v>
      </c>
      <c r="BG7" s="177"/>
      <c r="BH7" s="177"/>
      <c r="BI7" s="139" t="s">
        <v>119</v>
      </c>
      <c r="BJ7" s="139" t="s">
        <v>74</v>
      </c>
      <c r="BK7" s="132" t="s">
        <v>272</v>
      </c>
      <c r="BL7" s="139" t="s">
        <v>126</v>
      </c>
      <c r="BM7" s="139" t="s">
        <v>112</v>
      </c>
      <c r="BN7" s="139" t="s">
        <v>117</v>
      </c>
      <c r="BO7" s="179" t="s">
        <v>65</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58"/>
      <c r="AQ8" s="139"/>
      <c r="AR8" s="139"/>
      <c r="AS8" s="139"/>
      <c r="AT8" s="139"/>
      <c r="AU8" s="139"/>
      <c r="AV8" s="139"/>
      <c r="AW8" s="139"/>
      <c r="AX8" s="139"/>
      <c r="AY8" s="139"/>
      <c r="AZ8" s="139"/>
      <c r="BA8" s="139"/>
      <c r="BB8" s="139"/>
      <c r="BC8" s="177"/>
      <c r="BD8" s="139"/>
      <c r="BE8" s="139"/>
      <c r="BF8" s="139"/>
      <c r="BG8" s="177"/>
      <c r="BH8" s="177"/>
      <c r="BI8" s="139"/>
      <c r="BJ8" s="139"/>
      <c r="BK8" s="139"/>
      <c r="BL8" s="139"/>
      <c r="BM8" s="139"/>
      <c r="BN8" s="139"/>
      <c r="BO8" s="179"/>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58"/>
      <c r="AQ9" s="139"/>
      <c r="AR9" s="139"/>
      <c r="AS9" s="139"/>
      <c r="AT9" s="139"/>
      <c r="AU9" s="139"/>
      <c r="AV9" s="139"/>
      <c r="AW9" s="139"/>
      <c r="AX9" s="139"/>
      <c r="AY9" s="139"/>
      <c r="AZ9" s="139"/>
      <c r="BA9" s="139"/>
      <c r="BB9" s="139"/>
      <c r="BC9" s="177"/>
      <c r="BD9" s="139"/>
      <c r="BE9" s="139"/>
      <c r="BF9" s="139"/>
      <c r="BG9" s="177"/>
      <c r="BH9" s="177"/>
      <c r="BI9" s="139"/>
      <c r="BJ9" s="139"/>
      <c r="BK9" s="139"/>
      <c r="BL9" s="139"/>
      <c r="BM9" s="139"/>
      <c r="BN9" s="139"/>
      <c r="BO9" s="179"/>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58"/>
      <c r="AQ10" s="139"/>
      <c r="AR10" s="139"/>
      <c r="AS10" s="139"/>
      <c r="AT10" s="139"/>
      <c r="AU10" s="139"/>
      <c r="AV10" s="139"/>
      <c r="AW10" s="139"/>
      <c r="AX10" s="139"/>
      <c r="AY10" s="139"/>
      <c r="AZ10" s="139"/>
      <c r="BA10" s="139"/>
      <c r="BB10" s="139"/>
      <c r="BC10" s="177"/>
      <c r="BD10" s="139"/>
      <c r="BE10" s="139"/>
      <c r="BF10" s="139"/>
      <c r="BG10" s="177"/>
      <c r="BH10" s="177"/>
      <c r="BI10" s="139"/>
      <c r="BJ10" s="139"/>
      <c r="BK10" s="139"/>
      <c r="BL10" s="139"/>
      <c r="BM10" s="139"/>
      <c r="BN10" s="139"/>
      <c r="BO10" s="179"/>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58"/>
      <c r="AQ11" s="139"/>
      <c r="AR11" s="139"/>
      <c r="AS11" s="139"/>
      <c r="AT11" s="139"/>
      <c r="AU11" s="139"/>
      <c r="AV11" s="139"/>
      <c r="AW11" s="139"/>
      <c r="AX11" s="139"/>
      <c r="AY11" s="139"/>
      <c r="AZ11" s="139"/>
      <c r="BA11" s="139"/>
      <c r="BB11" s="139"/>
      <c r="BC11" s="178"/>
      <c r="BD11" s="139"/>
      <c r="BE11" s="139"/>
      <c r="BF11" s="139"/>
      <c r="BG11" s="178"/>
      <c r="BH11" s="178"/>
      <c r="BI11" s="139"/>
      <c r="BJ11" s="139"/>
      <c r="BK11" s="139"/>
      <c r="BL11" s="139"/>
      <c r="BM11" s="139"/>
      <c r="BN11" s="139"/>
      <c r="BO11" s="179"/>
    </row>
    <row r="12" spans="1:69" s="3" customFormat="1" ht="21.9" customHeight="1" x14ac:dyDescent="0.25">
      <c r="A12" s="125" t="s">
        <v>343</v>
      </c>
      <c r="B12" s="5"/>
      <c r="C12" s="51" t="s">
        <v>75</v>
      </c>
      <c r="D12" s="52"/>
      <c r="E12" s="16">
        <f>SUM(F12:BO12)</f>
        <v>676019</v>
      </c>
      <c r="F12" s="16">
        <f t="shared" ref="F12:BO13" si="0">F14+F16+F18+F20+F22+F24+F26+F28+F30+F32+F34+F36+F38+F40+F42+F44+F46+F48+F50+F52+F54+F56</f>
        <v>11182</v>
      </c>
      <c r="G12" s="16">
        <f t="shared" si="0"/>
        <v>6555</v>
      </c>
      <c r="H12" s="16">
        <f t="shared" si="0"/>
        <v>2808</v>
      </c>
      <c r="I12" s="16">
        <f t="shared" si="0"/>
        <v>3244</v>
      </c>
      <c r="J12" s="16">
        <f t="shared" si="0"/>
        <v>994</v>
      </c>
      <c r="K12" s="16">
        <f t="shared" si="0"/>
        <v>30716</v>
      </c>
      <c r="L12" s="16">
        <f t="shared" si="0"/>
        <v>10058</v>
      </c>
      <c r="M12" s="16">
        <f t="shared" si="0"/>
        <v>2865</v>
      </c>
      <c r="N12" s="16">
        <f t="shared" si="0"/>
        <v>5339</v>
      </c>
      <c r="O12" s="16">
        <f t="shared" si="0"/>
        <v>2659</v>
      </c>
      <c r="P12" s="16">
        <f t="shared" si="0"/>
        <v>172</v>
      </c>
      <c r="Q12" s="16">
        <f t="shared" si="0"/>
        <v>6060</v>
      </c>
      <c r="R12" s="16">
        <f t="shared" si="0"/>
        <v>8490</v>
      </c>
      <c r="S12" s="16">
        <f t="shared" si="0"/>
        <v>4121</v>
      </c>
      <c r="T12" s="16">
        <f t="shared" si="0"/>
        <v>8905</v>
      </c>
      <c r="U12" s="16">
        <f t="shared" si="0"/>
        <v>22099</v>
      </c>
      <c r="V12" s="16">
        <f t="shared" si="0"/>
        <v>7937</v>
      </c>
      <c r="W12" s="16">
        <f t="shared" si="0"/>
        <v>7321</v>
      </c>
      <c r="X12" s="16">
        <f t="shared" si="0"/>
        <v>5832</v>
      </c>
      <c r="Y12" s="16">
        <f t="shared" si="0"/>
        <v>22609</v>
      </c>
      <c r="Z12" s="16">
        <f t="shared" si="0"/>
        <v>11041</v>
      </c>
      <c r="AA12" s="16">
        <f t="shared" si="0"/>
        <v>3812</v>
      </c>
      <c r="AB12" s="16">
        <f t="shared" si="0"/>
        <v>4735</v>
      </c>
      <c r="AC12" s="16">
        <f t="shared" si="0"/>
        <v>9072</v>
      </c>
      <c r="AD12" s="16">
        <f t="shared" si="0"/>
        <v>63344</v>
      </c>
      <c r="AE12" s="16">
        <f t="shared" si="0"/>
        <v>25164</v>
      </c>
      <c r="AF12" s="16">
        <f t="shared" si="0"/>
        <v>9560</v>
      </c>
      <c r="AG12" s="16">
        <f t="shared" si="0"/>
        <v>25547</v>
      </c>
      <c r="AH12" s="16">
        <f t="shared" si="0"/>
        <v>6771</v>
      </c>
      <c r="AI12" s="16">
        <f t="shared" si="0"/>
        <v>6543</v>
      </c>
      <c r="AJ12" s="16">
        <f t="shared" si="0"/>
        <v>1561</v>
      </c>
      <c r="AK12" s="103">
        <f t="shared" si="0"/>
        <v>4502</v>
      </c>
      <c r="AL12" s="16">
        <f t="shared" si="0"/>
        <v>2637</v>
      </c>
      <c r="AM12" s="16">
        <f t="shared" si="0"/>
        <v>2831</v>
      </c>
      <c r="AN12" s="16">
        <f t="shared" si="0"/>
        <v>9843</v>
      </c>
      <c r="AO12" s="16">
        <f t="shared" si="0"/>
        <v>2269</v>
      </c>
      <c r="AP12" s="16">
        <f t="shared" si="0"/>
        <v>2410</v>
      </c>
      <c r="AQ12" s="16">
        <f t="shared" si="0"/>
        <v>4013</v>
      </c>
      <c r="AR12" s="16">
        <f t="shared" si="0"/>
        <v>2828</v>
      </c>
      <c r="AS12" s="16">
        <f t="shared" si="0"/>
        <v>2036</v>
      </c>
      <c r="AT12" s="16">
        <f t="shared" si="0"/>
        <v>9379</v>
      </c>
      <c r="AU12" s="16">
        <f t="shared" si="0"/>
        <v>52049</v>
      </c>
      <c r="AV12" s="16">
        <f t="shared" si="0"/>
        <v>10859</v>
      </c>
      <c r="AW12" s="16">
        <f t="shared" si="0"/>
        <v>2248</v>
      </c>
      <c r="AX12" s="16">
        <f t="shared" si="0"/>
        <v>75402</v>
      </c>
      <c r="AY12" s="16">
        <f t="shared" si="0"/>
        <v>6699</v>
      </c>
      <c r="AZ12" s="16">
        <f t="shared" si="0"/>
        <v>843</v>
      </c>
      <c r="BA12" s="16">
        <f t="shared" si="0"/>
        <v>3538</v>
      </c>
      <c r="BB12" s="16">
        <f t="shared" si="0"/>
        <v>3458</v>
      </c>
      <c r="BC12" s="16">
        <f t="shared" si="0"/>
        <v>2688</v>
      </c>
      <c r="BD12" s="16">
        <f t="shared" si="0"/>
        <v>17744</v>
      </c>
      <c r="BE12" s="16">
        <f t="shared" si="0"/>
        <v>12428</v>
      </c>
      <c r="BF12" s="16">
        <f t="shared" si="0"/>
        <v>10882</v>
      </c>
      <c r="BG12" s="16">
        <f t="shared" si="0"/>
        <v>24282</v>
      </c>
      <c r="BH12" s="16">
        <f t="shared" si="0"/>
        <v>12519</v>
      </c>
      <c r="BI12" s="16">
        <f t="shared" si="0"/>
        <v>10988</v>
      </c>
      <c r="BJ12" s="16">
        <f t="shared" si="0"/>
        <v>10177</v>
      </c>
      <c r="BK12" s="16">
        <f t="shared" si="0"/>
        <v>8828</v>
      </c>
      <c r="BL12" s="16">
        <f t="shared" si="0"/>
        <v>10093</v>
      </c>
      <c r="BM12" s="16">
        <f t="shared" si="0"/>
        <v>4489</v>
      </c>
      <c r="BN12" s="16">
        <f t="shared" si="0"/>
        <v>1668</v>
      </c>
      <c r="BO12" s="16">
        <f t="shared" si="0"/>
        <v>14273</v>
      </c>
    </row>
    <row r="13" spans="1:69" s="3" customFormat="1" ht="21.9" customHeight="1" x14ac:dyDescent="0.25">
      <c r="A13" s="125"/>
      <c r="B13" s="5"/>
      <c r="C13" s="47" t="s">
        <v>76</v>
      </c>
      <c r="D13" s="48"/>
      <c r="E13" s="16">
        <f t="shared" ref="E13:E57" si="1">SUM(F13:BO13)</f>
        <v>9145</v>
      </c>
      <c r="F13" s="26">
        <f t="shared" si="0"/>
        <v>3</v>
      </c>
      <c r="G13" s="26">
        <f t="shared" si="0"/>
        <v>14</v>
      </c>
      <c r="H13" s="26">
        <f t="shared" si="0"/>
        <v>4</v>
      </c>
      <c r="I13" s="26">
        <f t="shared" si="0"/>
        <v>28</v>
      </c>
      <c r="J13" s="26">
        <f t="shared" si="0"/>
        <v>2</v>
      </c>
      <c r="K13" s="26">
        <f t="shared" si="0"/>
        <v>64</v>
      </c>
      <c r="L13" s="26">
        <f t="shared" si="0"/>
        <v>86</v>
      </c>
      <c r="M13" s="26">
        <f t="shared" si="0"/>
        <v>4</v>
      </c>
      <c r="N13" s="26">
        <f t="shared" si="0"/>
        <v>43</v>
      </c>
      <c r="O13" s="26">
        <f t="shared" si="0"/>
        <v>17</v>
      </c>
      <c r="P13" s="26">
        <f t="shared" si="0"/>
        <v>0</v>
      </c>
      <c r="Q13" s="26">
        <f t="shared" si="0"/>
        <v>61</v>
      </c>
      <c r="R13" s="26">
        <f t="shared" si="0"/>
        <v>193</v>
      </c>
      <c r="S13" s="26">
        <f t="shared" si="0"/>
        <v>9</v>
      </c>
      <c r="T13" s="26">
        <f t="shared" si="0"/>
        <v>117</v>
      </c>
      <c r="U13" s="26">
        <f t="shared" si="0"/>
        <v>266</v>
      </c>
      <c r="V13" s="26">
        <f t="shared" si="0"/>
        <v>50</v>
      </c>
      <c r="W13" s="26">
        <f t="shared" si="0"/>
        <v>113</v>
      </c>
      <c r="X13" s="26">
        <f t="shared" si="0"/>
        <v>73</v>
      </c>
      <c r="Y13" s="26">
        <f t="shared" si="0"/>
        <v>88</v>
      </c>
      <c r="Z13" s="26">
        <f t="shared" si="0"/>
        <v>107</v>
      </c>
      <c r="AA13" s="26">
        <f t="shared" si="0"/>
        <v>4</v>
      </c>
      <c r="AB13" s="26">
        <f t="shared" si="0"/>
        <v>40</v>
      </c>
      <c r="AC13" s="26">
        <f t="shared" si="0"/>
        <v>170</v>
      </c>
      <c r="AD13" s="26">
        <f t="shared" si="0"/>
        <v>246</v>
      </c>
      <c r="AE13" s="26">
        <f t="shared" si="0"/>
        <v>223</v>
      </c>
      <c r="AF13" s="26">
        <f t="shared" si="0"/>
        <v>55</v>
      </c>
      <c r="AG13" s="26">
        <f t="shared" si="0"/>
        <v>344</v>
      </c>
      <c r="AH13" s="26">
        <f t="shared" si="0"/>
        <v>173</v>
      </c>
      <c r="AI13" s="26">
        <f t="shared" si="0"/>
        <v>62</v>
      </c>
      <c r="AJ13" s="26">
        <f t="shared" si="0"/>
        <v>5</v>
      </c>
      <c r="AK13" s="99">
        <f t="shared" si="0"/>
        <v>176</v>
      </c>
      <c r="AL13" s="26">
        <f t="shared" si="0"/>
        <v>8</v>
      </c>
      <c r="AM13" s="26">
        <f t="shared" si="0"/>
        <v>5</v>
      </c>
      <c r="AN13" s="26">
        <f t="shared" si="0"/>
        <v>183</v>
      </c>
      <c r="AO13" s="26">
        <f t="shared" si="0"/>
        <v>0</v>
      </c>
      <c r="AP13" s="26">
        <f t="shared" si="0"/>
        <v>0</v>
      </c>
      <c r="AQ13" s="26">
        <f t="shared" si="0"/>
        <v>1</v>
      </c>
      <c r="AR13" s="26">
        <f t="shared" si="0"/>
        <v>97</v>
      </c>
      <c r="AS13" s="26">
        <f t="shared" si="0"/>
        <v>43</v>
      </c>
      <c r="AT13" s="26">
        <f t="shared" si="0"/>
        <v>9</v>
      </c>
      <c r="AU13" s="26">
        <f t="shared" si="0"/>
        <v>414</v>
      </c>
      <c r="AV13" s="26">
        <f t="shared" si="0"/>
        <v>131</v>
      </c>
      <c r="AW13" s="26">
        <f t="shared" si="0"/>
        <v>3</v>
      </c>
      <c r="AX13" s="26">
        <f t="shared" si="0"/>
        <v>277</v>
      </c>
      <c r="AY13" s="26">
        <f t="shared" si="0"/>
        <v>65</v>
      </c>
      <c r="AZ13" s="26">
        <f t="shared" si="0"/>
        <v>17</v>
      </c>
      <c r="BA13" s="26">
        <f t="shared" si="0"/>
        <v>18</v>
      </c>
      <c r="BB13" s="26">
        <f t="shared" si="0"/>
        <v>2</v>
      </c>
      <c r="BC13" s="26">
        <f t="shared" si="0"/>
        <v>0</v>
      </c>
      <c r="BD13" s="26">
        <f t="shared" si="0"/>
        <v>89</v>
      </c>
      <c r="BE13" s="26">
        <f t="shared" si="0"/>
        <v>35</v>
      </c>
      <c r="BF13" s="26">
        <f t="shared" si="0"/>
        <v>125</v>
      </c>
      <c r="BG13" s="26">
        <f t="shared" si="0"/>
        <v>3941</v>
      </c>
      <c r="BH13" s="26">
        <f t="shared" si="0"/>
        <v>181</v>
      </c>
      <c r="BI13" s="26">
        <f t="shared" si="0"/>
        <v>127</v>
      </c>
      <c r="BJ13" s="26">
        <f t="shared" si="0"/>
        <v>80</v>
      </c>
      <c r="BK13" s="26">
        <f t="shared" si="0"/>
        <v>71</v>
      </c>
      <c r="BL13" s="26">
        <f t="shared" si="0"/>
        <v>16</v>
      </c>
      <c r="BM13" s="26">
        <f t="shared" si="0"/>
        <v>2</v>
      </c>
      <c r="BN13" s="26">
        <f t="shared" si="0"/>
        <v>1</v>
      </c>
      <c r="BO13" s="26">
        <f t="shared" si="0"/>
        <v>364</v>
      </c>
    </row>
    <row r="14" spans="1:69" s="5" customFormat="1" ht="21.9" customHeight="1" x14ac:dyDescent="0.25">
      <c r="A14" s="125" t="s">
        <v>338</v>
      </c>
      <c r="B14" s="4"/>
      <c r="C14" s="47" t="s">
        <v>75</v>
      </c>
      <c r="D14" s="48"/>
      <c r="E14" s="16">
        <f>SUM(F14:BO14)</f>
        <v>46657</v>
      </c>
      <c r="F14" s="16">
        <v>137</v>
      </c>
      <c r="G14" s="16">
        <v>153</v>
      </c>
      <c r="H14" s="16">
        <v>0</v>
      </c>
      <c r="I14" s="16">
        <v>80</v>
      </c>
      <c r="J14" s="16">
        <v>0</v>
      </c>
      <c r="K14" s="16">
        <v>3961</v>
      </c>
      <c r="L14" s="16">
        <v>410</v>
      </c>
      <c r="M14" s="16">
        <v>22</v>
      </c>
      <c r="N14" s="16">
        <v>124</v>
      </c>
      <c r="O14" s="16">
        <v>66</v>
      </c>
      <c r="P14" s="16">
        <v>0</v>
      </c>
      <c r="Q14" s="16">
        <v>294</v>
      </c>
      <c r="R14" s="16">
        <v>614</v>
      </c>
      <c r="S14" s="16">
        <v>223</v>
      </c>
      <c r="T14" s="16">
        <v>500</v>
      </c>
      <c r="U14" s="16">
        <v>945</v>
      </c>
      <c r="V14" s="16">
        <v>504</v>
      </c>
      <c r="W14" s="16">
        <v>107</v>
      </c>
      <c r="X14" s="16">
        <v>125</v>
      </c>
      <c r="Y14" s="16">
        <v>2291</v>
      </c>
      <c r="Z14" s="16">
        <v>350</v>
      </c>
      <c r="AA14" s="16">
        <v>52</v>
      </c>
      <c r="AB14" s="16">
        <v>40</v>
      </c>
      <c r="AC14" s="16">
        <v>415</v>
      </c>
      <c r="AD14" s="16">
        <v>8789</v>
      </c>
      <c r="AE14" s="16">
        <v>2656</v>
      </c>
      <c r="AF14" s="16">
        <v>1424</v>
      </c>
      <c r="AG14" s="16">
        <v>1533</v>
      </c>
      <c r="AH14" s="16">
        <v>232</v>
      </c>
      <c r="AI14" s="16">
        <v>228</v>
      </c>
      <c r="AJ14" s="16">
        <v>2</v>
      </c>
      <c r="AK14" s="98">
        <v>300</v>
      </c>
      <c r="AL14" s="16">
        <v>50</v>
      </c>
      <c r="AM14" s="16">
        <v>123</v>
      </c>
      <c r="AN14" s="16">
        <v>670</v>
      </c>
      <c r="AO14" s="16">
        <v>456</v>
      </c>
      <c r="AP14" s="16">
        <v>724</v>
      </c>
      <c r="AQ14" s="16">
        <v>111</v>
      </c>
      <c r="AR14" s="16">
        <v>141</v>
      </c>
      <c r="AS14" s="16">
        <v>28</v>
      </c>
      <c r="AT14" s="16">
        <v>227</v>
      </c>
      <c r="AU14" s="16">
        <v>4946</v>
      </c>
      <c r="AV14" s="16">
        <v>238</v>
      </c>
      <c r="AW14" s="16">
        <v>43</v>
      </c>
      <c r="AX14" s="16">
        <v>1710</v>
      </c>
      <c r="AY14" s="16">
        <v>88</v>
      </c>
      <c r="AZ14" s="16">
        <v>22</v>
      </c>
      <c r="BA14" s="16">
        <v>30</v>
      </c>
      <c r="BB14" s="16">
        <v>0</v>
      </c>
      <c r="BC14" s="16">
        <v>0</v>
      </c>
      <c r="BD14" s="16">
        <v>1234</v>
      </c>
      <c r="BE14" s="16">
        <v>1380</v>
      </c>
      <c r="BF14" s="16">
        <v>685</v>
      </c>
      <c r="BG14" s="16">
        <v>3423</v>
      </c>
      <c r="BH14" s="16">
        <v>1525</v>
      </c>
      <c r="BI14" s="16">
        <v>471</v>
      </c>
      <c r="BJ14" s="16">
        <v>470</v>
      </c>
      <c r="BK14" s="16">
        <v>264</v>
      </c>
      <c r="BL14" s="16">
        <v>72</v>
      </c>
      <c r="BM14" s="16">
        <v>50</v>
      </c>
      <c r="BN14" s="16">
        <v>142</v>
      </c>
      <c r="BO14" s="16">
        <v>757</v>
      </c>
    </row>
    <row r="15" spans="1:69" s="5" customFormat="1" ht="21.9" customHeight="1" x14ac:dyDescent="0.25">
      <c r="A15" s="125"/>
      <c r="B15" s="4"/>
      <c r="C15" s="47" t="s">
        <v>76</v>
      </c>
      <c r="D15" s="48"/>
      <c r="E15" s="16">
        <f>SUM(F15:BO15)</f>
        <v>1207</v>
      </c>
      <c r="F15" s="26">
        <v>0</v>
      </c>
      <c r="G15" s="26">
        <v>1</v>
      </c>
      <c r="H15" s="26">
        <v>0</v>
      </c>
      <c r="I15" s="26">
        <v>4</v>
      </c>
      <c r="J15" s="26">
        <v>0</v>
      </c>
      <c r="K15" s="26">
        <v>7</v>
      </c>
      <c r="L15" s="26">
        <v>2</v>
      </c>
      <c r="M15" s="26">
        <v>0</v>
      </c>
      <c r="N15" s="26">
        <v>5</v>
      </c>
      <c r="O15" s="26">
        <v>0</v>
      </c>
      <c r="P15" s="26">
        <v>0</v>
      </c>
      <c r="Q15" s="26">
        <v>6</v>
      </c>
      <c r="R15" s="26">
        <v>8</v>
      </c>
      <c r="S15" s="26">
        <v>0</v>
      </c>
      <c r="T15" s="16">
        <v>6</v>
      </c>
      <c r="U15" s="16">
        <v>15</v>
      </c>
      <c r="V15" s="16">
        <v>9</v>
      </c>
      <c r="W15" s="16">
        <v>21</v>
      </c>
      <c r="X15" s="16">
        <v>3</v>
      </c>
      <c r="Y15" s="16">
        <v>21</v>
      </c>
      <c r="Z15" s="16">
        <v>0</v>
      </c>
      <c r="AA15" s="16">
        <v>0</v>
      </c>
      <c r="AB15" s="16">
        <v>0</v>
      </c>
      <c r="AC15" s="16">
        <v>0</v>
      </c>
      <c r="AD15" s="16">
        <v>64</v>
      </c>
      <c r="AE15" s="16">
        <v>36</v>
      </c>
      <c r="AF15" s="16">
        <v>6</v>
      </c>
      <c r="AG15" s="16">
        <v>27</v>
      </c>
      <c r="AH15" s="16">
        <v>6</v>
      </c>
      <c r="AI15" s="16">
        <v>9</v>
      </c>
      <c r="AJ15" s="16">
        <v>1</v>
      </c>
      <c r="AK15" s="98">
        <v>30</v>
      </c>
      <c r="AL15" s="16">
        <v>4</v>
      </c>
      <c r="AM15" s="16">
        <v>4</v>
      </c>
      <c r="AN15" s="16">
        <v>15</v>
      </c>
      <c r="AO15" s="26">
        <v>0</v>
      </c>
      <c r="AP15" s="26">
        <v>0</v>
      </c>
      <c r="AQ15" s="26">
        <v>0</v>
      </c>
      <c r="AR15" s="26">
        <v>2</v>
      </c>
      <c r="AS15" s="26">
        <v>1</v>
      </c>
      <c r="AT15" s="26">
        <v>6</v>
      </c>
      <c r="AU15" s="26">
        <v>2</v>
      </c>
      <c r="AV15" s="26">
        <v>0</v>
      </c>
      <c r="AW15" s="26">
        <v>0</v>
      </c>
      <c r="AX15" s="26">
        <v>30</v>
      </c>
      <c r="AY15" s="16">
        <v>6</v>
      </c>
      <c r="AZ15" s="16">
        <v>0</v>
      </c>
      <c r="BA15" s="16">
        <v>1</v>
      </c>
      <c r="BB15" s="16">
        <v>0</v>
      </c>
      <c r="BC15" s="16">
        <v>0</v>
      </c>
      <c r="BD15" s="16">
        <v>26</v>
      </c>
      <c r="BE15" s="16">
        <v>1</v>
      </c>
      <c r="BF15" s="16">
        <v>6</v>
      </c>
      <c r="BG15" s="16">
        <v>759</v>
      </c>
      <c r="BH15" s="16">
        <v>20</v>
      </c>
      <c r="BI15" s="16">
        <v>4</v>
      </c>
      <c r="BJ15" s="16">
        <v>0</v>
      </c>
      <c r="BK15" s="16">
        <v>2</v>
      </c>
      <c r="BL15" s="16">
        <v>0</v>
      </c>
      <c r="BM15" s="16">
        <v>0</v>
      </c>
      <c r="BN15" s="16">
        <v>0</v>
      </c>
      <c r="BO15" s="16">
        <v>31</v>
      </c>
    </row>
    <row r="16" spans="1:69" s="5" customFormat="1" ht="21.9" customHeight="1" x14ac:dyDescent="0.25">
      <c r="A16" s="125" t="s">
        <v>282</v>
      </c>
      <c r="B16" s="4"/>
      <c r="C16" s="47" t="s">
        <v>75</v>
      </c>
      <c r="D16" s="48"/>
      <c r="E16" s="16">
        <f>SUM(F16:BO16)</f>
        <v>104322</v>
      </c>
      <c r="F16" s="16">
        <v>2259</v>
      </c>
      <c r="G16" s="16">
        <v>1978</v>
      </c>
      <c r="H16" s="16">
        <v>1099</v>
      </c>
      <c r="I16" s="16">
        <v>869</v>
      </c>
      <c r="J16" s="16">
        <v>564</v>
      </c>
      <c r="K16" s="16">
        <v>2455</v>
      </c>
      <c r="L16" s="16">
        <v>1829</v>
      </c>
      <c r="M16" s="16">
        <v>1207</v>
      </c>
      <c r="N16" s="16">
        <v>1031</v>
      </c>
      <c r="O16" s="16">
        <v>686</v>
      </c>
      <c r="P16" s="16">
        <v>125</v>
      </c>
      <c r="Q16" s="16">
        <v>1836</v>
      </c>
      <c r="R16" s="16">
        <v>1651</v>
      </c>
      <c r="S16" s="16">
        <v>1143</v>
      </c>
      <c r="T16" s="16">
        <v>2583</v>
      </c>
      <c r="U16" s="16">
        <v>3608</v>
      </c>
      <c r="V16" s="16">
        <v>2569</v>
      </c>
      <c r="W16" s="16">
        <v>2517</v>
      </c>
      <c r="X16" s="16">
        <v>2185</v>
      </c>
      <c r="Y16" s="16">
        <v>2584</v>
      </c>
      <c r="Z16" s="16">
        <v>2163</v>
      </c>
      <c r="AA16" s="16">
        <v>1894</v>
      </c>
      <c r="AB16" s="16">
        <v>1982</v>
      </c>
      <c r="AC16" s="16">
        <v>266</v>
      </c>
      <c r="AD16" s="16">
        <v>4744</v>
      </c>
      <c r="AE16" s="16">
        <v>5200</v>
      </c>
      <c r="AF16" s="16">
        <v>2659</v>
      </c>
      <c r="AG16" s="16">
        <v>2077</v>
      </c>
      <c r="AH16" s="16">
        <v>837</v>
      </c>
      <c r="AI16" s="16">
        <v>2446</v>
      </c>
      <c r="AJ16" s="16">
        <v>1142</v>
      </c>
      <c r="AK16" s="98">
        <v>1426</v>
      </c>
      <c r="AL16" s="16">
        <v>1789</v>
      </c>
      <c r="AM16" s="16">
        <v>2231</v>
      </c>
      <c r="AN16" s="16">
        <v>1289</v>
      </c>
      <c r="AO16" s="16">
        <v>905</v>
      </c>
      <c r="AP16" s="16">
        <v>881</v>
      </c>
      <c r="AQ16" s="16">
        <v>882</v>
      </c>
      <c r="AR16" s="16">
        <v>547</v>
      </c>
      <c r="AS16" s="16">
        <v>653</v>
      </c>
      <c r="AT16" s="16">
        <v>2641</v>
      </c>
      <c r="AU16" s="16">
        <v>3265</v>
      </c>
      <c r="AV16" s="16">
        <v>1663</v>
      </c>
      <c r="AW16" s="16">
        <v>1159</v>
      </c>
      <c r="AX16" s="16">
        <v>4929</v>
      </c>
      <c r="AY16" s="16">
        <v>902</v>
      </c>
      <c r="AZ16" s="16">
        <v>0</v>
      </c>
      <c r="BA16" s="16">
        <v>1086</v>
      </c>
      <c r="BB16" s="16">
        <v>533</v>
      </c>
      <c r="BC16" s="16">
        <v>177</v>
      </c>
      <c r="BD16" s="16">
        <v>3821</v>
      </c>
      <c r="BE16" s="16">
        <v>1833</v>
      </c>
      <c r="BF16" s="16">
        <v>1103</v>
      </c>
      <c r="BG16" s="16">
        <v>1205</v>
      </c>
      <c r="BH16" s="16">
        <v>2426</v>
      </c>
      <c r="BI16" s="16">
        <v>183</v>
      </c>
      <c r="BJ16" s="16">
        <v>1390</v>
      </c>
      <c r="BK16" s="16">
        <v>1443</v>
      </c>
      <c r="BL16" s="16">
        <v>983</v>
      </c>
      <c r="BM16" s="16">
        <v>1471</v>
      </c>
      <c r="BN16" s="16">
        <v>750</v>
      </c>
      <c r="BO16" s="16">
        <v>568</v>
      </c>
    </row>
    <row r="17" spans="1:67" s="5" customFormat="1" ht="21.9" customHeight="1" x14ac:dyDescent="0.25">
      <c r="A17" s="125"/>
      <c r="B17" s="4"/>
      <c r="C17" s="47" t="s">
        <v>76</v>
      </c>
      <c r="D17" s="48"/>
      <c r="E17" s="16">
        <f>SUM(F17:BO17)</f>
        <v>765</v>
      </c>
      <c r="F17" s="26">
        <v>0</v>
      </c>
      <c r="G17" s="26">
        <v>0</v>
      </c>
      <c r="H17" s="26">
        <v>1</v>
      </c>
      <c r="I17" s="26">
        <v>2</v>
      </c>
      <c r="J17" s="26">
        <v>0</v>
      </c>
      <c r="K17" s="26">
        <v>1</v>
      </c>
      <c r="L17" s="26">
        <v>3</v>
      </c>
      <c r="M17" s="26">
        <v>0</v>
      </c>
      <c r="N17" s="26">
        <v>8</v>
      </c>
      <c r="O17" s="26">
        <v>9</v>
      </c>
      <c r="P17" s="26">
        <v>0</v>
      </c>
      <c r="Q17" s="26">
        <v>2</v>
      </c>
      <c r="R17" s="26">
        <v>12</v>
      </c>
      <c r="S17" s="26">
        <v>0</v>
      </c>
      <c r="T17" s="16">
        <v>0</v>
      </c>
      <c r="U17" s="16">
        <v>52</v>
      </c>
      <c r="V17" s="16">
        <v>3</v>
      </c>
      <c r="W17" s="16">
        <v>8</v>
      </c>
      <c r="X17" s="16">
        <v>5</v>
      </c>
      <c r="Y17" s="16">
        <v>6</v>
      </c>
      <c r="Z17" s="16">
        <v>29</v>
      </c>
      <c r="AA17" s="16">
        <v>0</v>
      </c>
      <c r="AB17" s="16">
        <v>1</v>
      </c>
      <c r="AC17" s="16">
        <v>2</v>
      </c>
      <c r="AD17" s="16">
        <v>9</v>
      </c>
      <c r="AE17" s="16">
        <v>1</v>
      </c>
      <c r="AF17" s="16">
        <v>0</v>
      </c>
      <c r="AG17" s="16">
        <v>19</v>
      </c>
      <c r="AH17" s="16">
        <v>28</v>
      </c>
      <c r="AI17" s="16">
        <v>0</v>
      </c>
      <c r="AJ17" s="16">
        <v>0</v>
      </c>
      <c r="AK17" s="98">
        <v>18</v>
      </c>
      <c r="AL17" s="16">
        <v>0</v>
      </c>
      <c r="AM17" s="16">
        <v>0</v>
      </c>
      <c r="AN17" s="16">
        <v>26</v>
      </c>
      <c r="AO17" s="26">
        <v>0</v>
      </c>
      <c r="AP17" s="26">
        <v>0</v>
      </c>
      <c r="AQ17" s="26">
        <v>0</v>
      </c>
      <c r="AR17" s="26">
        <v>0</v>
      </c>
      <c r="AS17" s="26">
        <v>3</v>
      </c>
      <c r="AT17" s="26">
        <v>0</v>
      </c>
      <c r="AU17" s="26">
        <v>13</v>
      </c>
      <c r="AV17" s="26">
        <v>1</v>
      </c>
      <c r="AW17" s="26">
        <v>0</v>
      </c>
      <c r="AX17" s="26">
        <v>2</v>
      </c>
      <c r="AY17" s="16">
        <v>3</v>
      </c>
      <c r="AZ17" s="16">
        <v>0</v>
      </c>
      <c r="BA17" s="16">
        <v>0</v>
      </c>
      <c r="BB17" s="16">
        <v>0</v>
      </c>
      <c r="BC17" s="16">
        <v>0</v>
      </c>
      <c r="BD17" s="16">
        <v>4</v>
      </c>
      <c r="BE17" s="16">
        <v>3</v>
      </c>
      <c r="BF17" s="16">
        <v>7</v>
      </c>
      <c r="BG17" s="16">
        <v>429</v>
      </c>
      <c r="BH17" s="16">
        <v>0</v>
      </c>
      <c r="BI17" s="16">
        <v>0</v>
      </c>
      <c r="BJ17" s="16">
        <v>7</v>
      </c>
      <c r="BK17" s="16">
        <v>23</v>
      </c>
      <c r="BL17" s="16">
        <v>0</v>
      </c>
      <c r="BM17" s="16">
        <v>0</v>
      </c>
      <c r="BN17" s="16">
        <v>0</v>
      </c>
      <c r="BO17" s="16">
        <v>25</v>
      </c>
    </row>
    <row r="18" spans="1:67" s="5" customFormat="1" ht="21.9" customHeight="1" x14ac:dyDescent="0.25">
      <c r="A18" s="125" t="s">
        <v>77</v>
      </c>
      <c r="B18" s="4"/>
      <c r="C18" s="47" t="s">
        <v>75</v>
      </c>
      <c r="D18" s="48"/>
      <c r="E18" s="16">
        <f t="shared" si="1"/>
        <v>24988</v>
      </c>
      <c r="F18" s="16">
        <v>731</v>
      </c>
      <c r="G18" s="16">
        <v>101</v>
      </c>
      <c r="H18" s="16">
        <v>46</v>
      </c>
      <c r="I18" s="16">
        <v>84</v>
      </c>
      <c r="J18" s="16">
        <v>0</v>
      </c>
      <c r="K18" s="16">
        <v>1572</v>
      </c>
      <c r="L18" s="16">
        <v>568</v>
      </c>
      <c r="M18" s="16">
        <v>28</v>
      </c>
      <c r="N18" s="16">
        <v>118</v>
      </c>
      <c r="O18" s="16">
        <v>38</v>
      </c>
      <c r="P18" s="16">
        <v>0</v>
      </c>
      <c r="Q18" s="16">
        <v>172</v>
      </c>
      <c r="R18" s="16">
        <v>243</v>
      </c>
      <c r="S18" s="16">
        <v>151</v>
      </c>
      <c r="T18" s="16">
        <v>163</v>
      </c>
      <c r="U18" s="16">
        <v>1126</v>
      </c>
      <c r="V18" s="16">
        <v>228</v>
      </c>
      <c r="W18" s="16">
        <v>239</v>
      </c>
      <c r="X18" s="16">
        <v>50</v>
      </c>
      <c r="Y18" s="16">
        <v>1470</v>
      </c>
      <c r="Z18" s="16">
        <v>534</v>
      </c>
      <c r="AA18" s="16">
        <v>25</v>
      </c>
      <c r="AB18" s="16">
        <v>19</v>
      </c>
      <c r="AC18" s="16">
        <v>504</v>
      </c>
      <c r="AD18" s="16">
        <v>3106</v>
      </c>
      <c r="AE18" s="16">
        <v>1232</v>
      </c>
      <c r="AF18" s="16">
        <v>228</v>
      </c>
      <c r="AG18" s="16">
        <v>1916</v>
      </c>
      <c r="AH18" s="16">
        <v>328</v>
      </c>
      <c r="AI18" s="16">
        <v>62</v>
      </c>
      <c r="AJ18" s="16">
        <v>4</v>
      </c>
      <c r="AK18" s="98">
        <v>215</v>
      </c>
      <c r="AL18" s="16">
        <v>29</v>
      </c>
      <c r="AM18" s="16">
        <v>6</v>
      </c>
      <c r="AN18" s="16">
        <v>247</v>
      </c>
      <c r="AO18" s="16">
        <v>11</v>
      </c>
      <c r="AP18" s="16">
        <v>0</v>
      </c>
      <c r="AQ18" s="16">
        <v>3</v>
      </c>
      <c r="AR18" s="16">
        <v>46</v>
      </c>
      <c r="AS18" s="16">
        <v>34</v>
      </c>
      <c r="AT18" s="16">
        <v>150</v>
      </c>
      <c r="AU18" s="16">
        <v>2469</v>
      </c>
      <c r="AV18" s="16">
        <v>195</v>
      </c>
      <c r="AW18" s="16">
        <v>24</v>
      </c>
      <c r="AX18" s="16">
        <v>2570</v>
      </c>
      <c r="AY18" s="16">
        <v>550</v>
      </c>
      <c r="AZ18" s="16">
        <v>0</v>
      </c>
      <c r="BA18" s="16">
        <v>7</v>
      </c>
      <c r="BB18" s="16">
        <v>3</v>
      </c>
      <c r="BC18" s="16">
        <v>0</v>
      </c>
      <c r="BD18" s="16">
        <v>301</v>
      </c>
      <c r="BE18" s="16">
        <v>113</v>
      </c>
      <c r="BF18" s="16">
        <v>430</v>
      </c>
      <c r="BG18" s="16">
        <v>691</v>
      </c>
      <c r="BH18" s="16">
        <v>369</v>
      </c>
      <c r="BI18" s="16">
        <v>593</v>
      </c>
      <c r="BJ18" s="16">
        <v>331</v>
      </c>
      <c r="BK18" s="16">
        <v>181</v>
      </c>
      <c r="BL18" s="16">
        <v>76</v>
      </c>
      <c r="BM18" s="16">
        <v>11</v>
      </c>
      <c r="BN18" s="16">
        <v>0</v>
      </c>
      <c r="BO18" s="16">
        <v>247</v>
      </c>
    </row>
    <row r="19" spans="1:67" s="5" customFormat="1" ht="21.9" customHeight="1" x14ac:dyDescent="0.25">
      <c r="A19" s="125"/>
      <c r="B19" s="4"/>
      <c r="C19" s="47" t="s">
        <v>76</v>
      </c>
      <c r="D19" s="48"/>
      <c r="E19" s="16">
        <f t="shared" si="1"/>
        <v>382</v>
      </c>
      <c r="F19" s="16">
        <v>0</v>
      </c>
      <c r="G19" s="16">
        <v>0</v>
      </c>
      <c r="H19" s="16">
        <v>0</v>
      </c>
      <c r="I19" s="16">
        <v>2</v>
      </c>
      <c r="J19" s="16">
        <v>0</v>
      </c>
      <c r="K19" s="16">
        <v>4</v>
      </c>
      <c r="L19" s="16">
        <v>4</v>
      </c>
      <c r="M19" s="16">
        <v>0</v>
      </c>
      <c r="N19" s="16">
        <v>3</v>
      </c>
      <c r="O19" s="16">
        <v>1</v>
      </c>
      <c r="P19" s="16">
        <v>0</v>
      </c>
      <c r="Q19" s="16">
        <v>5</v>
      </c>
      <c r="R19" s="16">
        <v>2</v>
      </c>
      <c r="S19" s="16">
        <v>0</v>
      </c>
      <c r="T19" s="16">
        <v>4</v>
      </c>
      <c r="U19" s="16">
        <v>15</v>
      </c>
      <c r="V19" s="16">
        <v>1</v>
      </c>
      <c r="W19" s="16">
        <v>8</v>
      </c>
      <c r="X19" s="16">
        <v>6</v>
      </c>
      <c r="Y19" s="16">
        <v>0</v>
      </c>
      <c r="Z19" s="16">
        <v>13</v>
      </c>
      <c r="AA19" s="16">
        <v>0</v>
      </c>
      <c r="AB19" s="16">
        <v>0</v>
      </c>
      <c r="AC19" s="16">
        <v>35</v>
      </c>
      <c r="AD19" s="16">
        <v>7</v>
      </c>
      <c r="AE19" s="16">
        <v>12</v>
      </c>
      <c r="AF19" s="16">
        <v>10</v>
      </c>
      <c r="AG19" s="16">
        <v>52</v>
      </c>
      <c r="AH19" s="16">
        <v>1</v>
      </c>
      <c r="AI19" s="16">
        <v>7</v>
      </c>
      <c r="AJ19" s="16">
        <v>1</v>
      </c>
      <c r="AK19" s="98">
        <v>22</v>
      </c>
      <c r="AL19" s="16">
        <v>1</v>
      </c>
      <c r="AM19" s="16">
        <v>0</v>
      </c>
      <c r="AN19" s="16">
        <v>13</v>
      </c>
      <c r="AO19" s="16">
        <v>0</v>
      </c>
      <c r="AP19" s="16">
        <v>0</v>
      </c>
      <c r="AQ19" s="16">
        <v>0</v>
      </c>
      <c r="AR19" s="16">
        <v>0</v>
      </c>
      <c r="AS19" s="16">
        <v>2</v>
      </c>
      <c r="AT19" s="16">
        <v>0</v>
      </c>
      <c r="AU19" s="16">
        <v>6</v>
      </c>
      <c r="AV19" s="16">
        <v>3</v>
      </c>
      <c r="AW19" s="16">
        <v>0</v>
      </c>
      <c r="AX19" s="16">
        <v>6</v>
      </c>
      <c r="AY19" s="16">
        <v>5</v>
      </c>
      <c r="AZ19" s="16">
        <v>0</v>
      </c>
      <c r="BA19" s="16">
        <v>0</v>
      </c>
      <c r="BB19" s="16">
        <v>0</v>
      </c>
      <c r="BC19" s="16">
        <v>0</v>
      </c>
      <c r="BD19" s="16">
        <v>1</v>
      </c>
      <c r="BE19" s="16">
        <v>1</v>
      </c>
      <c r="BF19" s="16">
        <v>2</v>
      </c>
      <c r="BG19" s="16">
        <v>91</v>
      </c>
      <c r="BH19" s="16">
        <v>1</v>
      </c>
      <c r="BI19" s="16">
        <v>17</v>
      </c>
      <c r="BJ19" s="16">
        <v>9</v>
      </c>
      <c r="BK19" s="16">
        <v>0</v>
      </c>
      <c r="BL19" s="16">
        <v>0</v>
      </c>
      <c r="BM19" s="16">
        <v>0</v>
      </c>
      <c r="BN19" s="16">
        <v>0</v>
      </c>
      <c r="BO19" s="16">
        <v>9</v>
      </c>
    </row>
    <row r="20" spans="1:67" s="5" customFormat="1" ht="21.9" customHeight="1" x14ac:dyDescent="0.25">
      <c r="A20" s="125" t="s">
        <v>255</v>
      </c>
      <c r="B20" s="4"/>
      <c r="C20" s="47" t="s">
        <v>120</v>
      </c>
      <c r="D20" s="48"/>
      <c r="E20" s="16">
        <f t="shared" si="1"/>
        <v>16250</v>
      </c>
      <c r="F20" s="16">
        <v>110</v>
      </c>
      <c r="G20" s="16">
        <v>114</v>
      </c>
      <c r="H20" s="16">
        <v>18</v>
      </c>
      <c r="I20" s="16">
        <v>92</v>
      </c>
      <c r="J20" s="16">
        <v>10</v>
      </c>
      <c r="K20" s="16">
        <v>2947</v>
      </c>
      <c r="L20" s="16">
        <v>515</v>
      </c>
      <c r="M20" s="16">
        <v>9</v>
      </c>
      <c r="N20" s="16">
        <v>45</v>
      </c>
      <c r="O20" s="16">
        <v>60</v>
      </c>
      <c r="P20" s="16">
        <v>1</v>
      </c>
      <c r="Q20" s="16">
        <v>184</v>
      </c>
      <c r="R20" s="16">
        <v>553</v>
      </c>
      <c r="S20" s="16">
        <v>19</v>
      </c>
      <c r="T20" s="16">
        <v>259</v>
      </c>
      <c r="U20" s="16">
        <v>587</v>
      </c>
      <c r="V20" s="16">
        <v>157</v>
      </c>
      <c r="W20" s="16">
        <v>518</v>
      </c>
      <c r="X20" s="16">
        <v>1240</v>
      </c>
      <c r="Y20" s="16">
        <v>316</v>
      </c>
      <c r="Z20" s="16">
        <v>297</v>
      </c>
      <c r="AA20" s="16">
        <v>41</v>
      </c>
      <c r="AB20" s="16">
        <v>45</v>
      </c>
      <c r="AC20" s="16">
        <v>759</v>
      </c>
      <c r="AD20" s="16">
        <v>1059</v>
      </c>
      <c r="AE20" s="16">
        <v>193</v>
      </c>
      <c r="AF20" s="16">
        <v>115</v>
      </c>
      <c r="AG20" s="16">
        <v>471</v>
      </c>
      <c r="AH20" s="16">
        <v>191</v>
      </c>
      <c r="AI20" s="16">
        <v>67</v>
      </c>
      <c r="AJ20" s="16">
        <v>12</v>
      </c>
      <c r="AK20" s="98">
        <v>64</v>
      </c>
      <c r="AL20" s="16">
        <v>29</v>
      </c>
      <c r="AM20" s="16">
        <v>1</v>
      </c>
      <c r="AN20" s="16">
        <v>185</v>
      </c>
      <c r="AO20" s="16">
        <v>52</v>
      </c>
      <c r="AP20" s="16">
        <v>32</v>
      </c>
      <c r="AQ20" s="16">
        <v>115</v>
      </c>
      <c r="AR20" s="16">
        <v>237</v>
      </c>
      <c r="AS20" s="16">
        <v>89</v>
      </c>
      <c r="AT20" s="16">
        <v>12</v>
      </c>
      <c r="AU20" s="16">
        <v>604</v>
      </c>
      <c r="AV20" s="16">
        <v>380</v>
      </c>
      <c r="AW20" s="16">
        <v>17</v>
      </c>
      <c r="AX20" s="16">
        <v>685</v>
      </c>
      <c r="AY20" s="16">
        <v>140</v>
      </c>
      <c r="AZ20" s="16">
        <v>16</v>
      </c>
      <c r="BA20" s="16">
        <v>4</v>
      </c>
      <c r="BB20" s="16">
        <v>0</v>
      </c>
      <c r="BC20" s="16">
        <v>14</v>
      </c>
      <c r="BD20" s="16">
        <v>194</v>
      </c>
      <c r="BE20" s="16">
        <v>92</v>
      </c>
      <c r="BF20" s="16">
        <v>96</v>
      </c>
      <c r="BG20" s="16">
        <v>936</v>
      </c>
      <c r="BH20" s="16">
        <v>201</v>
      </c>
      <c r="BI20" s="16">
        <v>300</v>
      </c>
      <c r="BJ20" s="16">
        <v>198</v>
      </c>
      <c r="BK20" s="16">
        <v>66</v>
      </c>
      <c r="BL20" s="16">
        <v>264</v>
      </c>
      <c r="BM20" s="16">
        <v>0</v>
      </c>
      <c r="BN20" s="16">
        <v>10</v>
      </c>
      <c r="BO20" s="16">
        <v>213</v>
      </c>
    </row>
    <row r="21" spans="1:67" s="5" customFormat="1" ht="21.9" customHeight="1" x14ac:dyDescent="0.25">
      <c r="A21" s="125"/>
      <c r="B21" s="4"/>
      <c r="C21" s="47" t="s">
        <v>76</v>
      </c>
      <c r="D21" s="48"/>
      <c r="E21" s="16">
        <f t="shared" si="1"/>
        <v>1087</v>
      </c>
      <c r="F21" s="16">
        <v>1</v>
      </c>
      <c r="G21" s="16">
        <v>3</v>
      </c>
      <c r="H21" s="16">
        <v>0</v>
      </c>
      <c r="I21" s="16">
        <v>2</v>
      </c>
      <c r="J21" s="16">
        <v>0</v>
      </c>
      <c r="K21" s="16">
        <v>14</v>
      </c>
      <c r="L21" s="16">
        <v>9</v>
      </c>
      <c r="M21" s="16">
        <v>1</v>
      </c>
      <c r="N21" s="16">
        <v>5</v>
      </c>
      <c r="O21" s="16">
        <v>2</v>
      </c>
      <c r="P21" s="16">
        <v>0</v>
      </c>
      <c r="Q21" s="16">
        <v>9</v>
      </c>
      <c r="R21" s="16">
        <v>12</v>
      </c>
      <c r="S21" s="16">
        <v>0</v>
      </c>
      <c r="T21" s="16">
        <v>12</v>
      </c>
      <c r="U21" s="16">
        <v>33</v>
      </c>
      <c r="V21" s="16">
        <v>3</v>
      </c>
      <c r="W21" s="16">
        <v>5</v>
      </c>
      <c r="X21" s="16">
        <v>10</v>
      </c>
      <c r="Y21" s="16">
        <v>6</v>
      </c>
      <c r="Z21" s="16">
        <v>17</v>
      </c>
      <c r="AA21" s="16">
        <v>0</v>
      </c>
      <c r="AB21" s="16">
        <v>3</v>
      </c>
      <c r="AC21" s="16">
        <v>24</v>
      </c>
      <c r="AD21" s="16">
        <v>28</v>
      </c>
      <c r="AE21" s="16">
        <v>15</v>
      </c>
      <c r="AF21" s="16">
        <v>7</v>
      </c>
      <c r="AG21" s="16">
        <v>25</v>
      </c>
      <c r="AH21" s="16">
        <v>8</v>
      </c>
      <c r="AI21" s="16">
        <v>5</v>
      </c>
      <c r="AJ21" s="16">
        <v>0</v>
      </c>
      <c r="AK21" s="98">
        <v>5</v>
      </c>
      <c r="AL21" s="16">
        <v>0</v>
      </c>
      <c r="AM21" s="16">
        <v>0</v>
      </c>
      <c r="AN21" s="16">
        <v>14</v>
      </c>
      <c r="AO21" s="16">
        <v>0</v>
      </c>
      <c r="AP21" s="16">
        <v>0</v>
      </c>
      <c r="AQ21" s="16">
        <v>0</v>
      </c>
      <c r="AR21" s="16">
        <v>18</v>
      </c>
      <c r="AS21" s="16">
        <v>12</v>
      </c>
      <c r="AT21" s="16">
        <v>1</v>
      </c>
      <c r="AU21" s="16">
        <v>23</v>
      </c>
      <c r="AV21" s="16">
        <v>40</v>
      </c>
      <c r="AW21" s="16">
        <v>0</v>
      </c>
      <c r="AX21" s="16">
        <v>16</v>
      </c>
      <c r="AY21" s="16">
        <v>26</v>
      </c>
      <c r="AZ21" s="16">
        <v>2</v>
      </c>
      <c r="BA21" s="16">
        <v>4</v>
      </c>
      <c r="BB21" s="16">
        <v>0</v>
      </c>
      <c r="BC21" s="16">
        <v>0</v>
      </c>
      <c r="BD21" s="16">
        <v>6</v>
      </c>
      <c r="BE21" s="16">
        <v>3</v>
      </c>
      <c r="BF21" s="16">
        <v>8</v>
      </c>
      <c r="BG21" s="16">
        <v>461</v>
      </c>
      <c r="BH21" s="16">
        <v>144</v>
      </c>
      <c r="BI21" s="16">
        <v>9</v>
      </c>
      <c r="BJ21" s="16">
        <v>2</v>
      </c>
      <c r="BK21" s="16">
        <v>1</v>
      </c>
      <c r="BL21" s="16">
        <v>6</v>
      </c>
      <c r="BM21" s="16">
        <v>0</v>
      </c>
      <c r="BN21" s="16">
        <v>0</v>
      </c>
      <c r="BO21" s="16">
        <v>27</v>
      </c>
    </row>
    <row r="22" spans="1:67" s="5" customFormat="1" ht="21.9" customHeight="1" x14ac:dyDescent="0.25">
      <c r="A22" s="125" t="s">
        <v>339</v>
      </c>
      <c r="B22" s="4"/>
      <c r="C22" s="47" t="s">
        <v>75</v>
      </c>
      <c r="D22" s="48"/>
      <c r="E22" s="16">
        <f t="shared" si="1"/>
        <v>52978</v>
      </c>
      <c r="F22" s="16">
        <v>606</v>
      </c>
      <c r="G22" s="16">
        <v>319</v>
      </c>
      <c r="H22" s="16">
        <v>180</v>
      </c>
      <c r="I22" s="16">
        <v>328</v>
      </c>
      <c r="J22" s="16">
        <v>14</v>
      </c>
      <c r="K22" s="16">
        <v>3306</v>
      </c>
      <c r="L22" s="16">
        <v>937</v>
      </c>
      <c r="M22" s="16">
        <v>89</v>
      </c>
      <c r="N22" s="16">
        <v>772</v>
      </c>
      <c r="O22" s="16">
        <v>201</v>
      </c>
      <c r="P22" s="16">
        <v>3</v>
      </c>
      <c r="Q22" s="16">
        <v>693</v>
      </c>
      <c r="R22" s="16">
        <v>735</v>
      </c>
      <c r="S22" s="16">
        <v>153</v>
      </c>
      <c r="T22" s="16">
        <v>1287</v>
      </c>
      <c r="U22" s="16">
        <v>1615</v>
      </c>
      <c r="V22" s="16">
        <v>525</v>
      </c>
      <c r="W22" s="16">
        <v>530</v>
      </c>
      <c r="X22" s="16">
        <v>320</v>
      </c>
      <c r="Y22" s="16">
        <v>1390</v>
      </c>
      <c r="Z22" s="16">
        <v>514</v>
      </c>
      <c r="AA22" s="16">
        <v>220</v>
      </c>
      <c r="AB22" s="16">
        <v>117</v>
      </c>
      <c r="AC22" s="16">
        <v>1073</v>
      </c>
      <c r="AD22" s="16">
        <v>4662</v>
      </c>
      <c r="AE22" s="16">
        <v>1450</v>
      </c>
      <c r="AF22" s="16">
        <v>749</v>
      </c>
      <c r="AG22" s="16">
        <v>1620</v>
      </c>
      <c r="AH22" s="16">
        <v>746</v>
      </c>
      <c r="AI22" s="16">
        <v>113</v>
      </c>
      <c r="AJ22" s="16">
        <v>86</v>
      </c>
      <c r="AK22" s="98">
        <v>275</v>
      </c>
      <c r="AL22" s="16">
        <v>56</v>
      </c>
      <c r="AM22" s="16">
        <v>31</v>
      </c>
      <c r="AN22" s="16">
        <v>407</v>
      </c>
      <c r="AO22" s="16">
        <v>20</v>
      </c>
      <c r="AP22" s="16">
        <v>8</v>
      </c>
      <c r="AQ22" s="16">
        <v>192</v>
      </c>
      <c r="AR22" s="16">
        <v>276</v>
      </c>
      <c r="AS22" s="16">
        <v>158</v>
      </c>
      <c r="AT22" s="16">
        <v>496</v>
      </c>
      <c r="AU22" s="16">
        <v>3286</v>
      </c>
      <c r="AV22" s="16">
        <v>1270</v>
      </c>
      <c r="AW22" s="16">
        <v>183</v>
      </c>
      <c r="AX22" s="16">
        <v>4808</v>
      </c>
      <c r="AY22" s="16">
        <v>196</v>
      </c>
      <c r="AZ22" s="16">
        <v>25</v>
      </c>
      <c r="BA22" s="16">
        <v>335</v>
      </c>
      <c r="BB22" s="16">
        <v>267</v>
      </c>
      <c r="BC22" s="16">
        <v>127</v>
      </c>
      <c r="BD22" s="16">
        <v>1799</v>
      </c>
      <c r="BE22" s="16">
        <v>1382</v>
      </c>
      <c r="BF22" s="16">
        <v>1234</v>
      </c>
      <c r="BG22" s="16">
        <v>1730</v>
      </c>
      <c r="BH22" s="16">
        <v>619</v>
      </c>
      <c r="BI22" s="16">
        <v>1307</v>
      </c>
      <c r="BJ22" s="16">
        <v>810</v>
      </c>
      <c r="BK22" s="16">
        <v>3147</v>
      </c>
      <c r="BL22" s="16">
        <v>341</v>
      </c>
      <c r="BM22" s="16">
        <v>114</v>
      </c>
      <c r="BN22" s="16">
        <v>9</v>
      </c>
      <c r="BO22" s="16">
        <v>2717</v>
      </c>
    </row>
    <row r="23" spans="1:67" s="5" customFormat="1" ht="21.9" customHeight="1" x14ac:dyDescent="0.25">
      <c r="A23" s="125"/>
      <c r="B23" s="4"/>
      <c r="C23" s="47" t="s">
        <v>76</v>
      </c>
      <c r="D23" s="48"/>
      <c r="E23" s="16">
        <f t="shared" si="1"/>
        <v>1471</v>
      </c>
      <c r="F23" s="16">
        <v>0</v>
      </c>
      <c r="G23" s="16">
        <v>0</v>
      </c>
      <c r="H23" s="16">
        <v>0</v>
      </c>
      <c r="I23" s="16">
        <v>2</v>
      </c>
      <c r="J23" s="16">
        <v>0</v>
      </c>
      <c r="K23" s="16">
        <v>12</v>
      </c>
      <c r="L23" s="16">
        <v>14</v>
      </c>
      <c r="M23" s="16">
        <v>0</v>
      </c>
      <c r="N23" s="16">
        <v>9</v>
      </c>
      <c r="O23" s="16">
        <v>0</v>
      </c>
      <c r="P23" s="16">
        <v>0</v>
      </c>
      <c r="Q23" s="16">
        <v>6</v>
      </c>
      <c r="R23" s="16">
        <v>5</v>
      </c>
      <c r="S23" s="16">
        <v>1</v>
      </c>
      <c r="T23" s="16">
        <v>14</v>
      </c>
      <c r="U23" s="16">
        <v>17</v>
      </c>
      <c r="V23" s="16">
        <v>2</v>
      </c>
      <c r="W23" s="16">
        <v>12</v>
      </c>
      <c r="X23" s="16">
        <v>1</v>
      </c>
      <c r="Y23" s="16">
        <v>16</v>
      </c>
      <c r="Z23" s="16">
        <v>11</v>
      </c>
      <c r="AA23" s="16">
        <v>2</v>
      </c>
      <c r="AB23" s="16">
        <v>0</v>
      </c>
      <c r="AC23" s="16">
        <v>10</v>
      </c>
      <c r="AD23" s="16">
        <v>12</v>
      </c>
      <c r="AE23" s="16">
        <v>18</v>
      </c>
      <c r="AF23" s="16">
        <v>1</v>
      </c>
      <c r="AG23" s="16">
        <v>23</v>
      </c>
      <c r="AH23" s="16">
        <v>25</v>
      </c>
      <c r="AI23" s="16">
        <v>1</v>
      </c>
      <c r="AJ23" s="16">
        <v>0</v>
      </c>
      <c r="AK23" s="98">
        <v>13</v>
      </c>
      <c r="AL23" s="16">
        <v>0</v>
      </c>
      <c r="AM23" s="16">
        <v>0</v>
      </c>
      <c r="AN23" s="16">
        <v>6</v>
      </c>
      <c r="AO23" s="16">
        <v>0</v>
      </c>
      <c r="AP23" s="16">
        <v>0</v>
      </c>
      <c r="AQ23" s="16">
        <v>0</v>
      </c>
      <c r="AR23" s="16">
        <v>2</v>
      </c>
      <c r="AS23" s="16">
        <v>10</v>
      </c>
      <c r="AT23" s="16">
        <v>1</v>
      </c>
      <c r="AU23" s="16">
        <v>34</v>
      </c>
      <c r="AV23" s="16">
        <v>2</v>
      </c>
      <c r="AW23" s="16">
        <v>0</v>
      </c>
      <c r="AX23" s="16">
        <v>17</v>
      </c>
      <c r="AY23" s="16">
        <v>0</v>
      </c>
      <c r="AZ23" s="16">
        <v>0</v>
      </c>
      <c r="BA23" s="16">
        <v>8</v>
      </c>
      <c r="BB23" s="16">
        <v>0</v>
      </c>
      <c r="BC23" s="16">
        <v>0</v>
      </c>
      <c r="BD23" s="16">
        <v>21</v>
      </c>
      <c r="BE23" s="16">
        <v>3</v>
      </c>
      <c r="BF23" s="16">
        <v>11</v>
      </c>
      <c r="BG23" s="16">
        <v>1019</v>
      </c>
      <c r="BH23" s="16">
        <v>6</v>
      </c>
      <c r="BI23" s="16">
        <v>15</v>
      </c>
      <c r="BJ23" s="16">
        <v>28</v>
      </c>
      <c r="BK23" s="16">
        <v>5</v>
      </c>
      <c r="BL23" s="16">
        <v>0</v>
      </c>
      <c r="BM23" s="16">
        <v>0</v>
      </c>
      <c r="BN23" s="16">
        <v>0</v>
      </c>
      <c r="BO23" s="16">
        <v>56</v>
      </c>
    </row>
    <row r="24" spans="1:67" s="5" customFormat="1" ht="21.9" customHeight="1" x14ac:dyDescent="0.25">
      <c r="A24" s="125" t="s">
        <v>340</v>
      </c>
      <c r="B24" s="4"/>
      <c r="C24" s="47" t="s">
        <v>75</v>
      </c>
      <c r="D24" s="48"/>
      <c r="E24" s="16">
        <f t="shared" si="1"/>
        <v>18985</v>
      </c>
      <c r="F24" s="16">
        <v>309</v>
      </c>
      <c r="G24" s="16">
        <v>50</v>
      </c>
      <c r="H24" s="16">
        <v>38</v>
      </c>
      <c r="I24" s="16">
        <v>155</v>
      </c>
      <c r="J24" s="16">
        <v>26</v>
      </c>
      <c r="K24" s="16">
        <v>1279</v>
      </c>
      <c r="L24" s="16">
        <v>272</v>
      </c>
      <c r="M24" s="16">
        <v>18</v>
      </c>
      <c r="N24" s="16">
        <v>97</v>
      </c>
      <c r="O24" s="16">
        <v>80</v>
      </c>
      <c r="P24" s="16">
        <v>0</v>
      </c>
      <c r="Q24" s="16">
        <v>111</v>
      </c>
      <c r="R24" s="16">
        <v>204</v>
      </c>
      <c r="S24" s="16">
        <v>102</v>
      </c>
      <c r="T24" s="16">
        <v>324</v>
      </c>
      <c r="U24" s="16">
        <v>413</v>
      </c>
      <c r="V24" s="16">
        <v>337</v>
      </c>
      <c r="W24" s="16">
        <v>117</v>
      </c>
      <c r="X24" s="16">
        <v>79</v>
      </c>
      <c r="Y24" s="16">
        <v>860</v>
      </c>
      <c r="Z24" s="16">
        <v>309</v>
      </c>
      <c r="AA24" s="16">
        <v>31</v>
      </c>
      <c r="AB24" s="16">
        <v>99</v>
      </c>
      <c r="AC24" s="16">
        <v>247</v>
      </c>
      <c r="AD24" s="16">
        <v>2496</v>
      </c>
      <c r="AE24" s="16">
        <v>322</v>
      </c>
      <c r="AF24" s="16">
        <v>114</v>
      </c>
      <c r="AG24" s="16">
        <v>2120</v>
      </c>
      <c r="AH24" s="16">
        <v>373</v>
      </c>
      <c r="AI24" s="16">
        <v>259</v>
      </c>
      <c r="AJ24" s="16">
        <v>19</v>
      </c>
      <c r="AK24" s="98">
        <v>204</v>
      </c>
      <c r="AL24" s="16">
        <v>28</v>
      </c>
      <c r="AM24" s="16">
        <v>20</v>
      </c>
      <c r="AN24" s="16">
        <v>588</v>
      </c>
      <c r="AO24" s="16">
        <v>179</v>
      </c>
      <c r="AP24" s="16">
        <v>40</v>
      </c>
      <c r="AQ24" s="16">
        <v>129</v>
      </c>
      <c r="AR24" s="16">
        <v>70</v>
      </c>
      <c r="AS24" s="16">
        <v>48</v>
      </c>
      <c r="AT24" s="16">
        <v>48</v>
      </c>
      <c r="AU24" s="16">
        <v>1489</v>
      </c>
      <c r="AV24" s="16">
        <v>385</v>
      </c>
      <c r="AW24" s="16">
        <v>46</v>
      </c>
      <c r="AX24" s="16">
        <v>1317</v>
      </c>
      <c r="AY24" s="16">
        <v>439</v>
      </c>
      <c r="AZ24" s="16">
        <v>17</v>
      </c>
      <c r="BA24" s="16">
        <v>0</v>
      </c>
      <c r="BB24" s="16">
        <v>0</v>
      </c>
      <c r="BC24" s="16">
        <v>0</v>
      </c>
      <c r="BD24" s="16">
        <v>197</v>
      </c>
      <c r="BE24" s="16">
        <v>154</v>
      </c>
      <c r="BF24" s="16">
        <v>374</v>
      </c>
      <c r="BG24" s="16">
        <v>704</v>
      </c>
      <c r="BH24" s="16">
        <v>317</v>
      </c>
      <c r="BI24" s="16">
        <v>248</v>
      </c>
      <c r="BJ24" s="16">
        <v>185</v>
      </c>
      <c r="BK24" s="16">
        <v>84</v>
      </c>
      <c r="BL24" s="16">
        <v>294</v>
      </c>
      <c r="BM24" s="16">
        <v>5</v>
      </c>
      <c r="BN24" s="16">
        <v>0</v>
      </c>
      <c r="BO24" s="16">
        <v>116</v>
      </c>
    </row>
    <row r="25" spans="1:67" s="5" customFormat="1" ht="21.9" customHeight="1" x14ac:dyDescent="0.25">
      <c r="A25" s="125"/>
      <c r="B25" s="4"/>
      <c r="C25" s="47" t="s">
        <v>76</v>
      </c>
      <c r="D25" s="48"/>
      <c r="E25" s="16">
        <f t="shared" si="1"/>
        <v>445</v>
      </c>
      <c r="F25" s="26">
        <v>0</v>
      </c>
      <c r="G25" s="26">
        <v>0</v>
      </c>
      <c r="H25" s="26">
        <v>1</v>
      </c>
      <c r="I25" s="26">
        <v>3</v>
      </c>
      <c r="J25" s="26">
        <v>0</v>
      </c>
      <c r="K25" s="26">
        <v>10</v>
      </c>
      <c r="L25" s="26">
        <v>7</v>
      </c>
      <c r="M25" s="26">
        <v>0</v>
      </c>
      <c r="N25" s="26">
        <v>0</v>
      </c>
      <c r="O25" s="26">
        <v>0</v>
      </c>
      <c r="P25" s="26">
        <v>0</v>
      </c>
      <c r="Q25" s="26">
        <v>5</v>
      </c>
      <c r="R25" s="26">
        <v>7</v>
      </c>
      <c r="S25" s="26">
        <v>2</v>
      </c>
      <c r="T25" s="16">
        <v>1</v>
      </c>
      <c r="U25" s="16">
        <v>12</v>
      </c>
      <c r="V25" s="16">
        <v>0</v>
      </c>
      <c r="W25" s="16">
        <v>4</v>
      </c>
      <c r="X25" s="16">
        <v>3</v>
      </c>
      <c r="Y25" s="16">
        <v>3</v>
      </c>
      <c r="Z25" s="16">
        <v>1</v>
      </c>
      <c r="AA25" s="16">
        <v>0</v>
      </c>
      <c r="AB25" s="16">
        <v>6</v>
      </c>
      <c r="AC25" s="16">
        <v>1</v>
      </c>
      <c r="AD25" s="16">
        <v>19</v>
      </c>
      <c r="AE25" s="16">
        <v>17</v>
      </c>
      <c r="AF25" s="16">
        <v>2</v>
      </c>
      <c r="AG25" s="16">
        <v>18</v>
      </c>
      <c r="AH25" s="16">
        <v>2</v>
      </c>
      <c r="AI25" s="16">
        <v>9</v>
      </c>
      <c r="AJ25" s="16">
        <v>0</v>
      </c>
      <c r="AK25" s="98">
        <v>3</v>
      </c>
      <c r="AL25" s="16">
        <v>0</v>
      </c>
      <c r="AM25" s="16">
        <v>1</v>
      </c>
      <c r="AN25" s="16">
        <v>1</v>
      </c>
      <c r="AO25" s="26">
        <v>0</v>
      </c>
      <c r="AP25" s="26">
        <v>0</v>
      </c>
      <c r="AQ25" s="26">
        <v>0</v>
      </c>
      <c r="AR25" s="26">
        <v>7</v>
      </c>
      <c r="AS25" s="26">
        <v>2</v>
      </c>
      <c r="AT25" s="26">
        <v>0</v>
      </c>
      <c r="AU25" s="26">
        <v>6</v>
      </c>
      <c r="AV25" s="26">
        <v>1</v>
      </c>
      <c r="AW25" s="26">
        <v>0</v>
      </c>
      <c r="AX25" s="26">
        <v>0</v>
      </c>
      <c r="AY25" s="16">
        <v>0</v>
      </c>
      <c r="AZ25" s="16">
        <v>0</v>
      </c>
      <c r="BA25" s="16">
        <v>0</v>
      </c>
      <c r="BB25" s="16">
        <v>0</v>
      </c>
      <c r="BC25" s="16">
        <v>0</v>
      </c>
      <c r="BD25" s="16">
        <v>4</v>
      </c>
      <c r="BE25" s="16">
        <v>0</v>
      </c>
      <c r="BF25" s="16">
        <v>1</v>
      </c>
      <c r="BG25" s="16">
        <v>273</v>
      </c>
      <c r="BH25" s="16">
        <v>0</v>
      </c>
      <c r="BI25" s="16">
        <v>1</v>
      </c>
      <c r="BJ25" s="16">
        <v>4</v>
      </c>
      <c r="BK25" s="16">
        <v>2</v>
      </c>
      <c r="BL25" s="16">
        <v>0</v>
      </c>
      <c r="BM25" s="16">
        <v>0</v>
      </c>
      <c r="BN25" s="16">
        <v>0</v>
      </c>
      <c r="BO25" s="16">
        <v>6</v>
      </c>
    </row>
    <row r="26" spans="1:67" s="5" customFormat="1" ht="21.9" customHeight="1" x14ac:dyDescent="0.25">
      <c r="A26" s="125" t="s">
        <v>81</v>
      </c>
      <c r="C26" s="47" t="s">
        <v>142</v>
      </c>
      <c r="D26" s="48"/>
      <c r="E26" s="16">
        <f t="shared" si="1"/>
        <v>15597</v>
      </c>
      <c r="F26" s="16">
        <v>218</v>
      </c>
      <c r="G26" s="16">
        <v>80</v>
      </c>
      <c r="H26" s="16">
        <v>1</v>
      </c>
      <c r="I26" s="16">
        <v>74</v>
      </c>
      <c r="J26" s="16">
        <v>0</v>
      </c>
      <c r="K26" s="16">
        <v>471</v>
      </c>
      <c r="L26" s="16">
        <v>96</v>
      </c>
      <c r="M26" s="16">
        <v>0</v>
      </c>
      <c r="N26" s="16">
        <v>92</v>
      </c>
      <c r="O26" s="16">
        <v>52</v>
      </c>
      <c r="P26" s="16">
        <v>0</v>
      </c>
      <c r="Q26" s="16">
        <v>11</v>
      </c>
      <c r="R26" s="16">
        <v>54</v>
      </c>
      <c r="S26" s="16">
        <v>1</v>
      </c>
      <c r="T26" s="16">
        <v>259</v>
      </c>
      <c r="U26" s="16">
        <v>1164</v>
      </c>
      <c r="V26" s="16">
        <v>114</v>
      </c>
      <c r="W26" s="16">
        <v>154</v>
      </c>
      <c r="X26" s="16">
        <v>175</v>
      </c>
      <c r="Y26" s="16">
        <v>432</v>
      </c>
      <c r="Z26" s="16">
        <v>120</v>
      </c>
      <c r="AA26" s="16">
        <v>0</v>
      </c>
      <c r="AB26" s="16">
        <v>67</v>
      </c>
      <c r="AC26" s="16">
        <v>40</v>
      </c>
      <c r="AD26" s="16">
        <v>2019</v>
      </c>
      <c r="AE26" s="16">
        <v>71</v>
      </c>
      <c r="AF26" s="16">
        <v>7</v>
      </c>
      <c r="AG26" s="16">
        <v>935</v>
      </c>
      <c r="AH26" s="16">
        <v>15</v>
      </c>
      <c r="AI26" s="16">
        <v>13</v>
      </c>
      <c r="AJ26" s="16">
        <v>2</v>
      </c>
      <c r="AK26" s="98">
        <v>60</v>
      </c>
      <c r="AL26" s="16">
        <v>2</v>
      </c>
      <c r="AM26" s="16">
        <v>3</v>
      </c>
      <c r="AN26" s="16">
        <v>6</v>
      </c>
      <c r="AO26" s="16">
        <v>0</v>
      </c>
      <c r="AP26" s="16">
        <v>0</v>
      </c>
      <c r="AQ26" s="16">
        <v>10</v>
      </c>
      <c r="AR26" s="16">
        <v>59</v>
      </c>
      <c r="AS26" s="16">
        <v>17</v>
      </c>
      <c r="AT26" s="16">
        <v>33</v>
      </c>
      <c r="AU26" s="16">
        <v>1969</v>
      </c>
      <c r="AV26" s="16">
        <v>169</v>
      </c>
      <c r="AW26" s="16">
        <v>2</v>
      </c>
      <c r="AX26" s="16">
        <v>703</v>
      </c>
      <c r="AY26" s="16">
        <v>0</v>
      </c>
      <c r="AZ26" s="16">
        <v>3</v>
      </c>
      <c r="BA26" s="16">
        <v>11</v>
      </c>
      <c r="BB26" s="16">
        <v>38</v>
      </c>
      <c r="BC26" s="16">
        <v>0</v>
      </c>
      <c r="BD26" s="16">
        <v>22</v>
      </c>
      <c r="BE26" s="16">
        <v>4</v>
      </c>
      <c r="BF26" s="16">
        <v>276</v>
      </c>
      <c r="BG26" s="16">
        <v>7</v>
      </c>
      <c r="BH26" s="16">
        <v>565</v>
      </c>
      <c r="BI26" s="16">
        <v>1471</v>
      </c>
      <c r="BJ26" s="16">
        <v>392</v>
      </c>
      <c r="BK26" s="16">
        <v>53</v>
      </c>
      <c r="BL26" s="16">
        <v>253</v>
      </c>
      <c r="BM26" s="16">
        <v>0</v>
      </c>
      <c r="BN26" s="16">
        <v>1</v>
      </c>
      <c r="BO26" s="16">
        <v>2731</v>
      </c>
    </row>
    <row r="27" spans="1:67" s="5" customFormat="1" ht="21.9" customHeight="1" x14ac:dyDescent="0.25">
      <c r="A27" s="125"/>
      <c r="C27" s="47" t="s">
        <v>133</v>
      </c>
      <c r="D27" s="48"/>
      <c r="E27" s="16">
        <f t="shared" si="1"/>
        <v>273</v>
      </c>
      <c r="F27" s="26">
        <v>1</v>
      </c>
      <c r="G27" s="26">
        <v>0</v>
      </c>
      <c r="H27" s="26">
        <v>1</v>
      </c>
      <c r="I27" s="26">
        <v>3</v>
      </c>
      <c r="J27" s="26">
        <v>0</v>
      </c>
      <c r="K27" s="26">
        <v>2</v>
      </c>
      <c r="L27" s="26">
        <v>3</v>
      </c>
      <c r="M27" s="26">
        <v>0</v>
      </c>
      <c r="N27" s="26">
        <v>0</v>
      </c>
      <c r="O27" s="26">
        <v>0</v>
      </c>
      <c r="P27" s="26">
        <v>0</v>
      </c>
      <c r="Q27" s="26">
        <v>0</v>
      </c>
      <c r="R27" s="26">
        <v>8</v>
      </c>
      <c r="S27" s="26">
        <v>1</v>
      </c>
      <c r="T27" s="16">
        <v>5</v>
      </c>
      <c r="U27" s="16">
        <v>16</v>
      </c>
      <c r="V27" s="16">
        <v>1</v>
      </c>
      <c r="W27" s="16">
        <v>6</v>
      </c>
      <c r="X27" s="16">
        <v>7</v>
      </c>
      <c r="Y27" s="16">
        <v>4</v>
      </c>
      <c r="Z27" s="16">
        <v>6</v>
      </c>
      <c r="AA27" s="16">
        <v>0</v>
      </c>
      <c r="AB27" s="16">
        <v>0</v>
      </c>
      <c r="AC27" s="16">
        <v>1</v>
      </c>
      <c r="AD27" s="16">
        <v>2</v>
      </c>
      <c r="AE27" s="16">
        <v>4</v>
      </c>
      <c r="AF27" s="16">
        <v>1</v>
      </c>
      <c r="AG27" s="16">
        <v>7</v>
      </c>
      <c r="AH27" s="16">
        <v>3</v>
      </c>
      <c r="AI27" s="16">
        <v>0</v>
      </c>
      <c r="AJ27" s="16">
        <v>0</v>
      </c>
      <c r="AK27" s="98">
        <v>5</v>
      </c>
      <c r="AL27" s="16">
        <v>2</v>
      </c>
      <c r="AM27" s="16">
        <v>0</v>
      </c>
      <c r="AN27" s="16">
        <v>0</v>
      </c>
      <c r="AO27" s="26">
        <v>0</v>
      </c>
      <c r="AP27" s="26">
        <v>0</v>
      </c>
      <c r="AQ27" s="26">
        <v>0</v>
      </c>
      <c r="AR27" s="26">
        <v>7</v>
      </c>
      <c r="AS27" s="26">
        <v>2</v>
      </c>
      <c r="AT27" s="26">
        <v>0</v>
      </c>
      <c r="AU27" s="26">
        <v>16</v>
      </c>
      <c r="AV27" s="26">
        <v>0</v>
      </c>
      <c r="AW27" s="26">
        <v>1</v>
      </c>
      <c r="AX27" s="26">
        <v>4</v>
      </c>
      <c r="AY27" s="16">
        <v>0</v>
      </c>
      <c r="AZ27" s="16">
        <v>1</v>
      </c>
      <c r="BA27" s="16">
        <v>0</v>
      </c>
      <c r="BB27" s="16">
        <v>0</v>
      </c>
      <c r="BC27" s="16">
        <v>0</v>
      </c>
      <c r="BD27" s="16">
        <v>2</v>
      </c>
      <c r="BE27" s="16">
        <v>0</v>
      </c>
      <c r="BF27" s="16">
        <v>30</v>
      </c>
      <c r="BG27" s="16">
        <v>2</v>
      </c>
      <c r="BH27" s="16">
        <v>5</v>
      </c>
      <c r="BI27" s="16">
        <v>49</v>
      </c>
      <c r="BJ27" s="16">
        <v>9</v>
      </c>
      <c r="BK27" s="16">
        <v>12</v>
      </c>
      <c r="BL27" s="16">
        <v>0</v>
      </c>
      <c r="BM27" s="16">
        <v>0</v>
      </c>
      <c r="BN27" s="16">
        <v>1</v>
      </c>
      <c r="BO27" s="16">
        <v>43</v>
      </c>
    </row>
    <row r="28" spans="1:67" s="5" customFormat="1" ht="21.9" customHeight="1" x14ac:dyDescent="0.25">
      <c r="A28" s="125" t="s">
        <v>82</v>
      </c>
      <c r="B28" s="4"/>
      <c r="C28" s="47" t="s">
        <v>75</v>
      </c>
      <c r="D28" s="48"/>
      <c r="E28" s="16">
        <f t="shared" si="1"/>
        <v>21722</v>
      </c>
      <c r="F28" s="16">
        <v>300</v>
      </c>
      <c r="G28" s="16">
        <v>62</v>
      </c>
      <c r="H28" s="16">
        <v>19</v>
      </c>
      <c r="I28" s="16">
        <v>101</v>
      </c>
      <c r="J28" s="16">
        <v>0</v>
      </c>
      <c r="K28" s="16">
        <v>1917</v>
      </c>
      <c r="L28" s="16">
        <v>298</v>
      </c>
      <c r="M28" s="16">
        <v>82</v>
      </c>
      <c r="N28" s="16">
        <v>879</v>
      </c>
      <c r="O28" s="16">
        <v>124</v>
      </c>
      <c r="P28" s="16">
        <v>0</v>
      </c>
      <c r="Q28" s="16">
        <v>93</v>
      </c>
      <c r="R28" s="16">
        <v>102</v>
      </c>
      <c r="S28" s="16">
        <v>71</v>
      </c>
      <c r="T28" s="16">
        <v>232</v>
      </c>
      <c r="U28" s="16">
        <v>634</v>
      </c>
      <c r="V28" s="16">
        <v>155</v>
      </c>
      <c r="W28" s="16">
        <v>233</v>
      </c>
      <c r="X28" s="16">
        <v>286</v>
      </c>
      <c r="Y28" s="16">
        <v>675</v>
      </c>
      <c r="Z28" s="16">
        <v>174</v>
      </c>
      <c r="AA28" s="16">
        <v>10</v>
      </c>
      <c r="AB28" s="16">
        <v>75</v>
      </c>
      <c r="AC28" s="16">
        <v>202</v>
      </c>
      <c r="AD28" s="16">
        <v>1306</v>
      </c>
      <c r="AE28" s="16">
        <v>896</v>
      </c>
      <c r="AF28" s="16">
        <v>237</v>
      </c>
      <c r="AG28" s="16">
        <v>559</v>
      </c>
      <c r="AH28" s="16">
        <v>182</v>
      </c>
      <c r="AI28" s="16">
        <v>86</v>
      </c>
      <c r="AJ28" s="16">
        <v>73</v>
      </c>
      <c r="AK28" s="98">
        <v>90</v>
      </c>
      <c r="AL28" s="16">
        <v>24</v>
      </c>
      <c r="AM28" s="16">
        <v>1</v>
      </c>
      <c r="AN28" s="16">
        <v>473</v>
      </c>
      <c r="AO28" s="16">
        <v>2</v>
      </c>
      <c r="AP28" s="16">
        <v>5</v>
      </c>
      <c r="AQ28" s="16">
        <v>32</v>
      </c>
      <c r="AR28" s="16">
        <v>47</v>
      </c>
      <c r="AS28" s="16">
        <v>40</v>
      </c>
      <c r="AT28" s="16">
        <v>416</v>
      </c>
      <c r="AU28" s="16">
        <v>1812</v>
      </c>
      <c r="AV28" s="16">
        <v>224</v>
      </c>
      <c r="AW28" s="16">
        <v>211</v>
      </c>
      <c r="AX28" s="16">
        <v>5386</v>
      </c>
      <c r="AY28" s="16">
        <v>1151</v>
      </c>
      <c r="AZ28" s="16">
        <v>0</v>
      </c>
      <c r="BA28" s="16">
        <v>0</v>
      </c>
      <c r="BB28" s="16">
        <v>0</v>
      </c>
      <c r="BC28" s="16">
        <v>0</v>
      </c>
      <c r="BD28" s="16">
        <v>871</v>
      </c>
      <c r="BE28" s="16">
        <v>75</v>
      </c>
      <c r="BF28" s="16">
        <v>143</v>
      </c>
      <c r="BG28" s="16">
        <v>33</v>
      </c>
      <c r="BH28" s="16">
        <v>90</v>
      </c>
      <c r="BI28" s="16">
        <v>170</v>
      </c>
      <c r="BJ28" s="16">
        <v>142</v>
      </c>
      <c r="BK28" s="16">
        <v>64</v>
      </c>
      <c r="BL28" s="16">
        <v>80</v>
      </c>
      <c r="BM28" s="16">
        <v>8</v>
      </c>
      <c r="BN28" s="16">
        <v>0</v>
      </c>
      <c r="BO28" s="16">
        <v>69</v>
      </c>
    </row>
    <row r="29" spans="1:67" s="5" customFormat="1" ht="21.9" customHeight="1" x14ac:dyDescent="0.25">
      <c r="A29" s="125"/>
      <c r="B29" s="4"/>
      <c r="C29" s="47" t="s">
        <v>76</v>
      </c>
      <c r="D29" s="48"/>
      <c r="E29" s="16">
        <f t="shared" si="1"/>
        <v>153</v>
      </c>
      <c r="F29" s="26">
        <v>0</v>
      </c>
      <c r="G29" s="26">
        <v>0</v>
      </c>
      <c r="H29" s="26">
        <v>0</v>
      </c>
      <c r="I29" s="26">
        <v>0</v>
      </c>
      <c r="J29" s="26">
        <v>0</v>
      </c>
      <c r="K29" s="26">
        <v>1</v>
      </c>
      <c r="L29" s="26">
        <v>2</v>
      </c>
      <c r="M29" s="26">
        <v>1</v>
      </c>
      <c r="N29" s="26">
        <v>0</v>
      </c>
      <c r="O29" s="26">
        <v>1</v>
      </c>
      <c r="P29" s="26">
        <v>0</v>
      </c>
      <c r="Q29" s="26">
        <v>2</v>
      </c>
      <c r="R29" s="26">
        <v>9</v>
      </c>
      <c r="S29" s="26">
        <v>1</v>
      </c>
      <c r="T29" s="16">
        <v>3</v>
      </c>
      <c r="U29" s="16">
        <v>9</v>
      </c>
      <c r="V29" s="16">
        <v>3</v>
      </c>
      <c r="W29" s="16">
        <v>1</v>
      </c>
      <c r="X29" s="16">
        <v>6</v>
      </c>
      <c r="Y29" s="16">
        <v>4</v>
      </c>
      <c r="Z29" s="16">
        <v>6</v>
      </c>
      <c r="AA29" s="16">
        <v>0</v>
      </c>
      <c r="AB29" s="16">
        <v>0</v>
      </c>
      <c r="AC29" s="16">
        <v>4</v>
      </c>
      <c r="AD29" s="16">
        <v>13</v>
      </c>
      <c r="AE29" s="16">
        <v>16</v>
      </c>
      <c r="AF29" s="16">
        <v>5</v>
      </c>
      <c r="AG29" s="16">
        <v>13</v>
      </c>
      <c r="AH29" s="16">
        <v>2</v>
      </c>
      <c r="AI29" s="16">
        <v>7</v>
      </c>
      <c r="AJ29" s="16">
        <v>0</v>
      </c>
      <c r="AK29" s="98">
        <v>4</v>
      </c>
      <c r="AL29" s="16">
        <v>1</v>
      </c>
      <c r="AM29" s="16">
        <v>0</v>
      </c>
      <c r="AN29" s="16">
        <v>5</v>
      </c>
      <c r="AO29" s="26">
        <v>0</v>
      </c>
      <c r="AP29" s="26">
        <v>0</v>
      </c>
      <c r="AQ29" s="26">
        <v>0</v>
      </c>
      <c r="AR29" s="26">
        <v>2</v>
      </c>
      <c r="AS29" s="26">
        <v>0</v>
      </c>
      <c r="AT29" s="26">
        <v>0</v>
      </c>
      <c r="AU29" s="26">
        <v>3</v>
      </c>
      <c r="AV29" s="26">
        <v>0</v>
      </c>
      <c r="AW29" s="26">
        <v>0</v>
      </c>
      <c r="AX29" s="26">
        <v>1</v>
      </c>
      <c r="AY29" s="26">
        <v>4</v>
      </c>
      <c r="AZ29" s="26">
        <v>0</v>
      </c>
      <c r="BA29" s="26">
        <v>0</v>
      </c>
      <c r="BB29" s="26">
        <v>0</v>
      </c>
      <c r="BC29" s="16">
        <v>0</v>
      </c>
      <c r="BD29" s="16">
        <v>0</v>
      </c>
      <c r="BE29" s="16">
        <v>0</v>
      </c>
      <c r="BF29" s="16">
        <v>8</v>
      </c>
      <c r="BG29" s="16">
        <v>6</v>
      </c>
      <c r="BH29" s="16">
        <v>0</v>
      </c>
      <c r="BI29" s="16">
        <v>0</v>
      </c>
      <c r="BJ29" s="16">
        <v>4</v>
      </c>
      <c r="BK29" s="16">
        <v>0</v>
      </c>
      <c r="BL29" s="16">
        <v>4</v>
      </c>
      <c r="BM29" s="16">
        <v>0</v>
      </c>
      <c r="BN29" s="16">
        <v>0</v>
      </c>
      <c r="BO29" s="16">
        <v>2</v>
      </c>
    </row>
    <row r="30" spans="1:67" s="5" customFormat="1" ht="21.9" customHeight="1" x14ac:dyDescent="0.25">
      <c r="A30" s="125" t="s">
        <v>215</v>
      </c>
      <c r="B30" s="4"/>
      <c r="C30" s="47" t="s">
        <v>75</v>
      </c>
      <c r="D30" s="48"/>
      <c r="E30" s="16">
        <f t="shared" si="1"/>
        <v>30913</v>
      </c>
      <c r="F30" s="16">
        <v>839</v>
      </c>
      <c r="G30" s="16">
        <v>202</v>
      </c>
      <c r="H30" s="16">
        <v>38</v>
      </c>
      <c r="I30" s="16">
        <v>29</v>
      </c>
      <c r="J30" s="16">
        <v>2</v>
      </c>
      <c r="K30" s="16">
        <v>1008</v>
      </c>
      <c r="L30" s="16">
        <v>150</v>
      </c>
      <c r="M30" s="16">
        <v>0</v>
      </c>
      <c r="N30" s="16">
        <v>77</v>
      </c>
      <c r="O30" s="16">
        <v>511</v>
      </c>
      <c r="P30" s="16">
        <v>10</v>
      </c>
      <c r="Q30" s="16">
        <v>287</v>
      </c>
      <c r="R30" s="16">
        <v>728</v>
      </c>
      <c r="S30" s="16">
        <v>57</v>
      </c>
      <c r="T30" s="16">
        <v>264</v>
      </c>
      <c r="U30" s="16">
        <v>3135</v>
      </c>
      <c r="V30" s="16">
        <v>181</v>
      </c>
      <c r="W30" s="16">
        <v>333</v>
      </c>
      <c r="X30" s="16">
        <v>108</v>
      </c>
      <c r="Y30" s="16">
        <v>735</v>
      </c>
      <c r="Z30" s="16">
        <v>381</v>
      </c>
      <c r="AA30" s="16">
        <v>19</v>
      </c>
      <c r="AB30" s="16">
        <v>188</v>
      </c>
      <c r="AC30" s="16">
        <v>94</v>
      </c>
      <c r="AD30" s="16">
        <v>1673</v>
      </c>
      <c r="AE30" s="16">
        <v>776</v>
      </c>
      <c r="AF30" s="16">
        <v>164</v>
      </c>
      <c r="AG30" s="16">
        <v>3041</v>
      </c>
      <c r="AH30" s="16">
        <v>286</v>
      </c>
      <c r="AI30" s="16">
        <v>224</v>
      </c>
      <c r="AJ30" s="16">
        <v>1</v>
      </c>
      <c r="AK30" s="98">
        <v>433</v>
      </c>
      <c r="AL30" s="16">
        <v>34</v>
      </c>
      <c r="AM30" s="16">
        <v>8</v>
      </c>
      <c r="AN30" s="16">
        <v>766</v>
      </c>
      <c r="AO30" s="16">
        <v>121</v>
      </c>
      <c r="AP30" s="16">
        <v>21</v>
      </c>
      <c r="AQ30" s="16">
        <v>850</v>
      </c>
      <c r="AR30" s="16">
        <v>369</v>
      </c>
      <c r="AS30" s="16">
        <v>0</v>
      </c>
      <c r="AT30" s="16">
        <v>71</v>
      </c>
      <c r="AU30" s="16">
        <v>3886</v>
      </c>
      <c r="AV30" s="16">
        <v>96</v>
      </c>
      <c r="AW30" s="16">
        <v>17</v>
      </c>
      <c r="AX30" s="16">
        <v>1278</v>
      </c>
      <c r="AY30" s="16">
        <v>117</v>
      </c>
      <c r="AZ30" s="16">
        <v>2</v>
      </c>
      <c r="BA30" s="16">
        <v>0</v>
      </c>
      <c r="BB30" s="16">
        <v>1</v>
      </c>
      <c r="BC30" s="16">
        <v>0</v>
      </c>
      <c r="BD30" s="16">
        <v>882</v>
      </c>
      <c r="BE30" s="16">
        <v>100</v>
      </c>
      <c r="BF30" s="16">
        <v>168</v>
      </c>
      <c r="BG30" s="16">
        <v>606</v>
      </c>
      <c r="BH30" s="16">
        <v>1765</v>
      </c>
      <c r="BI30" s="16">
        <v>613</v>
      </c>
      <c r="BJ30" s="16">
        <v>112</v>
      </c>
      <c r="BK30" s="16">
        <v>351</v>
      </c>
      <c r="BL30" s="16">
        <v>31</v>
      </c>
      <c r="BM30" s="16">
        <v>410</v>
      </c>
      <c r="BN30" s="16">
        <v>45</v>
      </c>
      <c r="BO30" s="16">
        <v>2219</v>
      </c>
    </row>
    <row r="31" spans="1:67" s="5" customFormat="1" ht="21.9" customHeight="1" x14ac:dyDescent="0.25">
      <c r="A31" s="125"/>
      <c r="B31" s="4"/>
      <c r="C31" s="47" t="s">
        <v>76</v>
      </c>
      <c r="D31" s="48"/>
      <c r="E31" s="16">
        <f t="shared" si="1"/>
        <v>452</v>
      </c>
      <c r="F31" s="26">
        <v>1</v>
      </c>
      <c r="G31" s="26">
        <v>0</v>
      </c>
      <c r="H31" s="26">
        <v>0</v>
      </c>
      <c r="I31" s="26">
        <v>0</v>
      </c>
      <c r="J31" s="26">
        <v>0</v>
      </c>
      <c r="K31" s="26">
        <v>4</v>
      </c>
      <c r="L31" s="26">
        <v>5</v>
      </c>
      <c r="M31" s="26">
        <v>0</v>
      </c>
      <c r="N31" s="26">
        <v>1</v>
      </c>
      <c r="O31" s="26">
        <v>0</v>
      </c>
      <c r="P31" s="26">
        <v>0</v>
      </c>
      <c r="Q31" s="26">
        <v>14</v>
      </c>
      <c r="R31" s="26">
        <v>4</v>
      </c>
      <c r="S31" s="26">
        <v>0</v>
      </c>
      <c r="T31" s="16">
        <v>10</v>
      </c>
      <c r="U31" s="16">
        <v>13</v>
      </c>
      <c r="V31" s="16">
        <v>1</v>
      </c>
      <c r="W31" s="16">
        <v>3</v>
      </c>
      <c r="X31" s="16">
        <v>2</v>
      </c>
      <c r="Y31" s="16">
        <v>0</v>
      </c>
      <c r="Z31" s="16">
        <v>3</v>
      </c>
      <c r="AA31" s="16">
        <v>0</v>
      </c>
      <c r="AB31" s="16">
        <v>4</v>
      </c>
      <c r="AC31" s="16">
        <v>0</v>
      </c>
      <c r="AD31" s="16">
        <v>2</v>
      </c>
      <c r="AE31" s="16">
        <v>1</v>
      </c>
      <c r="AF31" s="16">
        <v>6</v>
      </c>
      <c r="AG31" s="16">
        <v>40</v>
      </c>
      <c r="AH31" s="16">
        <v>2</v>
      </c>
      <c r="AI31" s="16">
        <v>4</v>
      </c>
      <c r="AJ31" s="16">
        <v>1</v>
      </c>
      <c r="AK31" s="98">
        <v>2</v>
      </c>
      <c r="AL31" s="16">
        <v>0</v>
      </c>
      <c r="AM31" s="16">
        <v>0</v>
      </c>
      <c r="AN31" s="16">
        <v>4</v>
      </c>
      <c r="AO31" s="26">
        <v>0</v>
      </c>
      <c r="AP31" s="26">
        <v>0</v>
      </c>
      <c r="AQ31" s="26">
        <v>0</v>
      </c>
      <c r="AR31" s="26">
        <v>13</v>
      </c>
      <c r="AS31" s="26">
        <v>0</v>
      </c>
      <c r="AT31" s="26">
        <v>0</v>
      </c>
      <c r="AU31" s="26">
        <v>210</v>
      </c>
      <c r="AV31" s="26">
        <v>16</v>
      </c>
      <c r="AW31" s="26">
        <v>0</v>
      </c>
      <c r="AX31" s="26">
        <v>4</v>
      </c>
      <c r="AY31" s="16">
        <v>1</v>
      </c>
      <c r="AZ31" s="16">
        <v>2</v>
      </c>
      <c r="BA31" s="16">
        <v>0</v>
      </c>
      <c r="BB31" s="16">
        <v>0</v>
      </c>
      <c r="BC31" s="16">
        <v>0</v>
      </c>
      <c r="BD31" s="16">
        <v>1</v>
      </c>
      <c r="BE31" s="16">
        <v>0</v>
      </c>
      <c r="BF31" s="16">
        <v>4</v>
      </c>
      <c r="BG31" s="16">
        <v>7</v>
      </c>
      <c r="BH31" s="16">
        <v>0</v>
      </c>
      <c r="BI31" s="16">
        <v>6</v>
      </c>
      <c r="BJ31" s="16">
        <v>2</v>
      </c>
      <c r="BK31" s="16">
        <v>1</v>
      </c>
      <c r="BL31" s="16">
        <v>0</v>
      </c>
      <c r="BM31" s="16">
        <v>0</v>
      </c>
      <c r="BN31" s="16">
        <v>0</v>
      </c>
      <c r="BO31" s="16">
        <v>58</v>
      </c>
    </row>
    <row r="32" spans="1:67" s="5" customFormat="1" ht="21.9" customHeight="1" x14ac:dyDescent="0.25">
      <c r="A32" s="125" t="s">
        <v>84</v>
      </c>
      <c r="B32" s="4"/>
      <c r="C32" s="47" t="s">
        <v>75</v>
      </c>
      <c r="D32" s="48"/>
      <c r="E32" s="16">
        <f t="shared" si="1"/>
        <v>29371</v>
      </c>
      <c r="F32" s="16">
        <v>302</v>
      </c>
      <c r="G32" s="16">
        <v>379</v>
      </c>
      <c r="H32" s="16">
        <v>60</v>
      </c>
      <c r="I32" s="16">
        <v>108</v>
      </c>
      <c r="J32" s="16">
        <v>1</v>
      </c>
      <c r="K32" s="16">
        <v>1292</v>
      </c>
      <c r="L32" s="16">
        <v>627</v>
      </c>
      <c r="M32" s="16">
        <v>8</v>
      </c>
      <c r="N32" s="16">
        <v>111</v>
      </c>
      <c r="O32" s="16">
        <v>88</v>
      </c>
      <c r="P32" s="16">
        <v>0</v>
      </c>
      <c r="Q32" s="16">
        <v>182</v>
      </c>
      <c r="R32" s="16">
        <v>273</v>
      </c>
      <c r="S32" s="16">
        <v>83</v>
      </c>
      <c r="T32" s="16">
        <v>330</v>
      </c>
      <c r="U32" s="16">
        <v>879</v>
      </c>
      <c r="V32" s="16">
        <v>142</v>
      </c>
      <c r="W32" s="16">
        <v>344</v>
      </c>
      <c r="X32" s="16">
        <v>74</v>
      </c>
      <c r="Y32" s="16">
        <v>972</v>
      </c>
      <c r="Z32" s="16">
        <v>252</v>
      </c>
      <c r="AA32" s="16">
        <v>22</v>
      </c>
      <c r="AB32" s="16">
        <v>27</v>
      </c>
      <c r="AC32" s="16">
        <v>246</v>
      </c>
      <c r="AD32" s="16">
        <v>1904</v>
      </c>
      <c r="AE32" s="16">
        <v>436</v>
      </c>
      <c r="AF32" s="16">
        <v>256</v>
      </c>
      <c r="AG32" s="16">
        <v>681</v>
      </c>
      <c r="AH32" s="16">
        <v>321</v>
      </c>
      <c r="AI32" s="16">
        <v>54</v>
      </c>
      <c r="AJ32" s="16">
        <v>7</v>
      </c>
      <c r="AK32" s="98">
        <v>155</v>
      </c>
      <c r="AL32" s="16">
        <v>7</v>
      </c>
      <c r="AM32" s="16">
        <v>8</v>
      </c>
      <c r="AN32" s="16">
        <v>480</v>
      </c>
      <c r="AO32" s="16">
        <v>58</v>
      </c>
      <c r="AP32" s="16">
        <v>33</v>
      </c>
      <c r="AQ32" s="16">
        <v>88</v>
      </c>
      <c r="AR32" s="16">
        <v>46</v>
      </c>
      <c r="AS32" s="16">
        <v>22</v>
      </c>
      <c r="AT32" s="16">
        <v>160</v>
      </c>
      <c r="AU32" s="16">
        <v>1731</v>
      </c>
      <c r="AV32" s="16">
        <v>552</v>
      </c>
      <c r="AW32" s="16">
        <v>56</v>
      </c>
      <c r="AX32" s="16">
        <v>1590</v>
      </c>
      <c r="AY32" s="16">
        <v>387</v>
      </c>
      <c r="AZ32" s="16">
        <v>429</v>
      </c>
      <c r="BA32" s="16">
        <v>19</v>
      </c>
      <c r="BB32" s="16">
        <v>5</v>
      </c>
      <c r="BC32" s="16">
        <v>8</v>
      </c>
      <c r="BD32" s="16">
        <v>597</v>
      </c>
      <c r="BE32" s="16">
        <v>279</v>
      </c>
      <c r="BF32" s="16">
        <v>328</v>
      </c>
      <c r="BG32" s="16">
        <v>10068</v>
      </c>
      <c r="BH32" s="16">
        <v>186</v>
      </c>
      <c r="BI32" s="16">
        <v>714</v>
      </c>
      <c r="BJ32" s="16">
        <v>147</v>
      </c>
      <c r="BK32" s="16">
        <v>592</v>
      </c>
      <c r="BL32" s="16">
        <v>20</v>
      </c>
      <c r="BM32" s="16">
        <v>0</v>
      </c>
      <c r="BN32" s="16">
        <v>115</v>
      </c>
      <c r="BO32" s="16">
        <v>30</v>
      </c>
    </row>
    <row r="33" spans="1:67" s="5" customFormat="1" ht="21.9" customHeight="1" x14ac:dyDescent="0.25">
      <c r="A33" s="125"/>
      <c r="B33" s="4"/>
      <c r="C33" s="47" t="s">
        <v>76</v>
      </c>
      <c r="D33" s="48"/>
      <c r="E33" s="16">
        <f t="shared" si="1"/>
        <v>586</v>
      </c>
      <c r="F33" s="26">
        <v>0</v>
      </c>
      <c r="G33" s="26">
        <v>0</v>
      </c>
      <c r="H33" s="26">
        <v>0</v>
      </c>
      <c r="I33" s="26">
        <v>1</v>
      </c>
      <c r="J33" s="26">
        <v>0</v>
      </c>
      <c r="K33" s="26">
        <v>0</v>
      </c>
      <c r="L33" s="26">
        <v>2</v>
      </c>
      <c r="M33" s="26">
        <v>1</v>
      </c>
      <c r="N33" s="26">
        <v>5</v>
      </c>
      <c r="O33" s="26">
        <v>1</v>
      </c>
      <c r="P33" s="26">
        <v>0</v>
      </c>
      <c r="Q33" s="26">
        <v>1</v>
      </c>
      <c r="R33" s="26">
        <v>2</v>
      </c>
      <c r="S33" s="26">
        <v>0</v>
      </c>
      <c r="T33" s="16">
        <v>52</v>
      </c>
      <c r="U33" s="16">
        <v>33</v>
      </c>
      <c r="V33" s="16">
        <v>0</v>
      </c>
      <c r="W33" s="16">
        <v>28</v>
      </c>
      <c r="X33" s="16">
        <v>16</v>
      </c>
      <c r="Y33" s="16">
        <v>0</v>
      </c>
      <c r="Z33" s="16">
        <v>2</v>
      </c>
      <c r="AA33" s="16">
        <v>0</v>
      </c>
      <c r="AB33" s="16">
        <v>0</v>
      </c>
      <c r="AC33" s="16">
        <v>0</v>
      </c>
      <c r="AD33" s="16">
        <v>4</v>
      </c>
      <c r="AE33" s="16">
        <v>18</v>
      </c>
      <c r="AF33" s="16">
        <v>0</v>
      </c>
      <c r="AG33" s="16">
        <v>22</v>
      </c>
      <c r="AH33" s="16">
        <v>24</v>
      </c>
      <c r="AI33" s="16">
        <v>1</v>
      </c>
      <c r="AJ33" s="16">
        <v>1</v>
      </c>
      <c r="AK33" s="98">
        <v>26</v>
      </c>
      <c r="AL33" s="16">
        <v>0</v>
      </c>
      <c r="AM33" s="16">
        <v>0</v>
      </c>
      <c r="AN33" s="16">
        <v>16</v>
      </c>
      <c r="AO33" s="26">
        <v>0</v>
      </c>
      <c r="AP33" s="26">
        <v>0</v>
      </c>
      <c r="AQ33" s="26">
        <v>0</v>
      </c>
      <c r="AR33" s="26">
        <v>0</v>
      </c>
      <c r="AS33" s="26">
        <v>0</v>
      </c>
      <c r="AT33" s="26">
        <v>0</v>
      </c>
      <c r="AU33" s="26">
        <v>12</v>
      </c>
      <c r="AV33" s="26">
        <v>2</v>
      </c>
      <c r="AW33" s="26">
        <v>0</v>
      </c>
      <c r="AX33" s="26">
        <v>45</v>
      </c>
      <c r="AY33" s="16">
        <v>11</v>
      </c>
      <c r="AZ33" s="16">
        <v>0</v>
      </c>
      <c r="BA33" s="16">
        <v>0</v>
      </c>
      <c r="BB33" s="16">
        <v>0</v>
      </c>
      <c r="BC33" s="16">
        <v>0</v>
      </c>
      <c r="BD33" s="16">
        <v>6</v>
      </c>
      <c r="BE33" s="16">
        <v>2</v>
      </c>
      <c r="BF33" s="16">
        <v>8</v>
      </c>
      <c r="BG33" s="16">
        <v>234</v>
      </c>
      <c r="BH33" s="16">
        <v>1</v>
      </c>
      <c r="BI33" s="16">
        <v>1</v>
      </c>
      <c r="BJ33" s="16">
        <v>1</v>
      </c>
      <c r="BK33" s="16">
        <v>2</v>
      </c>
      <c r="BL33" s="16">
        <v>0</v>
      </c>
      <c r="BM33" s="16">
        <v>0</v>
      </c>
      <c r="BN33" s="16">
        <v>0</v>
      </c>
      <c r="BO33" s="16">
        <v>5</v>
      </c>
    </row>
    <row r="34" spans="1:67" s="5" customFormat="1" ht="21.9" customHeight="1" x14ac:dyDescent="0.25">
      <c r="A34" s="125" t="s">
        <v>85</v>
      </c>
      <c r="C34" s="47" t="s">
        <v>75</v>
      </c>
      <c r="D34" s="48"/>
      <c r="E34" s="16">
        <f t="shared" si="1"/>
        <v>18654</v>
      </c>
      <c r="F34" s="16">
        <v>124</v>
      </c>
      <c r="G34" s="16">
        <v>144</v>
      </c>
      <c r="H34" s="16">
        <v>36</v>
      </c>
      <c r="I34" s="16">
        <v>73</v>
      </c>
      <c r="J34" s="16">
        <v>4</v>
      </c>
      <c r="K34" s="16">
        <v>1079</v>
      </c>
      <c r="L34" s="16">
        <v>348</v>
      </c>
      <c r="M34" s="16">
        <v>18</v>
      </c>
      <c r="N34" s="16">
        <v>43</v>
      </c>
      <c r="O34" s="16">
        <v>30</v>
      </c>
      <c r="P34" s="16">
        <v>0</v>
      </c>
      <c r="Q34" s="16">
        <v>137</v>
      </c>
      <c r="R34" s="16">
        <v>196</v>
      </c>
      <c r="S34" s="16">
        <v>10</v>
      </c>
      <c r="T34" s="16">
        <v>161</v>
      </c>
      <c r="U34" s="16">
        <v>690</v>
      </c>
      <c r="V34" s="16">
        <v>219</v>
      </c>
      <c r="W34" s="16">
        <v>189</v>
      </c>
      <c r="X34" s="16">
        <v>305</v>
      </c>
      <c r="Y34" s="16">
        <v>785</v>
      </c>
      <c r="Z34" s="16">
        <v>315</v>
      </c>
      <c r="AA34" s="16">
        <v>46</v>
      </c>
      <c r="AB34" s="16">
        <v>109</v>
      </c>
      <c r="AC34" s="16">
        <v>300</v>
      </c>
      <c r="AD34" s="16">
        <v>2183</v>
      </c>
      <c r="AE34" s="16">
        <v>1049</v>
      </c>
      <c r="AF34" s="16">
        <v>319</v>
      </c>
      <c r="AG34" s="16">
        <v>554</v>
      </c>
      <c r="AH34" s="16">
        <v>270</v>
      </c>
      <c r="AI34" s="16">
        <v>143</v>
      </c>
      <c r="AJ34" s="16">
        <v>10</v>
      </c>
      <c r="AK34" s="98">
        <v>293</v>
      </c>
      <c r="AL34" s="16">
        <v>11</v>
      </c>
      <c r="AM34" s="16">
        <v>21</v>
      </c>
      <c r="AN34" s="16">
        <v>1048</v>
      </c>
      <c r="AO34" s="16">
        <v>37</v>
      </c>
      <c r="AP34" s="16">
        <v>36</v>
      </c>
      <c r="AQ34" s="16">
        <v>209</v>
      </c>
      <c r="AR34" s="16">
        <v>26</v>
      </c>
      <c r="AS34" s="16">
        <v>22</v>
      </c>
      <c r="AT34" s="16">
        <v>31</v>
      </c>
      <c r="AU34" s="16">
        <v>1218</v>
      </c>
      <c r="AV34" s="16">
        <v>199</v>
      </c>
      <c r="AW34" s="16">
        <v>18</v>
      </c>
      <c r="AX34" s="16">
        <v>1099</v>
      </c>
      <c r="AY34" s="16">
        <v>415</v>
      </c>
      <c r="AZ34" s="16">
        <v>30</v>
      </c>
      <c r="BA34" s="16">
        <v>22</v>
      </c>
      <c r="BB34" s="16">
        <v>4</v>
      </c>
      <c r="BC34" s="16">
        <v>0</v>
      </c>
      <c r="BD34" s="16">
        <v>639</v>
      </c>
      <c r="BE34" s="16">
        <v>107</v>
      </c>
      <c r="BF34" s="16">
        <v>151</v>
      </c>
      <c r="BG34" s="16">
        <v>619</v>
      </c>
      <c r="BH34" s="16">
        <v>490</v>
      </c>
      <c r="BI34" s="16">
        <v>867</v>
      </c>
      <c r="BJ34" s="16">
        <v>511</v>
      </c>
      <c r="BK34" s="16">
        <v>300</v>
      </c>
      <c r="BL34" s="16">
        <v>176</v>
      </c>
      <c r="BM34" s="16">
        <v>13</v>
      </c>
      <c r="BN34" s="16">
        <v>31</v>
      </c>
      <c r="BO34" s="16">
        <v>122</v>
      </c>
    </row>
    <row r="35" spans="1:67" s="5" customFormat="1" ht="21.9" customHeight="1" x14ac:dyDescent="0.25">
      <c r="A35" s="125"/>
      <c r="C35" s="47" t="s">
        <v>76</v>
      </c>
      <c r="D35" s="48"/>
      <c r="E35" s="16">
        <f t="shared" si="1"/>
        <v>189</v>
      </c>
      <c r="F35" s="26">
        <v>0</v>
      </c>
      <c r="G35" s="26">
        <v>0</v>
      </c>
      <c r="H35" s="26">
        <v>0</v>
      </c>
      <c r="I35" s="26">
        <v>3</v>
      </c>
      <c r="J35" s="26">
        <v>0</v>
      </c>
      <c r="K35" s="26">
        <v>1</v>
      </c>
      <c r="L35" s="26">
        <v>0</v>
      </c>
      <c r="M35" s="26">
        <v>0</v>
      </c>
      <c r="N35" s="26">
        <v>3</v>
      </c>
      <c r="O35" s="26">
        <v>0</v>
      </c>
      <c r="P35" s="26">
        <v>0</v>
      </c>
      <c r="Q35" s="26">
        <v>5</v>
      </c>
      <c r="R35" s="26">
        <v>4</v>
      </c>
      <c r="S35" s="26">
        <v>0</v>
      </c>
      <c r="T35" s="16">
        <v>4</v>
      </c>
      <c r="U35" s="16">
        <v>5</v>
      </c>
      <c r="V35" s="16">
        <v>4</v>
      </c>
      <c r="W35" s="16">
        <v>1</v>
      </c>
      <c r="X35" s="16">
        <v>0</v>
      </c>
      <c r="Y35" s="16">
        <v>5</v>
      </c>
      <c r="Z35" s="16">
        <v>2</v>
      </c>
      <c r="AA35" s="16">
        <v>0</v>
      </c>
      <c r="AB35" s="16">
        <v>0</v>
      </c>
      <c r="AC35" s="16">
        <v>0</v>
      </c>
      <c r="AD35" s="16">
        <v>13</v>
      </c>
      <c r="AE35" s="16">
        <v>22</v>
      </c>
      <c r="AF35" s="16">
        <v>0</v>
      </c>
      <c r="AG35" s="16">
        <v>13</v>
      </c>
      <c r="AH35" s="16">
        <v>5</v>
      </c>
      <c r="AI35" s="16">
        <v>3</v>
      </c>
      <c r="AJ35" s="16">
        <v>0</v>
      </c>
      <c r="AK35" s="98">
        <v>11</v>
      </c>
      <c r="AL35" s="16">
        <v>0</v>
      </c>
      <c r="AM35" s="16">
        <v>0</v>
      </c>
      <c r="AN35" s="16">
        <v>15</v>
      </c>
      <c r="AO35" s="26">
        <v>0</v>
      </c>
      <c r="AP35" s="26">
        <v>0</v>
      </c>
      <c r="AQ35" s="26">
        <v>0</v>
      </c>
      <c r="AR35" s="26">
        <v>0</v>
      </c>
      <c r="AS35" s="26">
        <v>0</v>
      </c>
      <c r="AT35" s="26">
        <v>0</v>
      </c>
      <c r="AU35" s="26">
        <v>10</v>
      </c>
      <c r="AV35" s="26">
        <v>3</v>
      </c>
      <c r="AW35" s="26">
        <v>0</v>
      </c>
      <c r="AX35" s="26">
        <v>4</v>
      </c>
      <c r="AY35" s="16">
        <v>0</v>
      </c>
      <c r="AZ35" s="16">
        <v>0</v>
      </c>
      <c r="BA35" s="16">
        <v>0</v>
      </c>
      <c r="BB35" s="16">
        <v>0</v>
      </c>
      <c r="BC35" s="16">
        <v>0</v>
      </c>
      <c r="BD35" s="16">
        <v>0</v>
      </c>
      <c r="BE35" s="16">
        <v>7</v>
      </c>
      <c r="BF35" s="16">
        <v>4</v>
      </c>
      <c r="BG35" s="16">
        <v>11</v>
      </c>
      <c r="BH35" s="16">
        <v>1</v>
      </c>
      <c r="BI35" s="16">
        <v>17</v>
      </c>
      <c r="BJ35" s="16">
        <v>2</v>
      </c>
      <c r="BK35" s="16">
        <v>0</v>
      </c>
      <c r="BL35" s="16">
        <v>5</v>
      </c>
      <c r="BM35" s="16">
        <v>0</v>
      </c>
      <c r="BN35" s="16">
        <v>0</v>
      </c>
      <c r="BO35" s="16">
        <v>6</v>
      </c>
    </row>
    <row r="36" spans="1:67" s="5" customFormat="1" ht="21.9" customHeight="1" x14ac:dyDescent="0.25">
      <c r="A36" s="125" t="s">
        <v>86</v>
      </c>
      <c r="B36" s="4"/>
      <c r="C36" s="47" t="s">
        <v>75</v>
      </c>
      <c r="D36" s="48"/>
      <c r="E36" s="16">
        <f t="shared" si="1"/>
        <v>28505</v>
      </c>
      <c r="F36" s="16">
        <v>282</v>
      </c>
      <c r="G36" s="16">
        <v>211</v>
      </c>
      <c r="H36" s="16">
        <v>94</v>
      </c>
      <c r="I36" s="16">
        <v>200</v>
      </c>
      <c r="J36" s="16">
        <v>46</v>
      </c>
      <c r="K36" s="16">
        <v>1149</v>
      </c>
      <c r="L36" s="16">
        <v>290</v>
      </c>
      <c r="M36" s="16">
        <v>32</v>
      </c>
      <c r="N36" s="16">
        <v>74</v>
      </c>
      <c r="O36" s="16">
        <v>152</v>
      </c>
      <c r="P36" s="16">
        <v>0</v>
      </c>
      <c r="Q36" s="16">
        <v>82</v>
      </c>
      <c r="R36" s="16">
        <v>162</v>
      </c>
      <c r="S36" s="16">
        <v>57</v>
      </c>
      <c r="T36" s="16">
        <v>202</v>
      </c>
      <c r="U36" s="16">
        <v>873</v>
      </c>
      <c r="V36" s="16">
        <v>286</v>
      </c>
      <c r="W36" s="16">
        <v>74</v>
      </c>
      <c r="X36" s="16">
        <v>80</v>
      </c>
      <c r="Y36" s="16">
        <v>505</v>
      </c>
      <c r="Z36" s="16">
        <v>236</v>
      </c>
      <c r="AA36" s="16">
        <v>74</v>
      </c>
      <c r="AB36" s="16">
        <v>50</v>
      </c>
      <c r="AC36" s="16">
        <v>129</v>
      </c>
      <c r="AD36" s="16">
        <v>3062</v>
      </c>
      <c r="AE36" s="16">
        <v>1113</v>
      </c>
      <c r="AF36" s="16">
        <v>422</v>
      </c>
      <c r="AG36" s="16">
        <v>417</v>
      </c>
      <c r="AH36" s="16">
        <v>405</v>
      </c>
      <c r="AI36" s="16">
        <v>114</v>
      </c>
      <c r="AJ36" s="16">
        <v>49</v>
      </c>
      <c r="AK36" s="98">
        <v>118</v>
      </c>
      <c r="AL36" s="16">
        <v>42</v>
      </c>
      <c r="AM36" s="16">
        <v>16</v>
      </c>
      <c r="AN36" s="16">
        <v>137</v>
      </c>
      <c r="AO36" s="16">
        <v>70</v>
      </c>
      <c r="AP36" s="16">
        <v>101</v>
      </c>
      <c r="AQ36" s="16">
        <v>183</v>
      </c>
      <c r="AR36" s="16">
        <v>13</v>
      </c>
      <c r="AS36" s="16">
        <v>29</v>
      </c>
      <c r="AT36" s="16">
        <v>288</v>
      </c>
      <c r="AU36" s="16">
        <v>2122</v>
      </c>
      <c r="AV36" s="16">
        <v>458</v>
      </c>
      <c r="AW36" s="16">
        <v>40</v>
      </c>
      <c r="AX36" s="16">
        <v>9226</v>
      </c>
      <c r="AY36" s="16">
        <v>389</v>
      </c>
      <c r="AZ36" s="16">
        <v>1</v>
      </c>
      <c r="BA36" s="16">
        <v>5</v>
      </c>
      <c r="BB36" s="26">
        <v>1</v>
      </c>
      <c r="BC36" s="16">
        <v>4</v>
      </c>
      <c r="BD36" s="16">
        <v>348</v>
      </c>
      <c r="BE36" s="16">
        <v>151</v>
      </c>
      <c r="BF36" s="16">
        <v>180</v>
      </c>
      <c r="BG36" s="16">
        <v>75</v>
      </c>
      <c r="BH36" s="16">
        <v>845</v>
      </c>
      <c r="BI36" s="16">
        <v>1008</v>
      </c>
      <c r="BJ36" s="16">
        <v>591</v>
      </c>
      <c r="BK36" s="16">
        <v>42</v>
      </c>
      <c r="BL36" s="16">
        <v>228</v>
      </c>
      <c r="BM36" s="16">
        <v>84</v>
      </c>
      <c r="BN36" s="16">
        <v>268</v>
      </c>
      <c r="BO36" s="16">
        <v>520</v>
      </c>
    </row>
    <row r="37" spans="1:67" s="5" customFormat="1" ht="21.9" customHeight="1" x14ac:dyDescent="0.25">
      <c r="A37" s="125"/>
      <c r="B37" s="4"/>
      <c r="C37" s="47" t="s">
        <v>76</v>
      </c>
      <c r="D37" s="48"/>
      <c r="E37" s="16">
        <f t="shared" si="1"/>
        <v>98</v>
      </c>
      <c r="F37" s="26">
        <v>0</v>
      </c>
      <c r="G37" s="26">
        <v>0</v>
      </c>
      <c r="H37" s="26">
        <v>0</v>
      </c>
      <c r="I37" s="26">
        <v>0</v>
      </c>
      <c r="J37" s="26">
        <v>0</v>
      </c>
      <c r="K37" s="26">
        <v>0</v>
      </c>
      <c r="L37" s="26">
        <v>1</v>
      </c>
      <c r="M37" s="26">
        <v>0</v>
      </c>
      <c r="N37" s="26">
        <v>0</v>
      </c>
      <c r="O37" s="26">
        <v>0</v>
      </c>
      <c r="P37" s="26">
        <v>0</v>
      </c>
      <c r="Q37" s="26">
        <v>2</v>
      </c>
      <c r="R37" s="26">
        <v>0</v>
      </c>
      <c r="S37" s="26">
        <v>0</v>
      </c>
      <c r="T37" s="16">
        <v>2</v>
      </c>
      <c r="U37" s="16">
        <v>4</v>
      </c>
      <c r="V37" s="16">
        <v>4</v>
      </c>
      <c r="W37" s="16">
        <v>3</v>
      </c>
      <c r="X37" s="16">
        <v>1</v>
      </c>
      <c r="Y37" s="16">
        <v>0</v>
      </c>
      <c r="Z37" s="16">
        <v>2</v>
      </c>
      <c r="AA37" s="16">
        <v>0</v>
      </c>
      <c r="AB37" s="16">
        <v>0</v>
      </c>
      <c r="AC37" s="16">
        <v>0</v>
      </c>
      <c r="AD37" s="16">
        <v>4</v>
      </c>
      <c r="AE37" s="16">
        <v>2</v>
      </c>
      <c r="AF37" s="16">
        <v>5</v>
      </c>
      <c r="AG37" s="16">
        <v>5</v>
      </c>
      <c r="AH37" s="16">
        <v>7</v>
      </c>
      <c r="AI37" s="16">
        <v>0</v>
      </c>
      <c r="AJ37" s="16">
        <v>0</v>
      </c>
      <c r="AK37" s="98">
        <v>3</v>
      </c>
      <c r="AL37" s="16">
        <v>0</v>
      </c>
      <c r="AM37" s="16">
        <v>0</v>
      </c>
      <c r="AN37" s="16">
        <v>7</v>
      </c>
      <c r="AO37" s="26">
        <v>0</v>
      </c>
      <c r="AP37" s="26">
        <v>0</v>
      </c>
      <c r="AQ37" s="26">
        <v>0</v>
      </c>
      <c r="AR37" s="26">
        <v>0</v>
      </c>
      <c r="AS37" s="26">
        <v>0</v>
      </c>
      <c r="AT37" s="26">
        <v>0</v>
      </c>
      <c r="AU37" s="16">
        <v>0</v>
      </c>
      <c r="AV37" s="26">
        <v>28</v>
      </c>
      <c r="AW37" s="26">
        <v>0</v>
      </c>
      <c r="AX37" s="16">
        <v>3</v>
      </c>
      <c r="AY37" s="16">
        <v>0</v>
      </c>
      <c r="AZ37" s="26">
        <v>0</v>
      </c>
      <c r="BA37" s="26">
        <v>1</v>
      </c>
      <c r="BB37" s="26">
        <v>0</v>
      </c>
      <c r="BC37" s="26">
        <v>0</v>
      </c>
      <c r="BD37" s="16">
        <v>0</v>
      </c>
      <c r="BE37" s="16">
        <v>2</v>
      </c>
      <c r="BF37" s="16">
        <v>2</v>
      </c>
      <c r="BG37" s="16">
        <v>0</v>
      </c>
      <c r="BH37" s="26">
        <v>0</v>
      </c>
      <c r="BI37" s="26">
        <v>2</v>
      </c>
      <c r="BJ37" s="26">
        <v>0</v>
      </c>
      <c r="BK37" s="26">
        <v>0</v>
      </c>
      <c r="BL37" s="26">
        <v>0</v>
      </c>
      <c r="BM37" s="26">
        <v>0</v>
      </c>
      <c r="BN37" s="26">
        <v>0</v>
      </c>
      <c r="BO37" s="16">
        <v>8</v>
      </c>
    </row>
    <row r="38" spans="1:67" s="5" customFormat="1" ht="21.9" customHeight="1" x14ac:dyDescent="0.25">
      <c r="A38" s="125" t="s">
        <v>87</v>
      </c>
      <c r="B38" s="4"/>
      <c r="C38" s="47" t="s">
        <v>75</v>
      </c>
      <c r="D38" s="48"/>
      <c r="E38" s="16">
        <f t="shared" si="1"/>
        <v>27560</v>
      </c>
      <c r="F38" s="16">
        <v>132</v>
      </c>
      <c r="G38" s="16">
        <v>92</v>
      </c>
      <c r="H38" s="16">
        <v>45</v>
      </c>
      <c r="I38" s="16">
        <v>97</v>
      </c>
      <c r="J38" s="16">
        <v>52</v>
      </c>
      <c r="K38" s="16">
        <v>1636</v>
      </c>
      <c r="L38" s="16">
        <v>287</v>
      </c>
      <c r="M38" s="16">
        <v>50</v>
      </c>
      <c r="N38" s="16">
        <v>143</v>
      </c>
      <c r="O38" s="16">
        <v>100</v>
      </c>
      <c r="P38" s="16">
        <v>20</v>
      </c>
      <c r="Q38" s="16">
        <v>381</v>
      </c>
      <c r="R38" s="16">
        <v>173</v>
      </c>
      <c r="S38" s="16">
        <v>135</v>
      </c>
      <c r="T38" s="16">
        <v>416</v>
      </c>
      <c r="U38" s="16">
        <v>1422</v>
      </c>
      <c r="V38" s="16">
        <v>222</v>
      </c>
      <c r="W38" s="16">
        <v>101</v>
      </c>
      <c r="X38" s="16">
        <v>118</v>
      </c>
      <c r="Y38" s="16">
        <v>1468</v>
      </c>
      <c r="Z38" s="16">
        <v>135</v>
      </c>
      <c r="AA38" s="16">
        <v>327</v>
      </c>
      <c r="AB38" s="16">
        <v>319</v>
      </c>
      <c r="AC38" s="16">
        <v>231</v>
      </c>
      <c r="AD38" s="16">
        <v>3967</v>
      </c>
      <c r="AE38" s="16">
        <v>1411</v>
      </c>
      <c r="AF38" s="16">
        <v>1009</v>
      </c>
      <c r="AG38" s="16">
        <v>1366</v>
      </c>
      <c r="AH38" s="16">
        <v>239</v>
      </c>
      <c r="AI38" s="16">
        <v>197</v>
      </c>
      <c r="AJ38" s="16">
        <v>0</v>
      </c>
      <c r="AK38" s="98">
        <v>200</v>
      </c>
      <c r="AL38" s="16">
        <v>4</v>
      </c>
      <c r="AM38" s="16">
        <v>7</v>
      </c>
      <c r="AN38" s="16">
        <v>933</v>
      </c>
      <c r="AO38" s="16">
        <v>54</v>
      </c>
      <c r="AP38" s="16">
        <v>64</v>
      </c>
      <c r="AQ38" s="16">
        <v>84</v>
      </c>
      <c r="AR38" s="16">
        <v>67</v>
      </c>
      <c r="AS38" s="16">
        <v>107</v>
      </c>
      <c r="AT38" s="16">
        <v>112</v>
      </c>
      <c r="AU38" s="16">
        <v>3999</v>
      </c>
      <c r="AV38" s="16">
        <v>547</v>
      </c>
      <c r="AW38" s="16">
        <v>11</v>
      </c>
      <c r="AX38" s="16">
        <v>1456</v>
      </c>
      <c r="AY38" s="16">
        <v>60</v>
      </c>
      <c r="AZ38" s="16">
        <v>9</v>
      </c>
      <c r="BA38" s="26">
        <v>0</v>
      </c>
      <c r="BB38" s="16">
        <v>0</v>
      </c>
      <c r="BC38" s="26">
        <v>0</v>
      </c>
      <c r="BD38" s="16">
        <v>126</v>
      </c>
      <c r="BE38" s="16">
        <v>286</v>
      </c>
      <c r="BF38" s="16">
        <v>470</v>
      </c>
      <c r="BG38" s="16">
        <v>277</v>
      </c>
      <c r="BH38" s="16">
        <v>124</v>
      </c>
      <c r="BI38" s="16">
        <v>318</v>
      </c>
      <c r="BJ38" s="16">
        <v>247</v>
      </c>
      <c r="BK38" s="16">
        <v>218</v>
      </c>
      <c r="BL38" s="16">
        <v>1319</v>
      </c>
      <c r="BM38" s="26">
        <v>0</v>
      </c>
      <c r="BN38" s="26">
        <v>28</v>
      </c>
      <c r="BO38" s="16">
        <v>142</v>
      </c>
    </row>
    <row r="39" spans="1:67" s="5" customFormat="1" ht="21.9" customHeight="1" x14ac:dyDescent="0.25">
      <c r="A39" s="125"/>
      <c r="B39" s="4"/>
      <c r="C39" s="47" t="s">
        <v>76</v>
      </c>
      <c r="D39" s="48"/>
      <c r="E39" s="16">
        <f t="shared" si="1"/>
        <v>420</v>
      </c>
      <c r="F39" s="26">
        <v>0</v>
      </c>
      <c r="G39" s="26">
        <v>0</v>
      </c>
      <c r="H39" s="26">
        <v>0</v>
      </c>
      <c r="I39" s="26">
        <v>1</v>
      </c>
      <c r="J39" s="26">
        <v>2</v>
      </c>
      <c r="K39" s="26">
        <v>0</v>
      </c>
      <c r="L39" s="26">
        <v>1</v>
      </c>
      <c r="M39" s="26">
        <v>1</v>
      </c>
      <c r="N39" s="26">
        <v>0</v>
      </c>
      <c r="O39" s="26">
        <v>0</v>
      </c>
      <c r="P39" s="26">
        <v>0</v>
      </c>
      <c r="Q39" s="26">
        <v>1</v>
      </c>
      <c r="R39" s="26">
        <v>4</v>
      </c>
      <c r="S39" s="26">
        <v>0</v>
      </c>
      <c r="T39" s="16">
        <v>0</v>
      </c>
      <c r="U39" s="16">
        <v>14</v>
      </c>
      <c r="V39" s="16">
        <v>0</v>
      </c>
      <c r="W39" s="16">
        <v>0</v>
      </c>
      <c r="X39" s="16">
        <v>2</v>
      </c>
      <c r="Y39" s="16">
        <v>0</v>
      </c>
      <c r="Z39" s="16">
        <v>1</v>
      </c>
      <c r="AA39" s="16">
        <v>2</v>
      </c>
      <c r="AB39" s="16">
        <v>7</v>
      </c>
      <c r="AC39" s="16">
        <v>69</v>
      </c>
      <c r="AD39" s="16">
        <v>24</v>
      </c>
      <c r="AE39" s="16">
        <v>9</v>
      </c>
      <c r="AF39" s="16">
        <v>3</v>
      </c>
      <c r="AG39" s="16">
        <v>4</v>
      </c>
      <c r="AH39" s="16">
        <v>38</v>
      </c>
      <c r="AI39" s="16">
        <v>1</v>
      </c>
      <c r="AJ39" s="16">
        <v>0</v>
      </c>
      <c r="AK39" s="98">
        <v>6</v>
      </c>
      <c r="AL39" s="16">
        <v>0</v>
      </c>
      <c r="AM39" s="16">
        <v>0</v>
      </c>
      <c r="AN39" s="16">
        <v>21</v>
      </c>
      <c r="AO39" s="26">
        <v>0</v>
      </c>
      <c r="AP39" s="26">
        <v>0</v>
      </c>
      <c r="AQ39" s="26">
        <v>0</v>
      </c>
      <c r="AR39" s="16">
        <v>12</v>
      </c>
      <c r="AS39" s="16">
        <v>4</v>
      </c>
      <c r="AT39" s="26">
        <v>1</v>
      </c>
      <c r="AU39" s="16">
        <v>12</v>
      </c>
      <c r="AV39" s="26">
        <v>23</v>
      </c>
      <c r="AW39" s="26">
        <v>0</v>
      </c>
      <c r="AX39" s="16">
        <v>1</v>
      </c>
      <c r="AY39" s="16">
        <v>0</v>
      </c>
      <c r="AZ39" s="26">
        <v>0</v>
      </c>
      <c r="BA39" s="26">
        <v>0</v>
      </c>
      <c r="BB39" s="26">
        <v>0</v>
      </c>
      <c r="BC39" s="26">
        <v>0</v>
      </c>
      <c r="BD39" s="26">
        <v>1</v>
      </c>
      <c r="BE39" s="16">
        <v>4</v>
      </c>
      <c r="BF39" s="16">
        <v>6</v>
      </c>
      <c r="BG39" s="16">
        <v>137</v>
      </c>
      <c r="BH39" s="16">
        <v>2</v>
      </c>
      <c r="BI39" s="16">
        <v>0</v>
      </c>
      <c r="BJ39" s="26">
        <v>0</v>
      </c>
      <c r="BK39" s="16">
        <v>5</v>
      </c>
      <c r="BL39" s="16">
        <v>0</v>
      </c>
      <c r="BM39" s="26">
        <v>0</v>
      </c>
      <c r="BN39" s="26">
        <v>0</v>
      </c>
      <c r="BO39" s="26">
        <v>1</v>
      </c>
    </row>
    <row r="40" spans="1:67" s="5" customFormat="1" ht="21.9" customHeight="1" x14ac:dyDescent="0.25">
      <c r="A40" s="125" t="s">
        <v>256</v>
      </c>
      <c r="C40" s="47" t="s">
        <v>75</v>
      </c>
      <c r="D40" s="48"/>
      <c r="E40" s="16">
        <f t="shared" si="1"/>
        <v>59700</v>
      </c>
      <c r="F40" s="16">
        <v>1509</v>
      </c>
      <c r="G40" s="16">
        <v>1028</v>
      </c>
      <c r="H40" s="16">
        <v>479</v>
      </c>
      <c r="I40" s="16">
        <v>249</v>
      </c>
      <c r="J40" s="16">
        <v>15</v>
      </c>
      <c r="K40" s="16">
        <v>2063</v>
      </c>
      <c r="L40" s="16">
        <v>612</v>
      </c>
      <c r="M40" s="16">
        <v>384</v>
      </c>
      <c r="N40" s="16">
        <v>161</v>
      </c>
      <c r="O40" s="16">
        <v>87</v>
      </c>
      <c r="P40" s="16">
        <v>0</v>
      </c>
      <c r="Q40" s="16">
        <v>162</v>
      </c>
      <c r="R40" s="16">
        <v>444</v>
      </c>
      <c r="S40" s="16">
        <v>600</v>
      </c>
      <c r="T40" s="16">
        <v>447</v>
      </c>
      <c r="U40" s="16">
        <v>650</v>
      </c>
      <c r="V40" s="16">
        <v>667</v>
      </c>
      <c r="W40" s="16">
        <v>339</v>
      </c>
      <c r="X40" s="16">
        <v>61</v>
      </c>
      <c r="Y40" s="16">
        <v>2804</v>
      </c>
      <c r="Z40" s="16">
        <v>679</v>
      </c>
      <c r="AA40" s="16">
        <v>239</v>
      </c>
      <c r="AB40" s="16">
        <v>51</v>
      </c>
      <c r="AC40" s="16">
        <v>414</v>
      </c>
      <c r="AD40" s="16">
        <v>6063</v>
      </c>
      <c r="AE40" s="16">
        <v>1866</v>
      </c>
      <c r="AF40" s="16">
        <v>145</v>
      </c>
      <c r="AG40" s="16">
        <v>635</v>
      </c>
      <c r="AH40" s="16">
        <v>943</v>
      </c>
      <c r="AI40" s="16">
        <v>214</v>
      </c>
      <c r="AJ40" s="16">
        <v>17</v>
      </c>
      <c r="AK40" s="98">
        <v>75</v>
      </c>
      <c r="AL40" s="16">
        <v>215</v>
      </c>
      <c r="AM40" s="16">
        <v>8</v>
      </c>
      <c r="AN40" s="16">
        <v>288</v>
      </c>
      <c r="AO40" s="16">
        <v>31</v>
      </c>
      <c r="AP40" s="16">
        <v>26</v>
      </c>
      <c r="AQ40" s="16">
        <v>4</v>
      </c>
      <c r="AR40" s="16">
        <v>397</v>
      </c>
      <c r="AS40" s="16">
        <v>98</v>
      </c>
      <c r="AT40" s="16">
        <v>1121</v>
      </c>
      <c r="AU40" s="16">
        <v>7420</v>
      </c>
      <c r="AV40" s="16">
        <v>1103</v>
      </c>
      <c r="AW40" s="16">
        <v>55</v>
      </c>
      <c r="AX40" s="16">
        <v>3754</v>
      </c>
      <c r="AY40" s="16">
        <v>66</v>
      </c>
      <c r="AZ40" s="16">
        <v>9</v>
      </c>
      <c r="BA40" s="16">
        <v>1831</v>
      </c>
      <c r="BB40" s="16">
        <v>2531</v>
      </c>
      <c r="BC40" s="16">
        <v>1972</v>
      </c>
      <c r="BD40" s="16">
        <v>2087</v>
      </c>
      <c r="BE40" s="16">
        <v>3387</v>
      </c>
      <c r="BF40" s="16">
        <v>2085</v>
      </c>
      <c r="BG40" s="16">
        <v>54</v>
      </c>
      <c r="BH40" s="16">
        <v>890</v>
      </c>
      <c r="BI40" s="26">
        <v>1073</v>
      </c>
      <c r="BJ40" s="16">
        <v>1601</v>
      </c>
      <c r="BK40" s="16">
        <v>160</v>
      </c>
      <c r="BL40" s="16">
        <v>386</v>
      </c>
      <c r="BM40" s="16">
        <v>1003</v>
      </c>
      <c r="BN40" s="16">
        <v>3</v>
      </c>
      <c r="BO40" s="16">
        <v>1940</v>
      </c>
    </row>
    <row r="41" spans="1:67" s="5" customFormat="1" ht="21.9" customHeight="1" x14ac:dyDescent="0.25">
      <c r="A41" s="125"/>
      <c r="C41" s="47" t="s">
        <v>76</v>
      </c>
      <c r="D41" s="48"/>
      <c r="E41" s="16">
        <f t="shared" si="1"/>
        <v>156</v>
      </c>
      <c r="F41" s="26">
        <v>0</v>
      </c>
      <c r="G41" s="26">
        <v>2</v>
      </c>
      <c r="H41" s="26">
        <v>0</v>
      </c>
      <c r="I41" s="26">
        <v>0</v>
      </c>
      <c r="J41" s="26">
        <v>0</v>
      </c>
      <c r="K41" s="26">
        <v>2</v>
      </c>
      <c r="L41" s="26">
        <v>7</v>
      </c>
      <c r="M41" s="26">
        <v>0</v>
      </c>
      <c r="N41" s="26">
        <v>0</v>
      </c>
      <c r="O41" s="26">
        <v>0</v>
      </c>
      <c r="P41" s="26">
        <v>0</v>
      </c>
      <c r="Q41" s="26">
        <v>2</v>
      </c>
      <c r="R41" s="26">
        <v>1</v>
      </c>
      <c r="S41" s="26">
        <v>3</v>
      </c>
      <c r="T41" s="26">
        <v>1</v>
      </c>
      <c r="U41" s="16">
        <v>5</v>
      </c>
      <c r="V41" s="26">
        <v>1</v>
      </c>
      <c r="W41" s="26">
        <v>5</v>
      </c>
      <c r="X41" s="26">
        <v>2</v>
      </c>
      <c r="Y41" s="26">
        <v>12</v>
      </c>
      <c r="Z41" s="16">
        <v>4</v>
      </c>
      <c r="AA41" s="26">
        <v>0</v>
      </c>
      <c r="AB41" s="26">
        <v>0</v>
      </c>
      <c r="AC41" s="16">
        <v>10</v>
      </c>
      <c r="AD41" s="16">
        <v>13</v>
      </c>
      <c r="AE41" s="26">
        <v>12</v>
      </c>
      <c r="AF41" s="16">
        <v>0</v>
      </c>
      <c r="AG41" s="16">
        <v>8</v>
      </c>
      <c r="AH41" s="16">
        <v>1</v>
      </c>
      <c r="AI41" s="26">
        <v>3</v>
      </c>
      <c r="AJ41" s="26">
        <v>0</v>
      </c>
      <c r="AK41" s="98">
        <v>3</v>
      </c>
      <c r="AL41" s="26">
        <v>0</v>
      </c>
      <c r="AM41" s="26">
        <v>0</v>
      </c>
      <c r="AN41" s="16">
        <v>3</v>
      </c>
      <c r="AO41" s="26">
        <v>0</v>
      </c>
      <c r="AP41" s="26">
        <v>0</v>
      </c>
      <c r="AQ41" s="26">
        <v>0</v>
      </c>
      <c r="AR41" s="26">
        <v>1</v>
      </c>
      <c r="AS41" s="26">
        <v>0</v>
      </c>
      <c r="AT41" s="26">
        <v>0</v>
      </c>
      <c r="AU41" s="16">
        <v>10</v>
      </c>
      <c r="AV41" s="26">
        <v>0</v>
      </c>
      <c r="AW41" s="26">
        <v>0</v>
      </c>
      <c r="AX41" s="26">
        <v>2</v>
      </c>
      <c r="AY41" s="26">
        <v>0</v>
      </c>
      <c r="AZ41" s="26">
        <v>0</v>
      </c>
      <c r="BA41" s="26">
        <v>4</v>
      </c>
      <c r="BB41" s="26">
        <v>2</v>
      </c>
      <c r="BC41" s="26">
        <v>0</v>
      </c>
      <c r="BD41" s="26">
        <v>0</v>
      </c>
      <c r="BE41" s="26">
        <v>1</v>
      </c>
      <c r="BF41" s="16">
        <v>3</v>
      </c>
      <c r="BG41" s="26">
        <v>0</v>
      </c>
      <c r="BH41" s="26">
        <v>0</v>
      </c>
      <c r="BI41" s="26">
        <v>0</v>
      </c>
      <c r="BJ41" s="26">
        <v>1</v>
      </c>
      <c r="BK41" s="26">
        <v>0</v>
      </c>
      <c r="BL41" s="26">
        <v>0</v>
      </c>
      <c r="BM41" s="26">
        <v>0</v>
      </c>
      <c r="BN41" s="26">
        <v>0</v>
      </c>
      <c r="BO41" s="16">
        <v>32</v>
      </c>
    </row>
    <row r="42" spans="1:67" s="5" customFormat="1" ht="21.9" customHeight="1" x14ac:dyDescent="0.25">
      <c r="A42" s="125" t="s">
        <v>89</v>
      </c>
      <c r="B42" s="4"/>
      <c r="C42" s="47" t="s">
        <v>75</v>
      </c>
      <c r="D42" s="48"/>
      <c r="E42" s="16">
        <f t="shared" si="1"/>
        <v>42431</v>
      </c>
      <c r="F42" s="16">
        <v>721</v>
      </c>
      <c r="G42" s="16">
        <v>596</v>
      </c>
      <c r="H42" s="16">
        <v>21</v>
      </c>
      <c r="I42" s="16">
        <v>84</v>
      </c>
      <c r="J42" s="16">
        <v>67</v>
      </c>
      <c r="K42" s="16">
        <v>829</v>
      </c>
      <c r="L42" s="16">
        <v>306</v>
      </c>
      <c r="M42" s="16">
        <v>53</v>
      </c>
      <c r="N42" s="16">
        <v>230</v>
      </c>
      <c r="O42" s="16">
        <v>115</v>
      </c>
      <c r="P42" s="16">
        <v>1</v>
      </c>
      <c r="Q42" s="16">
        <v>200</v>
      </c>
      <c r="R42" s="16">
        <v>248</v>
      </c>
      <c r="S42" s="16">
        <v>174</v>
      </c>
      <c r="T42" s="16">
        <v>281</v>
      </c>
      <c r="U42" s="16">
        <v>635</v>
      </c>
      <c r="V42" s="16">
        <v>410</v>
      </c>
      <c r="W42" s="16">
        <v>148</v>
      </c>
      <c r="X42" s="16">
        <v>48</v>
      </c>
      <c r="Y42" s="16">
        <v>1420</v>
      </c>
      <c r="Z42" s="16">
        <v>312</v>
      </c>
      <c r="AA42" s="16">
        <v>188</v>
      </c>
      <c r="AB42" s="16">
        <v>55</v>
      </c>
      <c r="AC42" s="16">
        <v>467</v>
      </c>
      <c r="AD42" s="16">
        <v>2510</v>
      </c>
      <c r="AE42" s="16">
        <v>591</v>
      </c>
      <c r="AF42" s="16">
        <v>372</v>
      </c>
      <c r="AG42" s="16">
        <v>459</v>
      </c>
      <c r="AH42" s="16">
        <v>296</v>
      </c>
      <c r="AI42" s="16">
        <v>138</v>
      </c>
      <c r="AJ42" s="16">
        <v>18</v>
      </c>
      <c r="AK42" s="98">
        <v>84</v>
      </c>
      <c r="AL42" s="16">
        <v>17</v>
      </c>
      <c r="AM42" s="16">
        <v>21</v>
      </c>
      <c r="AN42" s="16">
        <v>157</v>
      </c>
      <c r="AO42" s="16">
        <v>44</v>
      </c>
      <c r="AP42" s="16">
        <v>68</v>
      </c>
      <c r="AQ42" s="16">
        <v>644</v>
      </c>
      <c r="AR42" s="16">
        <v>73</v>
      </c>
      <c r="AS42" s="16">
        <v>23</v>
      </c>
      <c r="AT42" s="16">
        <v>234</v>
      </c>
      <c r="AU42" s="16">
        <v>2272</v>
      </c>
      <c r="AV42" s="16">
        <v>193</v>
      </c>
      <c r="AW42" s="16">
        <v>7</v>
      </c>
      <c r="AX42" s="16">
        <v>22058</v>
      </c>
      <c r="AY42" s="16">
        <v>397</v>
      </c>
      <c r="AZ42" s="26">
        <v>118</v>
      </c>
      <c r="BA42" s="16">
        <v>0</v>
      </c>
      <c r="BB42" s="16">
        <v>2</v>
      </c>
      <c r="BC42" s="16">
        <v>16</v>
      </c>
      <c r="BD42" s="16">
        <v>263</v>
      </c>
      <c r="BE42" s="16">
        <v>106</v>
      </c>
      <c r="BF42" s="16">
        <v>291</v>
      </c>
      <c r="BG42" s="16">
        <v>578</v>
      </c>
      <c r="BH42" s="16">
        <v>275</v>
      </c>
      <c r="BI42" s="16">
        <v>227</v>
      </c>
      <c r="BJ42" s="16">
        <v>216</v>
      </c>
      <c r="BK42" s="16">
        <v>117</v>
      </c>
      <c r="BL42" s="16">
        <v>1750</v>
      </c>
      <c r="BM42" s="16">
        <v>21</v>
      </c>
      <c r="BN42" s="16">
        <v>6</v>
      </c>
      <c r="BO42" s="16">
        <v>160</v>
      </c>
    </row>
    <row r="43" spans="1:67" s="5" customFormat="1" ht="21.9" customHeight="1" x14ac:dyDescent="0.25">
      <c r="A43" s="125"/>
      <c r="B43" s="4"/>
      <c r="C43" s="47" t="s">
        <v>76</v>
      </c>
      <c r="D43" s="48"/>
      <c r="E43" s="16">
        <f t="shared" si="1"/>
        <v>160</v>
      </c>
      <c r="F43" s="26">
        <v>0</v>
      </c>
      <c r="G43" s="26">
        <v>8</v>
      </c>
      <c r="H43" s="26">
        <v>0</v>
      </c>
      <c r="I43" s="26">
        <v>0</v>
      </c>
      <c r="J43" s="26">
        <v>0</v>
      </c>
      <c r="K43" s="26">
        <v>3</v>
      </c>
      <c r="L43" s="26">
        <v>1</v>
      </c>
      <c r="M43" s="26">
        <v>0</v>
      </c>
      <c r="N43" s="26">
        <v>2</v>
      </c>
      <c r="O43" s="26">
        <v>2</v>
      </c>
      <c r="P43" s="26">
        <v>0</v>
      </c>
      <c r="Q43" s="26">
        <v>1</v>
      </c>
      <c r="R43" s="26">
        <v>1</v>
      </c>
      <c r="S43" s="26">
        <v>0</v>
      </c>
      <c r="T43" s="26">
        <v>2</v>
      </c>
      <c r="U43" s="16">
        <v>9</v>
      </c>
      <c r="V43" s="26">
        <v>4</v>
      </c>
      <c r="W43" s="16">
        <v>1</v>
      </c>
      <c r="X43" s="16">
        <v>1</v>
      </c>
      <c r="Y43" s="16">
        <v>7</v>
      </c>
      <c r="Z43" s="16">
        <v>1</v>
      </c>
      <c r="AA43" s="26">
        <v>0</v>
      </c>
      <c r="AB43" s="26">
        <v>0</v>
      </c>
      <c r="AC43" s="16">
        <v>4</v>
      </c>
      <c r="AD43" s="16">
        <v>3</v>
      </c>
      <c r="AE43" s="16">
        <v>5</v>
      </c>
      <c r="AF43" s="16">
        <v>2</v>
      </c>
      <c r="AG43" s="26">
        <v>6</v>
      </c>
      <c r="AH43" s="26">
        <v>2</v>
      </c>
      <c r="AI43" s="16">
        <v>8</v>
      </c>
      <c r="AJ43" s="26">
        <v>1</v>
      </c>
      <c r="AK43" s="98">
        <v>1</v>
      </c>
      <c r="AL43" s="26">
        <v>0</v>
      </c>
      <c r="AM43" s="26">
        <v>0</v>
      </c>
      <c r="AN43" s="16">
        <v>9</v>
      </c>
      <c r="AO43" s="16">
        <v>0</v>
      </c>
      <c r="AP43" s="26">
        <v>0</v>
      </c>
      <c r="AQ43" s="26">
        <v>0</v>
      </c>
      <c r="AR43" s="16">
        <v>19</v>
      </c>
      <c r="AS43" s="16">
        <v>1</v>
      </c>
      <c r="AT43" s="26">
        <v>0</v>
      </c>
      <c r="AU43" s="16">
        <v>7</v>
      </c>
      <c r="AV43" s="26">
        <v>3</v>
      </c>
      <c r="AW43" s="26">
        <v>1</v>
      </c>
      <c r="AX43" s="26">
        <v>24</v>
      </c>
      <c r="AY43" s="26">
        <v>0</v>
      </c>
      <c r="AZ43" s="26">
        <v>0</v>
      </c>
      <c r="BA43" s="26">
        <v>0</v>
      </c>
      <c r="BB43" s="26">
        <v>0</v>
      </c>
      <c r="BC43" s="26">
        <v>0</v>
      </c>
      <c r="BD43" s="26">
        <v>0</v>
      </c>
      <c r="BE43" s="16">
        <v>0</v>
      </c>
      <c r="BF43" s="16">
        <v>2</v>
      </c>
      <c r="BG43" s="16">
        <v>1</v>
      </c>
      <c r="BH43" s="16">
        <v>0</v>
      </c>
      <c r="BI43" s="26">
        <v>1</v>
      </c>
      <c r="BJ43" s="16">
        <v>3</v>
      </c>
      <c r="BK43" s="26">
        <v>12</v>
      </c>
      <c r="BL43" s="16">
        <v>0</v>
      </c>
      <c r="BM43" s="16">
        <v>0</v>
      </c>
      <c r="BN43" s="26">
        <v>0</v>
      </c>
      <c r="BO43" s="16">
        <v>2</v>
      </c>
    </row>
    <row r="44" spans="1:67" s="5" customFormat="1" ht="21.9" customHeight="1" x14ac:dyDescent="0.25">
      <c r="A44" s="125" t="s">
        <v>90</v>
      </c>
      <c r="B44" s="4"/>
      <c r="C44" s="47" t="s">
        <v>75</v>
      </c>
      <c r="D44" s="48"/>
      <c r="E44" s="16">
        <f t="shared" si="1"/>
        <v>18838</v>
      </c>
      <c r="F44" s="16">
        <v>307</v>
      </c>
      <c r="G44" s="16">
        <v>105</v>
      </c>
      <c r="H44" s="16">
        <v>37</v>
      </c>
      <c r="I44" s="16">
        <v>185</v>
      </c>
      <c r="J44" s="16">
        <v>15</v>
      </c>
      <c r="K44" s="16">
        <v>750</v>
      </c>
      <c r="L44" s="16">
        <v>473</v>
      </c>
      <c r="M44" s="16">
        <v>67</v>
      </c>
      <c r="N44" s="16">
        <v>50</v>
      </c>
      <c r="O44" s="16">
        <v>26</v>
      </c>
      <c r="P44" s="16">
        <v>0</v>
      </c>
      <c r="Q44" s="16">
        <v>152</v>
      </c>
      <c r="R44" s="16">
        <v>85</v>
      </c>
      <c r="S44" s="16">
        <v>101</v>
      </c>
      <c r="T44" s="16">
        <v>247</v>
      </c>
      <c r="U44" s="16">
        <v>707</v>
      </c>
      <c r="V44" s="16">
        <v>69</v>
      </c>
      <c r="W44" s="16">
        <v>142</v>
      </c>
      <c r="X44" s="16">
        <v>78</v>
      </c>
      <c r="Y44" s="16">
        <v>160</v>
      </c>
      <c r="Z44" s="16">
        <v>145</v>
      </c>
      <c r="AA44" s="16">
        <v>133</v>
      </c>
      <c r="AB44" s="16">
        <v>126</v>
      </c>
      <c r="AC44" s="16">
        <v>142</v>
      </c>
      <c r="AD44" s="16">
        <v>1463</v>
      </c>
      <c r="AE44" s="16">
        <v>470</v>
      </c>
      <c r="AF44" s="16">
        <v>310</v>
      </c>
      <c r="AG44" s="16">
        <v>1215</v>
      </c>
      <c r="AH44" s="16">
        <v>504</v>
      </c>
      <c r="AI44" s="16">
        <v>98</v>
      </c>
      <c r="AJ44" s="16">
        <v>2</v>
      </c>
      <c r="AK44" s="98">
        <v>79</v>
      </c>
      <c r="AL44" s="16">
        <v>17</v>
      </c>
      <c r="AM44" s="16">
        <v>9</v>
      </c>
      <c r="AN44" s="16">
        <v>83</v>
      </c>
      <c r="AO44" s="16">
        <v>4</v>
      </c>
      <c r="AP44" s="16">
        <v>10</v>
      </c>
      <c r="AQ44" s="16">
        <v>1</v>
      </c>
      <c r="AR44" s="16">
        <v>42</v>
      </c>
      <c r="AS44" s="16">
        <v>28</v>
      </c>
      <c r="AT44" s="16">
        <v>8</v>
      </c>
      <c r="AU44" s="16">
        <v>839</v>
      </c>
      <c r="AV44" s="16">
        <v>55</v>
      </c>
      <c r="AW44" s="16">
        <v>34</v>
      </c>
      <c r="AX44" s="16">
        <v>4799</v>
      </c>
      <c r="AY44" s="16">
        <v>128</v>
      </c>
      <c r="AZ44" s="16">
        <v>25</v>
      </c>
      <c r="BA44" s="26">
        <v>3</v>
      </c>
      <c r="BB44" s="26">
        <v>0</v>
      </c>
      <c r="BC44" s="26">
        <v>0</v>
      </c>
      <c r="BD44" s="16">
        <v>1542</v>
      </c>
      <c r="BE44" s="16">
        <v>210</v>
      </c>
      <c r="BF44" s="16">
        <v>419</v>
      </c>
      <c r="BG44" s="26">
        <v>122</v>
      </c>
      <c r="BH44" s="16">
        <v>49</v>
      </c>
      <c r="BI44" s="16">
        <v>166</v>
      </c>
      <c r="BJ44" s="16">
        <v>93</v>
      </c>
      <c r="BK44" s="16">
        <v>96</v>
      </c>
      <c r="BL44" s="16">
        <v>345</v>
      </c>
      <c r="BM44" s="16">
        <v>12</v>
      </c>
      <c r="BN44" s="26">
        <v>2</v>
      </c>
      <c r="BO44" s="16">
        <v>1254</v>
      </c>
    </row>
    <row r="45" spans="1:67" s="5" customFormat="1" ht="21.9" customHeight="1" x14ac:dyDescent="0.25">
      <c r="A45" s="125"/>
      <c r="B45" s="4"/>
      <c r="C45" s="47" t="s">
        <v>76</v>
      </c>
      <c r="D45" s="48"/>
      <c r="E45" s="16">
        <f t="shared" si="1"/>
        <v>64</v>
      </c>
      <c r="F45" s="26">
        <v>0</v>
      </c>
      <c r="G45" s="26">
        <v>0</v>
      </c>
      <c r="H45" s="26">
        <v>0</v>
      </c>
      <c r="I45" s="26">
        <v>0</v>
      </c>
      <c r="J45" s="26">
        <v>0</v>
      </c>
      <c r="K45" s="26">
        <v>1</v>
      </c>
      <c r="L45" s="26">
        <v>22</v>
      </c>
      <c r="M45" s="26">
        <v>0</v>
      </c>
      <c r="N45" s="26">
        <v>0</v>
      </c>
      <c r="O45" s="26">
        <v>0</v>
      </c>
      <c r="P45" s="26">
        <v>0</v>
      </c>
      <c r="Q45" s="26">
        <v>0</v>
      </c>
      <c r="R45" s="26">
        <v>0</v>
      </c>
      <c r="S45" s="26">
        <v>0</v>
      </c>
      <c r="T45" s="26">
        <v>0</v>
      </c>
      <c r="U45" s="26">
        <v>0</v>
      </c>
      <c r="V45" s="26">
        <v>0</v>
      </c>
      <c r="W45" s="26">
        <v>1</v>
      </c>
      <c r="X45" s="26">
        <v>0</v>
      </c>
      <c r="Y45" s="26">
        <v>0</v>
      </c>
      <c r="Z45" s="26">
        <v>1</v>
      </c>
      <c r="AA45" s="26">
        <v>0</v>
      </c>
      <c r="AB45" s="26">
        <v>2</v>
      </c>
      <c r="AC45" s="26">
        <v>0</v>
      </c>
      <c r="AD45" s="26">
        <v>0</v>
      </c>
      <c r="AE45" s="26">
        <v>0</v>
      </c>
      <c r="AF45" s="26">
        <v>0</v>
      </c>
      <c r="AG45" s="26">
        <v>8</v>
      </c>
      <c r="AH45" s="26">
        <v>0</v>
      </c>
      <c r="AI45" s="26">
        <v>0</v>
      </c>
      <c r="AJ45" s="26">
        <v>0</v>
      </c>
      <c r="AK45" s="99">
        <v>4</v>
      </c>
      <c r="AL45" s="26">
        <v>0</v>
      </c>
      <c r="AM45" s="26">
        <v>0</v>
      </c>
      <c r="AN45" s="26">
        <v>0</v>
      </c>
      <c r="AO45" s="26">
        <v>0</v>
      </c>
      <c r="AP45" s="26">
        <v>0</v>
      </c>
      <c r="AQ45" s="26">
        <v>0</v>
      </c>
      <c r="AR45" s="26">
        <v>0</v>
      </c>
      <c r="AS45" s="26">
        <v>0</v>
      </c>
      <c r="AT45" s="26">
        <v>0</v>
      </c>
      <c r="AU45" s="26">
        <v>2</v>
      </c>
      <c r="AV45" s="26">
        <v>0</v>
      </c>
      <c r="AW45" s="26">
        <v>0</v>
      </c>
      <c r="AX45" s="26">
        <v>0</v>
      </c>
      <c r="AY45" s="26">
        <v>0</v>
      </c>
      <c r="AZ45" s="26">
        <v>0</v>
      </c>
      <c r="BA45" s="26">
        <v>0</v>
      </c>
      <c r="BB45" s="26">
        <v>0</v>
      </c>
      <c r="BC45" s="26">
        <v>0</v>
      </c>
      <c r="BD45" s="26">
        <v>0</v>
      </c>
      <c r="BE45" s="26">
        <v>0</v>
      </c>
      <c r="BF45" s="26">
        <v>0</v>
      </c>
      <c r="BG45" s="26">
        <v>0</v>
      </c>
      <c r="BH45" s="26">
        <v>1</v>
      </c>
      <c r="BI45" s="26">
        <v>0</v>
      </c>
      <c r="BJ45" s="26">
        <v>0</v>
      </c>
      <c r="BK45" s="26">
        <v>0</v>
      </c>
      <c r="BL45" s="26">
        <v>0</v>
      </c>
      <c r="BM45" s="26">
        <v>0</v>
      </c>
      <c r="BN45" s="26">
        <v>0</v>
      </c>
      <c r="BO45" s="26">
        <v>22</v>
      </c>
    </row>
    <row r="46" spans="1:67" s="5" customFormat="1" ht="21.9" customHeight="1" x14ac:dyDescent="0.25">
      <c r="A46" s="125" t="s">
        <v>91</v>
      </c>
      <c r="B46" s="4"/>
      <c r="C46" s="47" t="s">
        <v>75</v>
      </c>
      <c r="D46" s="48"/>
      <c r="E46" s="16">
        <f t="shared" si="1"/>
        <v>38379</v>
      </c>
      <c r="F46" s="16">
        <v>509</v>
      </c>
      <c r="G46" s="16">
        <v>572</v>
      </c>
      <c r="H46" s="16">
        <v>327</v>
      </c>
      <c r="I46" s="16">
        <v>40</v>
      </c>
      <c r="J46" s="16">
        <v>123</v>
      </c>
      <c r="K46" s="16">
        <v>1067</v>
      </c>
      <c r="L46" s="16">
        <v>399</v>
      </c>
      <c r="M46" s="16">
        <v>534</v>
      </c>
      <c r="N46" s="16">
        <v>388</v>
      </c>
      <c r="O46" s="16">
        <v>22</v>
      </c>
      <c r="P46" s="16">
        <v>12</v>
      </c>
      <c r="Q46" s="16">
        <v>545</v>
      </c>
      <c r="R46" s="16">
        <v>1006</v>
      </c>
      <c r="S46" s="16">
        <v>724</v>
      </c>
      <c r="T46" s="16">
        <v>305</v>
      </c>
      <c r="U46" s="16">
        <v>367</v>
      </c>
      <c r="V46" s="16">
        <v>450</v>
      </c>
      <c r="W46" s="16">
        <v>92</v>
      </c>
      <c r="X46" s="16">
        <v>105</v>
      </c>
      <c r="Y46" s="16">
        <v>1753</v>
      </c>
      <c r="Z46" s="16">
        <v>305</v>
      </c>
      <c r="AA46" s="16">
        <v>205</v>
      </c>
      <c r="AB46" s="16">
        <v>324</v>
      </c>
      <c r="AC46" s="16">
        <v>573</v>
      </c>
      <c r="AD46" s="16">
        <v>3731</v>
      </c>
      <c r="AE46" s="16">
        <v>1624</v>
      </c>
      <c r="AF46" s="16">
        <v>540</v>
      </c>
      <c r="AG46" s="16">
        <v>1559</v>
      </c>
      <c r="AH46" s="16">
        <v>266</v>
      </c>
      <c r="AI46" s="16">
        <v>933</v>
      </c>
      <c r="AJ46" s="16">
        <v>91</v>
      </c>
      <c r="AK46" s="98">
        <v>144</v>
      </c>
      <c r="AL46" s="16">
        <v>157</v>
      </c>
      <c r="AM46" s="16">
        <v>234</v>
      </c>
      <c r="AN46" s="16">
        <v>778</v>
      </c>
      <c r="AO46" s="16">
        <v>61</v>
      </c>
      <c r="AP46" s="16">
        <v>50</v>
      </c>
      <c r="AQ46" s="16">
        <v>171</v>
      </c>
      <c r="AR46" s="16">
        <v>71</v>
      </c>
      <c r="AS46" s="16">
        <v>402</v>
      </c>
      <c r="AT46" s="16">
        <v>2546</v>
      </c>
      <c r="AU46" s="16">
        <v>3426</v>
      </c>
      <c r="AV46" s="16">
        <v>1661</v>
      </c>
      <c r="AW46" s="16">
        <v>150</v>
      </c>
      <c r="AX46" s="16">
        <v>2207</v>
      </c>
      <c r="AY46" s="16">
        <v>383</v>
      </c>
      <c r="AZ46" s="16">
        <v>26</v>
      </c>
      <c r="BA46" s="16">
        <v>34</v>
      </c>
      <c r="BB46" s="26">
        <v>15</v>
      </c>
      <c r="BC46" s="16">
        <v>216</v>
      </c>
      <c r="BD46" s="16">
        <v>1235</v>
      </c>
      <c r="BE46" s="16">
        <v>1108</v>
      </c>
      <c r="BF46" s="16">
        <v>401</v>
      </c>
      <c r="BG46" s="16">
        <v>214</v>
      </c>
      <c r="BH46" s="16">
        <v>516</v>
      </c>
      <c r="BI46" s="16">
        <v>544</v>
      </c>
      <c r="BJ46" s="16">
        <v>328</v>
      </c>
      <c r="BK46" s="16">
        <v>346</v>
      </c>
      <c r="BL46" s="16">
        <v>410</v>
      </c>
      <c r="BM46" s="16">
        <v>750</v>
      </c>
      <c r="BN46" s="16">
        <v>103</v>
      </c>
      <c r="BO46" s="16">
        <v>201</v>
      </c>
    </row>
    <row r="47" spans="1:67" s="5" customFormat="1" ht="21.9" customHeight="1" x14ac:dyDescent="0.25">
      <c r="A47" s="125"/>
      <c r="B47" s="4"/>
      <c r="C47" s="47" t="s">
        <v>76</v>
      </c>
      <c r="D47" s="48"/>
      <c r="E47" s="16">
        <f t="shared" si="1"/>
        <v>239</v>
      </c>
      <c r="F47" s="26">
        <v>0</v>
      </c>
      <c r="G47" s="26">
        <v>0</v>
      </c>
      <c r="H47" s="26">
        <v>0</v>
      </c>
      <c r="I47" s="26">
        <v>0</v>
      </c>
      <c r="J47" s="26">
        <v>0</v>
      </c>
      <c r="K47" s="26">
        <v>0</v>
      </c>
      <c r="L47" s="26">
        <v>0</v>
      </c>
      <c r="M47" s="26">
        <v>0</v>
      </c>
      <c r="N47" s="26">
        <v>0</v>
      </c>
      <c r="O47" s="26">
        <v>0</v>
      </c>
      <c r="P47" s="26">
        <v>0</v>
      </c>
      <c r="Q47" s="26">
        <v>0</v>
      </c>
      <c r="R47" s="26">
        <v>104</v>
      </c>
      <c r="S47" s="26">
        <v>0</v>
      </c>
      <c r="T47" s="26">
        <v>0</v>
      </c>
      <c r="U47" s="16">
        <v>0</v>
      </c>
      <c r="V47" s="16">
        <v>0</v>
      </c>
      <c r="W47" s="26">
        <v>1</v>
      </c>
      <c r="X47" s="26">
        <v>0</v>
      </c>
      <c r="Y47" s="26">
        <v>1</v>
      </c>
      <c r="Z47" s="26">
        <v>1</v>
      </c>
      <c r="AA47" s="26">
        <v>0</v>
      </c>
      <c r="AB47" s="16">
        <v>14</v>
      </c>
      <c r="AC47" s="26">
        <v>2</v>
      </c>
      <c r="AD47" s="16">
        <v>4</v>
      </c>
      <c r="AE47" s="26">
        <v>3</v>
      </c>
      <c r="AF47" s="26">
        <v>0</v>
      </c>
      <c r="AG47" s="16">
        <v>6</v>
      </c>
      <c r="AH47" s="26">
        <v>0</v>
      </c>
      <c r="AI47" s="26">
        <v>0</v>
      </c>
      <c r="AJ47" s="26">
        <v>0</v>
      </c>
      <c r="AK47" s="98">
        <v>4</v>
      </c>
      <c r="AL47" s="26">
        <v>0</v>
      </c>
      <c r="AM47" s="26">
        <v>0</v>
      </c>
      <c r="AN47" s="26">
        <v>0</v>
      </c>
      <c r="AO47" s="16">
        <v>0</v>
      </c>
      <c r="AP47" s="26">
        <v>0</v>
      </c>
      <c r="AQ47" s="26">
        <v>0</v>
      </c>
      <c r="AR47" s="26">
        <v>2</v>
      </c>
      <c r="AS47" s="16">
        <v>5</v>
      </c>
      <c r="AT47" s="26">
        <v>0</v>
      </c>
      <c r="AU47" s="16">
        <v>26</v>
      </c>
      <c r="AV47" s="16">
        <v>0</v>
      </c>
      <c r="AW47" s="26">
        <v>0</v>
      </c>
      <c r="AX47" s="16">
        <v>42</v>
      </c>
      <c r="AY47" s="26">
        <v>0</v>
      </c>
      <c r="AZ47" s="26">
        <v>0</v>
      </c>
      <c r="BA47" s="26">
        <v>0</v>
      </c>
      <c r="BB47" s="26">
        <v>0</v>
      </c>
      <c r="BC47" s="26">
        <v>0</v>
      </c>
      <c r="BD47" s="26">
        <v>0</v>
      </c>
      <c r="BE47" s="26">
        <v>1</v>
      </c>
      <c r="BF47" s="26">
        <v>6</v>
      </c>
      <c r="BG47" s="16">
        <v>0</v>
      </c>
      <c r="BH47" s="26">
        <v>0</v>
      </c>
      <c r="BI47" s="16">
        <v>0</v>
      </c>
      <c r="BJ47" s="26">
        <v>0</v>
      </c>
      <c r="BK47" s="26">
        <v>0</v>
      </c>
      <c r="BL47" s="26">
        <v>0</v>
      </c>
      <c r="BM47" s="26">
        <v>0</v>
      </c>
      <c r="BN47" s="26">
        <v>0</v>
      </c>
      <c r="BO47" s="16">
        <v>17</v>
      </c>
    </row>
    <row r="48" spans="1:67" s="5" customFormat="1" ht="21.9" customHeight="1" x14ac:dyDescent="0.25">
      <c r="A48" s="125" t="s">
        <v>257</v>
      </c>
      <c r="B48" s="4"/>
      <c r="C48" s="47" t="s">
        <v>142</v>
      </c>
      <c r="D48" s="48"/>
      <c r="E48" s="16">
        <f t="shared" si="1"/>
        <v>19622</v>
      </c>
      <c r="F48" s="16">
        <v>33</v>
      </c>
      <c r="G48" s="16">
        <v>58</v>
      </c>
      <c r="H48" s="16">
        <v>72</v>
      </c>
      <c r="I48" s="16">
        <v>25</v>
      </c>
      <c r="J48" s="16">
        <v>7</v>
      </c>
      <c r="K48" s="16">
        <v>945</v>
      </c>
      <c r="L48" s="16">
        <v>165</v>
      </c>
      <c r="M48" s="16">
        <v>22</v>
      </c>
      <c r="N48" s="16">
        <v>187</v>
      </c>
      <c r="O48" s="16">
        <v>68</v>
      </c>
      <c r="P48" s="16">
        <v>0</v>
      </c>
      <c r="Q48" s="16">
        <v>72</v>
      </c>
      <c r="R48" s="16">
        <v>195</v>
      </c>
      <c r="S48" s="16">
        <v>74</v>
      </c>
      <c r="T48" s="16">
        <v>354</v>
      </c>
      <c r="U48" s="16">
        <v>213</v>
      </c>
      <c r="V48" s="16">
        <v>69</v>
      </c>
      <c r="W48" s="16">
        <v>31</v>
      </c>
      <c r="X48" s="16">
        <v>235</v>
      </c>
      <c r="Y48" s="16">
        <v>91</v>
      </c>
      <c r="Z48" s="16">
        <v>726</v>
      </c>
      <c r="AA48" s="16">
        <v>34</v>
      </c>
      <c r="AB48" s="16">
        <v>34</v>
      </c>
      <c r="AC48" s="16">
        <v>502</v>
      </c>
      <c r="AD48" s="16">
        <v>3129</v>
      </c>
      <c r="AE48" s="16">
        <v>819</v>
      </c>
      <c r="AF48" s="16">
        <v>173</v>
      </c>
      <c r="AG48" s="16">
        <v>1192</v>
      </c>
      <c r="AH48" s="16">
        <v>33</v>
      </c>
      <c r="AI48" s="16">
        <v>132</v>
      </c>
      <c r="AJ48" s="16">
        <v>5</v>
      </c>
      <c r="AK48" s="98">
        <v>103</v>
      </c>
      <c r="AL48" s="16">
        <v>8</v>
      </c>
      <c r="AM48" s="16">
        <v>7</v>
      </c>
      <c r="AN48" s="16">
        <v>304</v>
      </c>
      <c r="AO48" s="16">
        <v>44</v>
      </c>
      <c r="AP48" s="16">
        <v>80</v>
      </c>
      <c r="AQ48" s="16">
        <v>141</v>
      </c>
      <c r="AR48" s="16">
        <v>13</v>
      </c>
      <c r="AS48" s="16">
        <v>11</v>
      </c>
      <c r="AT48" s="16">
        <v>25</v>
      </c>
      <c r="AU48" s="16">
        <v>342</v>
      </c>
      <c r="AV48" s="16">
        <v>24</v>
      </c>
      <c r="AW48" s="16">
        <v>32</v>
      </c>
      <c r="AX48" s="16">
        <v>2716</v>
      </c>
      <c r="AY48" s="16">
        <v>123</v>
      </c>
      <c r="AZ48" s="16">
        <v>0</v>
      </c>
      <c r="BA48" s="26">
        <v>0</v>
      </c>
      <c r="BB48" s="26">
        <v>0</v>
      </c>
      <c r="BC48" s="26">
        <v>0</v>
      </c>
      <c r="BD48" s="16">
        <v>540</v>
      </c>
      <c r="BE48" s="16">
        <v>96</v>
      </c>
      <c r="BF48" s="16">
        <v>700</v>
      </c>
      <c r="BG48" s="16">
        <v>1190</v>
      </c>
      <c r="BH48" s="16">
        <v>311</v>
      </c>
      <c r="BI48" s="16">
        <v>176</v>
      </c>
      <c r="BJ48" s="16">
        <v>795</v>
      </c>
      <c r="BK48" s="16">
        <v>282</v>
      </c>
      <c r="BL48" s="16">
        <v>1856</v>
      </c>
      <c r="BM48" s="16">
        <v>2</v>
      </c>
      <c r="BN48" s="16">
        <v>0</v>
      </c>
      <c r="BO48" s="16">
        <v>6</v>
      </c>
    </row>
    <row r="49" spans="1:67" s="5" customFormat="1" ht="21.9" customHeight="1" x14ac:dyDescent="0.25">
      <c r="A49" s="125"/>
      <c r="B49" s="4"/>
      <c r="C49" s="47" t="s">
        <v>76</v>
      </c>
      <c r="D49" s="48"/>
      <c r="E49" s="16">
        <f t="shared" si="1"/>
        <v>179</v>
      </c>
      <c r="F49" s="26">
        <v>0</v>
      </c>
      <c r="G49" s="26">
        <v>0</v>
      </c>
      <c r="H49" s="26">
        <v>1</v>
      </c>
      <c r="I49" s="26">
        <v>0</v>
      </c>
      <c r="J49" s="26">
        <v>0</v>
      </c>
      <c r="K49" s="26">
        <v>1</v>
      </c>
      <c r="L49" s="26">
        <v>1</v>
      </c>
      <c r="M49" s="26">
        <v>0</v>
      </c>
      <c r="N49" s="26">
        <v>0</v>
      </c>
      <c r="O49" s="26">
        <v>1</v>
      </c>
      <c r="P49" s="26">
        <v>0</v>
      </c>
      <c r="Q49" s="26">
        <v>0</v>
      </c>
      <c r="R49" s="26">
        <v>3</v>
      </c>
      <c r="S49" s="26">
        <v>1</v>
      </c>
      <c r="T49" s="16">
        <v>0</v>
      </c>
      <c r="U49" s="16">
        <v>5</v>
      </c>
      <c r="V49" s="16">
        <v>0</v>
      </c>
      <c r="W49" s="16">
        <v>4</v>
      </c>
      <c r="X49" s="16">
        <v>7</v>
      </c>
      <c r="Y49" s="16">
        <v>0</v>
      </c>
      <c r="Z49" s="16">
        <v>0</v>
      </c>
      <c r="AA49" s="16">
        <v>0</v>
      </c>
      <c r="AB49" s="16">
        <v>1</v>
      </c>
      <c r="AC49" s="16">
        <v>6</v>
      </c>
      <c r="AD49" s="16">
        <v>11</v>
      </c>
      <c r="AE49" s="16">
        <v>23</v>
      </c>
      <c r="AF49" s="16">
        <v>6</v>
      </c>
      <c r="AG49" s="16">
        <v>9</v>
      </c>
      <c r="AH49" s="16">
        <v>3</v>
      </c>
      <c r="AI49" s="16">
        <v>1</v>
      </c>
      <c r="AJ49" s="26">
        <v>0</v>
      </c>
      <c r="AK49" s="98">
        <v>2</v>
      </c>
      <c r="AL49" s="26">
        <v>0</v>
      </c>
      <c r="AM49" s="26">
        <v>0</v>
      </c>
      <c r="AN49" s="16">
        <v>11</v>
      </c>
      <c r="AO49" s="16">
        <v>0</v>
      </c>
      <c r="AP49" s="26">
        <v>0</v>
      </c>
      <c r="AQ49" s="16">
        <v>0</v>
      </c>
      <c r="AR49" s="16">
        <v>2</v>
      </c>
      <c r="AS49" s="16">
        <v>0</v>
      </c>
      <c r="AT49" s="26">
        <v>0</v>
      </c>
      <c r="AU49" s="16">
        <v>3</v>
      </c>
      <c r="AV49" s="26">
        <v>0</v>
      </c>
      <c r="AW49" s="26">
        <v>0</v>
      </c>
      <c r="AX49" s="16">
        <v>7</v>
      </c>
      <c r="AY49" s="26">
        <v>4</v>
      </c>
      <c r="AZ49" s="26">
        <v>0</v>
      </c>
      <c r="BA49" s="26">
        <v>0</v>
      </c>
      <c r="BB49" s="26">
        <v>0</v>
      </c>
      <c r="BC49" s="26">
        <v>0</v>
      </c>
      <c r="BD49" s="26">
        <v>1</v>
      </c>
      <c r="BE49" s="16">
        <v>4</v>
      </c>
      <c r="BF49" s="16">
        <v>14</v>
      </c>
      <c r="BG49" s="16">
        <v>43</v>
      </c>
      <c r="BH49" s="26">
        <v>0</v>
      </c>
      <c r="BI49" s="16">
        <v>2</v>
      </c>
      <c r="BJ49" s="26">
        <v>0</v>
      </c>
      <c r="BK49" s="26">
        <v>2</v>
      </c>
      <c r="BL49" s="16">
        <v>0</v>
      </c>
      <c r="BM49" s="26">
        <v>0</v>
      </c>
      <c r="BN49" s="26">
        <v>0</v>
      </c>
      <c r="BO49" s="26">
        <v>0</v>
      </c>
    </row>
    <row r="50" spans="1:67" s="5" customFormat="1" ht="21.9" customHeight="1" x14ac:dyDescent="0.25">
      <c r="A50" s="125" t="s">
        <v>93</v>
      </c>
      <c r="C50" s="47" t="s">
        <v>75</v>
      </c>
      <c r="D50" s="48"/>
      <c r="E50" s="16">
        <f t="shared" si="1"/>
        <v>36757</v>
      </c>
      <c r="F50" s="16">
        <v>1725</v>
      </c>
      <c r="G50" s="16">
        <v>246</v>
      </c>
      <c r="H50" s="16">
        <v>40</v>
      </c>
      <c r="I50" s="16">
        <v>283</v>
      </c>
      <c r="J50" s="16">
        <v>45</v>
      </c>
      <c r="K50" s="16">
        <v>316</v>
      </c>
      <c r="L50" s="16">
        <v>543</v>
      </c>
      <c r="M50" s="16">
        <v>210</v>
      </c>
      <c r="N50" s="16">
        <v>495</v>
      </c>
      <c r="O50" s="16">
        <v>54</v>
      </c>
      <c r="P50" s="16">
        <v>0</v>
      </c>
      <c r="Q50" s="16">
        <v>130</v>
      </c>
      <c r="R50" s="16">
        <v>168</v>
      </c>
      <c r="S50" s="16">
        <v>172</v>
      </c>
      <c r="T50" s="16">
        <v>149</v>
      </c>
      <c r="U50" s="16">
        <v>1970</v>
      </c>
      <c r="V50" s="16">
        <v>462</v>
      </c>
      <c r="W50" s="16">
        <v>665</v>
      </c>
      <c r="X50" s="16">
        <v>33</v>
      </c>
      <c r="Y50" s="16">
        <v>1235</v>
      </c>
      <c r="Z50" s="16">
        <v>1620</v>
      </c>
      <c r="AA50" s="16">
        <v>227</v>
      </c>
      <c r="AB50" s="16">
        <v>53</v>
      </c>
      <c r="AC50" s="16">
        <v>1799</v>
      </c>
      <c r="AD50" s="16">
        <v>3872</v>
      </c>
      <c r="AE50" s="16">
        <v>1933</v>
      </c>
      <c r="AF50" s="16">
        <v>59</v>
      </c>
      <c r="AG50" s="16">
        <v>1393</v>
      </c>
      <c r="AH50" s="16">
        <v>50</v>
      </c>
      <c r="AI50" s="16">
        <v>912</v>
      </c>
      <c r="AJ50" s="16">
        <v>0</v>
      </c>
      <c r="AK50" s="98">
        <v>102</v>
      </c>
      <c r="AL50" s="16">
        <v>81</v>
      </c>
      <c r="AM50" s="16">
        <v>46</v>
      </c>
      <c r="AN50" s="16">
        <v>750</v>
      </c>
      <c r="AO50" s="16">
        <v>3</v>
      </c>
      <c r="AP50" s="16">
        <v>0</v>
      </c>
      <c r="AQ50" s="16">
        <v>77</v>
      </c>
      <c r="AR50" s="16">
        <v>83</v>
      </c>
      <c r="AS50" s="16">
        <v>55</v>
      </c>
      <c r="AT50" s="16">
        <v>409</v>
      </c>
      <c r="AU50" s="16">
        <v>3911</v>
      </c>
      <c r="AV50" s="16">
        <v>949</v>
      </c>
      <c r="AW50" s="16">
        <v>7</v>
      </c>
      <c r="AX50" s="16">
        <v>668</v>
      </c>
      <c r="AY50" s="16">
        <v>669</v>
      </c>
      <c r="AZ50" s="16">
        <v>111</v>
      </c>
      <c r="BA50" s="16">
        <v>151</v>
      </c>
      <c r="BB50" s="16">
        <v>28</v>
      </c>
      <c r="BC50" s="16">
        <v>119</v>
      </c>
      <c r="BD50" s="16">
        <v>642</v>
      </c>
      <c r="BE50" s="16">
        <v>979</v>
      </c>
      <c r="BF50" s="16">
        <v>768</v>
      </c>
      <c r="BG50" s="16">
        <v>990</v>
      </c>
      <c r="BH50" s="16">
        <v>643</v>
      </c>
      <c r="BI50" s="16">
        <v>107</v>
      </c>
      <c r="BJ50" s="16">
        <v>1411</v>
      </c>
      <c r="BK50" s="16">
        <v>887</v>
      </c>
      <c r="BL50" s="16">
        <v>1054</v>
      </c>
      <c r="BM50" s="16">
        <v>32</v>
      </c>
      <c r="BN50" s="16">
        <v>0</v>
      </c>
      <c r="BO50" s="16">
        <v>166</v>
      </c>
    </row>
    <row r="51" spans="1:67" s="5" customFormat="1" ht="21.9" customHeight="1" x14ac:dyDescent="0.25">
      <c r="A51" s="125"/>
      <c r="C51" s="47" t="s">
        <v>76</v>
      </c>
      <c r="D51" s="48"/>
      <c r="E51" s="16">
        <f t="shared" si="1"/>
        <v>286</v>
      </c>
      <c r="F51" s="26">
        <v>0</v>
      </c>
      <c r="G51" s="26">
        <v>0</v>
      </c>
      <c r="H51" s="26">
        <v>0</v>
      </c>
      <c r="I51" s="26">
        <v>0</v>
      </c>
      <c r="J51" s="26">
        <v>0</v>
      </c>
      <c r="K51" s="26">
        <v>0</v>
      </c>
      <c r="L51" s="26">
        <v>1</v>
      </c>
      <c r="M51" s="26">
        <v>0</v>
      </c>
      <c r="N51" s="26">
        <v>1</v>
      </c>
      <c r="O51" s="26">
        <v>0</v>
      </c>
      <c r="P51" s="26">
        <v>0</v>
      </c>
      <c r="Q51" s="26">
        <v>0</v>
      </c>
      <c r="R51" s="26">
        <v>2</v>
      </c>
      <c r="S51" s="26">
        <v>0</v>
      </c>
      <c r="T51" s="16">
        <v>0</v>
      </c>
      <c r="U51" s="16">
        <v>1</v>
      </c>
      <c r="V51" s="16">
        <v>11</v>
      </c>
      <c r="W51" s="16">
        <v>0</v>
      </c>
      <c r="X51" s="16">
        <v>0</v>
      </c>
      <c r="Y51" s="16">
        <v>0</v>
      </c>
      <c r="Z51" s="16">
        <v>0</v>
      </c>
      <c r="AA51" s="16">
        <v>0</v>
      </c>
      <c r="AB51" s="16">
        <v>0</v>
      </c>
      <c r="AC51" s="16">
        <v>2</v>
      </c>
      <c r="AD51" s="16">
        <v>7</v>
      </c>
      <c r="AE51" s="16">
        <v>4</v>
      </c>
      <c r="AF51" s="16">
        <v>0</v>
      </c>
      <c r="AG51" s="16">
        <v>12</v>
      </c>
      <c r="AH51" s="16">
        <v>4</v>
      </c>
      <c r="AI51" s="16">
        <v>3</v>
      </c>
      <c r="AJ51" s="16">
        <v>0</v>
      </c>
      <c r="AK51" s="98">
        <v>6</v>
      </c>
      <c r="AL51" s="16">
        <v>0</v>
      </c>
      <c r="AM51" s="16">
        <v>0</v>
      </c>
      <c r="AN51" s="16">
        <v>1</v>
      </c>
      <c r="AO51" s="26">
        <v>0</v>
      </c>
      <c r="AP51" s="26">
        <v>0</v>
      </c>
      <c r="AQ51" s="16">
        <v>0</v>
      </c>
      <c r="AR51" s="26">
        <v>2</v>
      </c>
      <c r="AS51" s="26">
        <v>0</v>
      </c>
      <c r="AT51" s="26">
        <v>0</v>
      </c>
      <c r="AU51" s="16">
        <v>2</v>
      </c>
      <c r="AV51" s="26">
        <v>0</v>
      </c>
      <c r="AW51" s="26">
        <v>0</v>
      </c>
      <c r="AX51" s="26">
        <v>15</v>
      </c>
      <c r="AY51" s="16">
        <v>5</v>
      </c>
      <c r="AZ51" s="26">
        <v>12</v>
      </c>
      <c r="BA51" s="26">
        <v>0</v>
      </c>
      <c r="BB51" s="26">
        <v>0</v>
      </c>
      <c r="BC51" s="26">
        <v>0</v>
      </c>
      <c r="BD51" s="26">
        <v>16</v>
      </c>
      <c r="BE51" s="16">
        <v>0</v>
      </c>
      <c r="BF51" s="16">
        <v>1</v>
      </c>
      <c r="BG51" s="16">
        <v>169</v>
      </c>
      <c r="BH51" s="16">
        <v>0</v>
      </c>
      <c r="BI51" s="26">
        <v>0</v>
      </c>
      <c r="BJ51" s="26">
        <v>0</v>
      </c>
      <c r="BK51" s="26">
        <v>0</v>
      </c>
      <c r="BL51" s="26">
        <v>0</v>
      </c>
      <c r="BM51" s="26">
        <v>0</v>
      </c>
      <c r="BN51" s="26">
        <v>0</v>
      </c>
      <c r="BO51" s="16">
        <v>9</v>
      </c>
    </row>
    <row r="52" spans="1:67" s="5" customFormat="1" ht="21.9" customHeight="1" x14ac:dyDescent="0.25">
      <c r="A52" s="125" t="s">
        <v>258</v>
      </c>
      <c r="B52" s="4"/>
      <c r="C52" s="47" t="s">
        <v>120</v>
      </c>
      <c r="D52" s="48"/>
      <c r="E52" s="16">
        <f t="shared" si="1"/>
        <v>12774</v>
      </c>
      <c r="F52" s="16">
        <v>27</v>
      </c>
      <c r="G52" s="16">
        <v>54</v>
      </c>
      <c r="H52" s="16">
        <v>95</v>
      </c>
      <c r="I52" s="16">
        <v>51</v>
      </c>
      <c r="J52" s="16">
        <v>0</v>
      </c>
      <c r="K52" s="16">
        <v>200</v>
      </c>
      <c r="L52" s="16">
        <v>105</v>
      </c>
      <c r="M52" s="16">
        <v>15</v>
      </c>
      <c r="N52" s="16">
        <v>31</v>
      </c>
      <c r="O52" s="16">
        <v>88</v>
      </c>
      <c r="P52" s="16">
        <v>0</v>
      </c>
      <c r="Q52" s="16">
        <v>52</v>
      </c>
      <c r="R52" s="16">
        <v>186</v>
      </c>
      <c r="S52" s="16">
        <v>56</v>
      </c>
      <c r="T52" s="16">
        <v>50</v>
      </c>
      <c r="U52" s="16">
        <v>222</v>
      </c>
      <c r="V52" s="16">
        <v>15</v>
      </c>
      <c r="W52" s="16">
        <v>218</v>
      </c>
      <c r="X52" s="16">
        <v>120</v>
      </c>
      <c r="Y52" s="16">
        <v>517</v>
      </c>
      <c r="Z52" s="16">
        <v>896</v>
      </c>
      <c r="AA52" s="16">
        <v>5</v>
      </c>
      <c r="AB52" s="16">
        <v>25</v>
      </c>
      <c r="AC52" s="16">
        <v>300</v>
      </c>
      <c r="AD52" s="16">
        <v>546</v>
      </c>
      <c r="AE52" s="16">
        <v>243</v>
      </c>
      <c r="AF52" s="16">
        <v>225</v>
      </c>
      <c r="AG52" s="16">
        <v>437</v>
      </c>
      <c r="AH52" s="16">
        <v>152</v>
      </c>
      <c r="AI52" s="16">
        <v>30</v>
      </c>
      <c r="AJ52" s="16">
        <v>10</v>
      </c>
      <c r="AK52" s="98">
        <v>57</v>
      </c>
      <c r="AL52" s="16">
        <v>25</v>
      </c>
      <c r="AM52" s="16">
        <v>30</v>
      </c>
      <c r="AN52" s="16">
        <v>201</v>
      </c>
      <c r="AO52" s="16">
        <v>117</v>
      </c>
      <c r="AP52" s="16">
        <v>231</v>
      </c>
      <c r="AQ52" s="16">
        <v>87</v>
      </c>
      <c r="AR52" s="16">
        <v>73</v>
      </c>
      <c r="AS52" s="16">
        <v>142</v>
      </c>
      <c r="AT52" s="16">
        <v>220</v>
      </c>
      <c r="AU52" s="16">
        <v>511</v>
      </c>
      <c r="AV52" s="16">
        <v>201</v>
      </c>
      <c r="AW52" s="16">
        <v>135</v>
      </c>
      <c r="AX52" s="16">
        <v>2201</v>
      </c>
      <c r="AY52" s="16">
        <v>99</v>
      </c>
      <c r="AZ52" s="26">
        <v>0</v>
      </c>
      <c r="BA52" s="26">
        <v>0</v>
      </c>
      <c r="BB52" s="26">
        <v>30</v>
      </c>
      <c r="BC52" s="16">
        <v>35</v>
      </c>
      <c r="BD52" s="16">
        <v>384</v>
      </c>
      <c r="BE52" s="16">
        <v>514</v>
      </c>
      <c r="BF52" s="16">
        <v>499</v>
      </c>
      <c r="BG52" s="16">
        <v>760</v>
      </c>
      <c r="BH52" s="16">
        <v>283</v>
      </c>
      <c r="BI52" s="16">
        <v>105</v>
      </c>
      <c r="BJ52" s="16">
        <v>205</v>
      </c>
      <c r="BK52" s="16">
        <v>127</v>
      </c>
      <c r="BL52" s="26">
        <v>15</v>
      </c>
      <c r="BM52" s="16">
        <v>312</v>
      </c>
      <c r="BN52" s="16">
        <v>155</v>
      </c>
      <c r="BO52" s="16">
        <v>49</v>
      </c>
    </row>
    <row r="53" spans="1:67" s="5" customFormat="1" ht="21.9" customHeight="1" x14ac:dyDescent="0.25">
      <c r="A53" s="125"/>
      <c r="B53" s="4"/>
      <c r="C53" s="47" t="s">
        <v>76</v>
      </c>
      <c r="D53" s="48"/>
      <c r="E53" s="16">
        <f t="shared" si="1"/>
        <v>483</v>
      </c>
      <c r="F53" s="26">
        <v>0</v>
      </c>
      <c r="G53" s="26">
        <v>0</v>
      </c>
      <c r="H53" s="26">
        <v>0</v>
      </c>
      <c r="I53" s="26">
        <v>1</v>
      </c>
      <c r="J53" s="26">
        <v>0</v>
      </c>
      <c r="K53" s="26">
        <v>1</v>
      </c>
      <c r="L53" s="26">
        <v>1</v>
      </c>
      <c r="M53" s="26">
        <v>0</v>
      </c>
      <c r="N53" s="26">
        <v>1</v>
      </c>
      <c r="O53" s="26">
        <v>0</v>
      </c>
      <c r="P53" s="26">
        <v>0</v>
      </c>
      <c r="Q53" s="26">
        <v>0</v>
      </c>
      <c r="R53" s="26">
        <v>3</v>
      </c>
      <c r="S53" s="26">
        <v>0</v>
      </c>
      <c r="T53" s="16">
        <v>1</v>
      </c>
      <c r="U53" s="16">
        <v>8</v>
      </c>
      <c r="V53" s="16">
        <v>3</v>
      </c>
      <c r="W53" s="16">
        <v>1</v>
      </c>
      <c r="X53" s="16">
        <v>0</v>
      </c>
      <c r="Y53" s="16">
        <v>2</v>
      </c>
      <c r="Z53" s="16">
        <v>7</v>
      </c>
      <c r="AA53" s="16">
        <v>0</v>
      </c>
      <c r="AB53" s="16">
        <v>0</v>
      </c>
      <c r="AC53" s="16">
        <v>0</v>
      </c>
      <c r="AD53" s="16">
        <v>7</v>
      </c>
      <c r="AE53" s="16">
        <v>1</v>
      </c>
      <c r="AF53" s="16">
        <v>0</v>
      </c>
      <c r="AG53" s="16">
        <v>14</v>
      </c>
      <c r="AH53" s="16">
        <v>12</v>
      </c>
      <c r="AI53" s="16">
        <v>0</v>
      </c>
      <c r="AJ53" s="16">
        <v>0</v>
      </c>
      <c r="AK53" s="98">
        <v>7</v>
      </c>
      <c r="AL53" s="16">
        <v>0</v>
      </c>
      <c r="AM53" s="16">
        <v>0</v>
      </c>
      <c r="AN53" s="16">
        <v>16</v>
      </c>
      <c r="AO53" s="26">
        <v>0</v>
      </c>
      <c r="AP53" s="26">
        <v>0</v>
      </c>
      <c r="AQ53" s="26">
        <v>1</v>
      </c>
      <c r="AR53" s="16">
        <v>5</v>
      </c>
      <c r="AS53" s="16">
        <v>1</v>
      </c>
      <c r="AT53" s="26">
        <v>0</v>
      </c>
      <c r="AU53" s="16">
        <v>12</v>
      </c>
      <c r="AV53" s="16">
        <v>9</v>
      </c>
      <c r="AW53" s="26">
        <v>1</v>
      </c>
      <c r="AX53" s="16">
        <v>48</v>
      </c>
      <c r="AY53" s="16">
        <v>0</v>
      </c>
      <c r="AZ53" s="26">
        <v>0</v>
      </c>
      <c r="BA53" s="26">
        <v>0</v>
      </c>
      <c r="BB53" s="26">
        <v>0</v>
      </c>
      <c r="BC53" s="26">
        <v>0</v>
      </c>
      <c r="BD53" s="26">
        <v>0</v>
      </c>
      <c r="BE53" s="16">
        <v>1</v>
      </c>
      <c r="BF53" s="26">
        <v>2</v>
      </c>
      <c r="BG53" s="16">
        <v>299</v>
      </c>
      <c r="BH53" s="26">
        <v>0</v>
      </c>
      <c r="BI53" s="16">
        <v>1</v>
      </c>
      <c r="BJ53" s="16">
        <v>8</v>
      </c>
      <c r="BK53" s="16">
        <v>4</v>
      </c>
      <c r="BL53" s="26">
        <v>0</v>
      </c>
      <c r="BM53" s="26">
        <v>0</v>
      </c>
      <c r="BN53" s="26">
        <v>0</v>
      </c>
      <c r="BO53" s="26">
        <v>5</v>
      </c>
    </row>
    <row r="54" spans="1:67" s="5" customFormat="1" ht="21.9" customHeight="1" x14ac:dyDescent="0.25">
      <c r="A54" s="125" t="s">
        <v>95</v>
      </c>
      <c r="B54" s="4"/>
      <c r="C54" s="47" t="s">
        <v>75</v>
      </c>
      <c r="D54" s="48"/>
      <c r="E54" s="16">
        <f t="shared" si="1"/>
        <v>9993</v>
      </c>
      <c r="F54" s="16">
        <v>2</v>
      </c>
      <c r="G54" s="16">
        <v>0</v>
      </c>
      <c r="H54" s="16">
        <v>63</v>
      </c>
      <c r="I54" s="16">
        <v>30</v>
      </c>
      <c r="J54" s="16">
        <v>0</v>
      </c>
      <c r="K54" s="16">
        <v>419</v>
      </c>
      <c r="L54" s="16">
        <v>824</v>
      </c>
      <c r="M54" s="16">
        <v>0</v>
      </c>
      <c r="N54" s="16">
        <v>186</v>
      </c>
      <c r="O54" s="16">
        <v>11</v>
      </c>
      <c r="P54" s="16">
        <v>0</v>
      </c>
      <c r="Q54" s="16">
        <v>263</v>
      </c>
      <c r="R54" s="16">
        <v>425</v>
      </c>
      <c r="S54" s="16">
        <v>0</v>
      </c>
      <c r="T54" s="16">
        <v>78</v>
      </c>
      <c r="U54" s="16">
        <v>231</v>
      </c>
      <c r="V54" s="26">
        <v>0</v>
      </c>
      <c r="W54" s="16">
        <v>212</v>
      </c>
      <c r="X54" s="16">
        <v>0</v>
      </c>
      <c r="Y54" s="16">
        <v>142</v>
      </c>
      <c r="Z54" s="16">
        <v>574</v>
      </c>
      <c r="AA54" s="26">
        <v>20</v>
      </c>
      <c r="AB54" s="16">
        <v>924</v>
      </c>
      <c r="AC54" s="26">
        <v>335</v>
      </c>
      <c r="AD54" s="16">
        <v>1021</v>
      </c>
      <c r="AE54" s="26">
        <v>810</v>
      </c>
      <c r="AF54" s="26">
        <v>21</v>
      </c>
      <c r="AG54" s="16">
        <v>1184</v>
      </c>
      <c r="AH54" s="16">
        <v>80</v>
      </c>
      <c r="AI54" s="26">
        <v>77</v>
      </c>
      <c r="AJ54" s="26">
        <v>11</v>
      </c>
      <c r="AK54" s="98">
        <v>22</v>
      </c>
      <c r="AL54" s="16">
        <v>12</v>
      </c>
      <c r="AM54" s="26">
        <v>0</v>
      </c>
      <c r="AN54" s="26">
        <v>42</v>
      </c>
      <c r="AO54" s="26">
        <v>0</v>
      </c>
      <c r="AP54" s="26">
        <v>0</v>
      </c>
      <c r="AQ54" s="26">
        <v>0</v>
      </c>
      <c r="AR54" s="16">
        <v>120</v>
      </c>
      <c r="AS54" s="16">
        <v>30</v>
      </c>
      <c r="AT54" s="16">
        <v>131</v>
      </c>
      <c r="AU54" s="16">
        <v>429</v>
      </c>
      <c r="AV54" s="16">
        <v>292</v>
      </c>
      <c r="AW54" s="26">
        <v>0</v>
      </c>
      <c r="AX54" s="16">
        <v>84</v>
      </c>
      <c r="AY54" s="26">
        <v>0</v>
      </c>
      <c r="AZ54" s="26">
        <v>0</v>
      </c>
      <c r="BA54" s="26">
        <v>0</v>
      </c>
      <c r="BB54" s="26">
        <v>0</v>
      </c>
      <c r="BC54" s="26">
        <v>0</v>
      </c>
      <c r="BD54" s="26">
        <v>20</v>
      </c>
      <c r="BE54" s="16">
        <v>63</v>
      </c>
      <c r="BF54" s="16">
        <v>75</v>
      </c>
      <c r="BG54" s="26">
        <v>0</v>
      </c>
      <c r="BH54" s="26">
        <v>30</v>
      </c>
      <c r="BI54" s="16">
        <v>319</v>
      </c>
      <c r="BJ54" s="26">
        <v>0</v>
      </c>
      <c r="BK54" s="26">
        <v>8</v>
      </c>
      <c r="BL54" s="16">
        <v>140</v>
      </c>
      <c r="BM54" s="16">
        <v>191</v>
      </c>
      <c r="BN54" s="26">
        <v>0</v>
      </c>
      <c r="BO54" s="16">
        <v>42</v>
      </c>
    </row>
    <row r="55" spans="1:67" s="5" customFormat="1" ht="21.9" customHeight="1" x14ac:dyDescent="0.25">
      <c r="A55" s="125"/>
      <c r="B55" s="4"/>
      <c r="C55" s="47" t="s">
        <v>76</v>
      </c>
      <c r="D55" s="48"/>
      <c r="E55" s="16">
        <f t="shared" si="1"/>
        <v>18</v>
      </c>
      <c r="F55" s="26">
        <v>0</v>
      </c>
      <c r="G55" s="26">
        <v>0</v>
      </c>
      <c r="H55" s="26">
        <v>0</v>
      </c>
      <c r="I55" s="26">
        <v>0</v>
      </c>
      <c r="J55" s="26">
        <v>0</v>
      </c>
      <c r="K55" s="26">
        <v>0</v>
      </c>
      <c r="L55" s="26">
        <v>0</v>
      </c>
      <c r="M55" s="26">
        <v>0</v>
      </c>
      <c r="N55" s="26">
        <v>0</v>
      </c>
      <c r="O55" s="26">
        <v>0</v>
      </c>
      <c r="P55" s="26">
        <v>0</v>
      </c>
      <c r="Q55" s="26">
        <v>0</v>
      </c>
      <c r="R55" s="26">
        <v>1</v>
      </c>
      <c r="S55" s="26">
        <v>0</v>
      </c>
      <c r="T55" s="26">
        <v>0</v>
      </c>
      <c r="U55" s="26">
        <v>0</v>
      </c>
      <c r="V55" s="26">
        <v>0</v>
      </c>
      <c r="W55" s="26">
        <v>0</v>
      </c>
      <c r="X55" s="26">
        <v>0</v>
      </c>
      <c r="Y55" s="26">
        <v>0</v>
      </c>
      <c r="Z55" s="26">
        <v>0</v>
      </c>
      <c r="AA55" s="26">
        <v>0</v>
      </c>
      <c r="AB55" s="26">
        <v>2</v>
      </c>
      <c r="AC55" s="26">
        <v>0</v>
      </c>
      <c r="AD55" s="26">
        <v>0</v>
      </c>
      <c r="AE55" s="26">
        <v>3</v>
      </c>
      <c r="AF55" s="26">
        <v>0</v>
      </c>
      <c r="AG55" s="26">
        <v>3</v>
      </c>
      <c r="AH55" s="26">
        <v>0</v>
      </c>
      <c r="AI55" s="26">
        <v>0</v>
      </c>
      <c r="AJ55" s="26">
        <v>0</v>
      </c>
      <c r="AK55" s="99">
        <v>0</v>
      </c>
      <c r="AL55" s="26">
        <v>0</v>
      </c>
      <c r="AM55" s="26">
        <v>0</v>
      </c>
      <c r="AN55" s="26">
        <v>0</v>
      </c>
      <c r="AO55" s="26">
        <v>0</v>
      </c>
      <c r="AP55" s="26">
        <v>0</v>
      </c>
      <c r="AQ55" s="26">
        <v>0</v>
      </c>
      <c r="AR55" s="26">
        <v>0</v>
      </c>
      <c r="AS55" s="26">
        <v>0</v>
      </c>
      <c r="AT55" s="26">
        <v>0</v>
      </c>
      <c r="AU55" s="26">
        <v>4</v>
      </c>
      <c r="AV55" s="26">
        <v>0</v>
      </c>
      <c r="AW55" s="26">
        <v>0</v>
      </c>
      <c r="AX55" s="26">
        <v>0</v>
      </c>
      <c r="AY55" s="26">
        <v>0</v>
      </c>
      <c r="AZ55" s="26">
        <v>0</v>
      </c>
      <c r="BA55" s="26">
        <v>0</v>
      </c>
      <c r="BB55" s="26">
        <v>0</v>
      </c>
      <c r="BC55" s="26">
        <v>0</v>
      </c>
      <c r="BD55" s="26">
        <v>0</v>
      </c>
      <c r="BE55" s="26">
        <v>0</v>
      </c>
      <c r="BF55" s="16">
        <v>0</v>
      </c>
      <c r="BG55" s="26">
        <v>0</v>
      </c>
      <c r="BH55" s="26">
        <v>0</v>
      </c>
      <c r="BI55" s="26">
        <v>2</v>
      </c>
      <c r="BJ55" s="26">
        <v>0</v>
      </c>
      <c r="BK55" s="26">
        <v>0</v>
      </c>
      <c r="BL55" s="26">
        <v>1</v>
      </c>
      <c r="BM55" s="26">
        <v>2</v>
      </c>
      <c r="BN55" s="26">
        <v>0</v>
      </c>
      <c r="BO55" s="26">
        <v>0</v>
      </c>
    </row>
    <row r="56" spans="1:67" s="5" customFormat="1" ht="21.9" customHeight="1" x14ac:dyDescent="0.25">
      <c r="A56" s="125" t="s">
        <v>96</v>
      </c>
      <c r="B56" s="4"/>
      <c r="C56" s="47" t="s">
        <v>75</v>
      </c>
      <c r="D56" s="48"/>
      <c r="E56" s="16">
        <f t="shared" si="1"/>
        <v>1023</v>
      </c>
      <c r="F56" s="16">
        <v>0</v>
      </c>
      <c r="G56" s="16">
        <v>11</v>
      </c>
      <c r="H56" s="16">
        <v>0</v>
      </c>
      <c r="I56" s="16">
        <v>7</v>
      </c>
      <c r="J56" s="16">
        <v>3</v>
      </c>
      <c r="K56" s="16">
        <v>55</v>
      </c>
      <c r="L56" s="16">
        <v>4</v>
      </c>
      <c r="M56" s="16">
        <v>17</v>
      </c>
      <c r="N56" s="16">
        <v>5</v>
      </c>
      <c r="O56" s="16">
        <v>0</v>
      </c>
      <c r="P56" s="16">
        <v>0</v>
      </c>
      <c r="Q56" s="16">
        <v>21</v>
      </c>
      <c r="R56" s="16">
        <v>45</v>
      </c>
      <c r="S56" s="16">
        <v>15</v>
      </c>
      <c r="T56" s="16">
        <v>14</v>
      </c>
      <c r="U56" s="16">
        <v>13</v>
      </c>
      <c r="V56" s="16">
        <v>156</v>
      </c>
      <c r="W56" s="16">
        <v>18</v>
      </c>
      <c r="X56" s="16">
        <v>7</v>
      </c>
      <c r="Y56" s="16">
        <v>4</v>
      </c>
      <c r="Z56" s="16">
        <v>4</v>
      </c>
      <c r="AA56" s="16">
        <v>0</v>
      </c>
      <c r="AB56" s="16">
        <v>6</v>
      </c>
      <c r="AC56" s="16">
        <v>34</v>
      </c>
      <c r="AD56" s="16">
        <v>39</v>
      </c>
      <c r="AE56" s="26">
        <v>3</v>
      </c>
      <c r="AF56" s="16">
        <v>12</v>
      </c>
      <c r="AG56" s="16">
        <v>183</v>
      </c>
      <c r="AH56" s="16">
        <v>22</v>
      </c>
      <c r="AI56" s="16">
        <v>3</v>
      </c>
      <c r="AJ56" s="26">
        <v>0</v>
      </c>
      <c r="AK56" s="98">
        <v>3</v>
      </c>
      <c r="AL56" s="16">
        <v>0</v>
      </c>
      <c r="AM56" s="16">
        <v>0</v>
      </c>
      <c r="AN56" s="16">
        <v>11</v>
      </c>
      <c r="AO56" s="26">
        <v>0</v>
      </c>
      <c r="AP56" s="26">
        <v>0</v>
      </c>
      <c r="AQ56" s="26">
        <v>0</v>
      </c>
      <c r="AR56" s="16">
        <v>12</v>
      </c>
      <c r="AS56" s="16">
        <v>0</v>
      </c>
      <c r="AT56" s="26">
        <v>0</v>
      </c>
      <c r="AU56" s="16">
        <v>103</v>
      </c>
      <c r="AV56" s="16">
        <v>5</v>
      </c>
      <c r="AW56" s="26">
        <v>1</v>
      </c>
      <c r="AX56" s="16">
        <v>158</v>
      </c>
      <c r="AY56" s="26">
        <v>0</v>
      </c>
      <c r="AZ56" s="26">
        <v>0</v>
      </c>
      <c r="BA56" s="26">
        <v>0</v>
      </c>
      <c r="BB56" s="26">
        <v>0</v>
      </c>
      <c r="BC56" s="26">
        <v>0</v>
      </c>
      <c r="BD56" s="26">
        <v>0</v>
      </c>
      <c r="BE56" s="16">
        <v>9</v>
      </c>
      <c r="BF56" s="16">
        <v>6</v>
      </c>
      <c r="BG56" s="26">
        <v>0</v>
      </c>
      <c r="BH56" s="26">
        <v>0</v>
      </c>
      <c r="BI56" s="26">
        <v>8</v>
      </c>
      <c r="BJ56" s="26">
        <v>2</v>
      </c>
      <c r="BK56" s="16">
        <v>0</v>
      </c>
      <c r="BL56" s="16">
        <v>0</v>
      </c>
      <c r="BM56" s="26">
        <v>0</v>
      </c>
      <c r="BN56" s="26">
        <v>0</v>
      </c>
      <c r="BO56" s="16">
        <v>4</v>
      </c>
    </row>
    <row r="57" spans="1:67" s="5" customFormat="1" ht="21.9" customHeight="1" x14ac:dyDescent="0.25">
      <c r="A57" s="134"/>
      <c r="B57" s="6"/>
      <c r="C57" s="49" t="s">
        <v>76</v>
      </c>
      <c r="D57" s="50"/>
      <c r="E57" s="55">
        <f t="shared" si="1"/>
        <v>32</v>
      </c>
      <c r="F57" s="56">
        <v>0</v>
      </c>
      <c r="G57" s="56">
        <v>0</v>
      </c>
      <c r="H57" s="56">
        <v>0</v>
      </c>
      <c r="I57" s="56">
        <v>4</v>
      </c>
      <c r="J57" s="56">
        <v>0</v>
      </c>
      <c r="K57" s="56">
        <v>0</v>
      </c>
      <c r="L57" s="56">
        <v>0</v>
      </c>
      <c r="M57" s="56">
        <v>0</v>
      </c>
      <c r="N57" s="56">
        <v>0</v>
      </c>
      <c r="O57" s="56">
        <v>0</v>
      </c>
      <c r="P57" s="56">
        <v>0</v>
      </c>
      <c r="Q57" s="56">
        <v>0</v>
      </c>
      <c r="R57" s="56">
        <v>1</v>
      </c>
      <c r="S57" s="56">
        <v>0</v>
      </c>
      <c r="T57" s="56">
        <v>0</v>
      </c>
      <c r="U57" s="56">
        <v>0</v>
      </c>
      <c r="V57" s="56">
        <v>0</v>
      </c>
      <c r="W57" s="57">
        <v>0</v>
      </c>
      <c r="X57" s="56">
        <v>1</v>
      </c>
      <c r="Y57" s="56">
        <v>1</v>
      </c>
      <c r="Z57" s="56">
        <v>0</v>
      </c>
      <c r="AA57" s="56">
        <v>0</v>
      </c>
      <c r="AB57" s="56">
        <v>0</v>
      </c>
      <c r="AC57" s="57">
        <v>0</v>
      </c>
      <c r="AD57" s="56">
        <v>0</v>
      </c>
      <c r="AE57" s="56">
        <v>1</v>
      </c>
      <c r="AF57" s="56">
        <v>1</v>
      </c>
      <c r="AG57" s="57">
        <v>10</v>
      </c>
      <c r="AH57" s="56">
        <v>0</v>
      </c>
      <c r="AI57" s="56">
        <v>0</v>
      </c>
      <c r="AJ57" s="56">
        <v>0</v>
      </c>
      <c r="AK57" s="55">
        <v>1</v>
      </c>
      <c r="AL57" s="56">
        <v>0</v>
      </c>
      <c r="AM57" s="56">
        <v>0</v>
      </c>
      <c r="AN57" s="56">
        <v>0</v>
      </c>
      <c r="AO57" s="56">
        <v>0</v>
      </c>
      <c r="AP57" s="56">
        <v>0</v>
      </c>
      <c r="AQ57" s="56">
        <v>0</v>
      </c>
      <c r="AR57" s="56">
        <v>3</v>
      </c>
      <c r="AS57" s="56">
        <v>0</v>
      </c>
      <c r="AT57" s="56">
        <v>0</v>
      </c>
      <c r="AU57" s="56">
        <v>1</v>
      </c>
      <c r="AV57" s="56">
        <v>0</v>
      </c>
      <c r="AW57" s="56">
        <v>0</v>
      </c>
      <c r="AX57" s="56">
        <v>6</v>
      </c>
      <c r="AY57" s="56">
        <v>0</v>
      </c>
      <c r="AZ57" s="56">
        <v>0</v>
      </c>
      <c r="BA57" s="56">
        <v>0</v>
      </c>
      <c r="BB57" s="56">
        <v>0</v>
      </c>
      <c r="BC57" s="56">
        <v>0</v>
      </c>
      <c r="BD57" s="56">
        <v>0</v>
      </c>
      <c r="BE57" s="56">
        <v>2</v>
      </c>
      <c r="BF57" s="56">
        <v>0</v>
      </c>
      <c r="BG57" s="56">
        <v>0</v>
      </c>
      <c r="BH57" s="56">
        <v>0</v>
      </c>
      <c r="BI57" s="56">
        <v>0</v>
      </c>
      <c r="BJ57" s="56">
        <v>0</v>
      </c>
      <c r="BK57" s="56">
        <v>0</v>
      </c>
      <c r="BL57" s="56">
        <v>0</v>
      </c>
      <c r="BM57" s="56">
        <v>0</v>
      </c>
      <c r="BN57" s="56">
        <v>0</v>
      </c>
      <c r="BO57" s="57">
        <v>0</v>
      </c>
    </row>
    <row r="58" spans="1:67" s="5" customFormat="1" ht="21.9" customHeight="1" x14ac:dyDescent="0.3">
      <c r="AK58" s="63" t="s">
        <v>191</v>
      </c>
      <c r="AL58" s="63"/>
      <c r="AM58" s="63"/>
      <c r="AN58" s="64"/>
      <c r="AO58" s="64"/>
      <c r="AP58" s="63" t="s">
        <v>178</v>
      </c>
      <c r="AQ58" s="63"/>
      <c r="AS58" s="63"/>
      <c r="AU58" s="58"/>
      <c r="AV58" s="63"/>
      <c r="AW58" s="5" t="s">
        <v>179</v>
      </c>
      <c r="AX58" s="64"/>
      <c r="AY58" s="64"/>
      <c r="BA58" s="58"/>
      <c r="BB58" s="63"/>
      <c r="BD58" s="65"/>
      <c r="BE58" s="64"/>
      <c r="BF58" s="5" t="s">
        <v>180</v>
      </c>
      <c r="BG58" s="58"/>
      <c r="BH58" s="76"/>
      <c r="BI58" s="62"/>
      <c r="BJ58" s="62"/>
      <c r="BK58" s="62"/>
    </row>
    <row r="59" spans="1:67" s="5" customFormat="1" ht="21.9" customHeight="1" x14ac:dyDescent="0.3">
      <c r="AK59" s="63"/>
      <c r="AL59" s="63"/>
      <c r="AM59" s="63"/>
      <c r="AN59" s="64"/>
      <c r="AO59" s="64"/>
      <c r="AP59" s="64"/>
      <c r="AQ59" s="65"/>
      <c r="AR59" s="63"/>
      <c r="AS59" s="63"/>
      <c r="AT59" s="63"/>
      <c r="AU59" s="58"/>
      <c r="AV59" s="63"/>
      <c r="AW59" s="65" t="s">
        <v>181</v>
      </c>
      <c r="AX59" s="63"/>
      <c r="AY59" s="63"/>
      <c r="BA59" s="63"/>
      <c r="BB59" s="63"/>
      <c r="BD59" s="65"/>
      <c r="BE59" s="63"/>
      <c r="BG59" s="59"/>
      <c r="BH59" s="58"/>
      <c r="BI59" s="62"/>
      <c r="BJ59" s="62"/>
      <c r="BK59" s="62"/>
    </row>
    <row r="60" spans="1:67" s="5" customFormat="1" ht="21.9" customHeight="1" x14ac:dyDescent="0.3">
      <c r="AK60" s="76" t="s">
        <v>192</v>
      </c>
      <c r="AM60" s="58"/>
      <c r="AN60" s="76"/>
      <c r="AO60" s="76"/>
      <c r="AP60" s="77"/>
      <c r="AQ60" s="76"/>
      <c r="AR60" s="104"/>
      <c r="AS60" s="76"/>
      <c r="AT60" s="76"/>
      <c r="AU60" s="76"/>
      <c r="AV60" s="76"/>
      <c r="AW60" s="76"/>
      <c r="AX60" s="77"/>
      <c r="AY60" s="76"/>
      <c r="AZ60" s="76"/>
      <c r="BA60" s="76"/>
      <c r="BB60" s="76"/>
      <c r="BC60" s="59"/>
      <c r="BD60" s="59"/>
      <c r="BE60" s="59"/>
      <c r="BF60" s="75"/>
      <c r="BG60" s="59"/>
      <c r="BH60" s="58"/>
      <c r="BI60" s="62"/>
      <c r="BJ60" s="62"/>
      <c r="BK60" s="62"/>
    </row>
    <row r="61" spans="1:67" s="5" customFormat="1" ht="21.9" customHeight="1" x14ac:dyDescent="0.3">
      <c r="E61" s="16"/>
      <c r="AK61" s="5" t="s">
        <v>195</v>
      </c>
      <c r="AM61" s="58"/>
      <c r="AN61" s="76"/>
      <c r="AO61" s="76"/>
      <c r="AP61" s="77"/>
      <c r="AQ61" s="76"/>
      <c r="AR61" s="104"/>
      <c r="AS61" s="76"/>
      <c r="AT61" s="76"/>
      <c r="AU61" s="76"/>
      <c r="AV61" s="76"/>
      <c r="AW61" s="76"/>
      <c r="AX61" s="77"/>
      <c r="AY61" s="76"/>
      <c r="AZ61" s="76"/>
      <c r="BA61" s="76"/>
      <c r="BB61" s="76"/>
      <c r="BC61" s="59"/>
      <c r="BD61" s="59"/>
      <c r="BE61" s="59"/>
      <c r="BF61" s="75"/>
      <c r="BG61" s="78"/>
      <c r="BH61" s="78"/>
      <c r="BI61" s="62"/>
      <c r="BJ61" s="62"/>
      <c r="BK61" s="62"/>
    </row>
    <row r="62" spans="1:67" s="5" customFormat="1" ht="21.9" customHeight="1" x14ac:dyDescent="0.3">
      <c r="E62" s="16"/>
      <c r="AK62" s="76" t="s">
        <v>193</v>
      </c>
      <c r="AL62" s="76"/>
      <c r="AM62" s="76"/>
      <c r="AN62" s="77"/>
      <c r="AO62" s="76"/>
      <c r="AP62" s="74"/>
      <c r="AQ62" s="74"/>
      <c r="AR62" s="74"/>
      <c r="AS62" s="76"/>
      <c r="AT62" s="76"/>
      <c r="AU62" s="76"/>
      <c r="AV62" s="76"/>
      <c r="AW62" s="76"/>
      <c r="AX62" s="77"/>
      <c r="AY62" s="76"/>
      <c r="AZ62" s="76"/>
      <c r="BA62" s="76"/>
      <c r="BB62" s="76"/>
      <c r="BC62" s="59"/>
      <c r="BD62" s="59"/>
      <c r="BE62" s="59"/>
      <c r="BF62" s="75"/>
      <c r="BG62" s="78"/>
      <c r="BH62" s="78"/>
      <c r="BI62" s="62"/>
      <c r="BJ62" s="62"/>
      <c r="BK62" s="62"/>
    </row>
    <row r="63" spans="1:67" s="5" customFormat="1" ht="21.9" customHeight="1" x14ac:dyDescent="0.25"/>
    <row r="64" spans="1:67" s="5" customFormat="1" ht="21.9" customHeight="1" x14ac:dyDescent="0.25"/>
    <row r="65" s="5" customFormat="1" ht="21.9" customHeight="1" x14ac:dyDescent="0.25"/>
  </sheetData>
  <mergeCells count="119">
    <mergeCell ref="AK1:AL1"/>
    <mergeCell ref="BK1:BL1"/>
    <mergeCell ref="BM1:BO1"/>
    <mergeCell ref="AF2:AG2"/>
    <mergeCell ref="AH2:AJ2"/>
    <mergeCell ref="AK2:AL2"/>
    <mergeCell ref="BK2:BL2"/>
    <mergeCell ref="BM2:BO2"/>
    <mergeCell ref="S7:S11"/>
    <mergeCell ref="AP7:AP11"/>
    <mergeCell ref="AO6:AQ6"/>
    <mergeCell ref="AQ7:AQ11"/>
    <mergeCell ref="AK6:AN6"/>
    <mergeCell ref="AK7:AK11"/>
    <mergeCell ref="AL7:AL11"/>
    <mergeCell ref="AM7:AM11"/>
    <mergeCell ref="AN7:AN11"/>
    <mergeCell ref="AO7:AO11"/>
    <mergeCell ref="AX7:AX11"/>
    <mergeCell ref="AY6:AZ6"/>
    <mergeCell ref="AT6:AV6"/>
    <mergeCell ref="AW6:AX6"/>
    <mergeCell ref="BA6:BB6"/>
    <mergeCell ref="BC6:BC11"/>
    <mergeCell ref="N6:P6"/>
    <mergeCell ref="Q6:S6"/>
    <mergeCell ref="AF1:AG1"/>
    <mergeCell ref="AH1:AJ1"/>
    <mergeCell ref="Y7:Y11"/>
    <mergeCell ref="AC7:AC11"/>
    <mergeCell ref="Z7:Z11"/>
    <mergeCell ref="AA7:AA11"/>
    <mergeCell ref="U7:U11"/>
    <mergeCell ref="AD7:AD11"/>
    <mergeCell ref="AE7:AE11"/>
    <mergeCell ref="AF7:AF11"/>
    <mergeCell ref="AG6:AJ6"/>
    <mergeCell ref="AH7:AH11"/>
    <mergeCell ref="AI7:AI11"/>
    <mergeCell ref="AJ7:AJ11"/>
    <mergeCell ref="AB7:AB11"/>
    <mergeCell ref="AG7:AG11"/>
    <mergeCell ref="H7:H11"/>
    <mergeCell ref="I7:I11"/>
    <mergeCell ref="J7:J11"/>
    <mergeCell ref="A3:AJ3"/>
    <mergeCell ref="AK3:BO3"/>
    <mergeCell ref="A4:AJ4"/>
    <mergeCell ref="AK4:BO4"/>
    <mergeCell ref="L7:L11"/>
    <mergeCell ref="K7:K11"/>
    <mergeCell ref="T6:AF6"/>
    <mergeCell ref="Q7:Q11"/>
    <mergeCell ref="M7:M11"/>
    <mergeCell ref="F6:J6"/>
    <mergeCell ref="E6:E11"/>
    <mergeCell ref="F7:F11"/>
    <mergeCell ref="W7:W11"/>
    <mergeCell ref="X7:X11"/>
    <mergeCell ref="R7:R11"/>
    <mergeCell ref="N7:N11"/>
    <mergeCell ref="O7:O11"/>
    <mergeCell ref="P7:P11"/>
    <mergeCell ref="V7:V11"/>
    <mergeCell ref="T7:T11"/>
    <mergeCell ref="K6:M6"/>
    <mergeCell ref="A1:B1"/>
    <mergeCell ref="A2:B2"/>
    <mergeCell ref="A28:A29"/>
    <mergeCell ref="A18:A19"/>
    <mergeCell ref="A16:A17"/>
    <mergeCell ref="A34:A35"/>
    <mergeCell ref="A32:A33"/>
    <mergeCell ref="A30:A31"/>
    <mergeCell ref="A26:A27"/>
    <mergeCell ref="A6:D11"/>
    <mergeCell ref="A20:A21"/>
    <mergeCell ref="BM6:BO6"/>
    <mergeCell ref="AY7:AY11"/>
    <mergeCell ref="AZ7:AZ11"/>
    <mergeCell ref="BA7:BA11"/>
    <mergeCell ref="BB7:BB11"/>
    <mergeCell ref="BD7:BD11"/>
    <mergeCell ref="BE7:BE11"/>
    <mergeCell ref="BF7:BF11"/>
    <mergeCell ref="BM7:BM11"/>
    <mergeCell ref="BN7:BN11"/>
    <mergeCell ref="BO7:BO11"/>
    <mergeCell ref="BI7:BI11"/>
    <mergeCell ref="BJ7:BJ11"/>
    <mergeCell ref="BK7:BK11"/>
    <mergeCell ref="BL7:BL11"/>
    <mergeCell ref="BH6:BH11"/>
    <mergeCell ref="BD6:BF6"/>
    <mergeCell ref="BG6:BG11"/>
    <mergeCell ref="A54:A55"/>
    <mergeCell ref="A56:A57"/>
    <mergeCell ref="A36:A37"/>
    <mergeCell ref="A38:A39"/>
    <mergeCell ref="A22:A23"/>
    <mergeCell ref="A24:A25"/>
    <mergeCell ref="A42:A43"/>
    <mergeCell ref="A44:A45"/>
    <mergeCell ref="BI6:BL6"/>
    <mergeCell ref="AR7:AR11"/>
    <mergeCell ref="AS7:AS11"/>
    <mergeCell ref="AT7:AT11"/>
    <mergeCell ref="AU7:AU11"/>
    <mergeCell ref="AR6:AS6"/>
    <mergeCell ref="AV7:AV11"/>
    <mergeCell ref="AW7:AW11"/>
    <mergeCell ref="A52:A53"/>
    <mergeCell ref="A12:A13"/>
    <mergeCell ref="A14:A15"/>
    <mergeCell ref="A48:A49"/>
    <mergeCell ref="A46:A47"/>
    <mergeCell ref="A50:A51"/>
    <mergeCell ref="A40:A41"/>
    <mergeCell ref="G7:G11"/>
  </mergeCells>
  <phoneticPr fontId="5" type="noConversion"/>
  <printOptions horizontalCentered="1"/>
  <pageMargins left="0.74803149606299213" right="0.74803149606299213" top="1.1811023622047245" bottom="0.78740157480314965" header="0" footer="0"/>
  <pageSetup paperSize="8" scale="6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Q65"/>
  <sheetViews>
    <sheetView zoomScale="80" zoomScaleNormal="80" workbookViewId="0">
      <selection activeCell="F7" sqref="F7:F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68" width="10.6640625" style="1" bestFit="1" customWidth="1"/>
    <col min="69"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E1" s="70"/>
      <c r="AF1" s="183" t="s">
        <v>45</v>
      </c>
      <c r="AG1" s="171"/>
      <c r="AH1" s="133" t="s">
        <v>334</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J1" s="69"/>
      <c r="BK1" s="170" t="s">
        <v>45</v>
      </c>
      <c r="BL1" s="171"/>
      <c r="BM1" s="133" t="s">
        <v>334</v>
      </c>
      <c r="BN1" s="173"/>
      <c r="BO1" s="174"/>
      <c r="BP1" s="38"/>
      <c r="BQ1" s="38"/>
    </row>
    <row r="2" spans="1:69"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41"/>
      <c r="AE2" s="71"/>
      <c r="AF2" s="184" t="s">
        <v>187</v>
      </c>
      <c r="AG2" s="166"/>
      <c r="AH2" s="167" t="s">
        <v>337</v>
      </c>
      <c r="AI2" s="168"/>
      <c r="AJ2" s="169"/>
      <c r="AK2" s="163" t="s">
        <v>279</v>
      </c>
      <c r="AL2" s="164"/>
      <c r="AM2" s="7" t="s">
        <v>290</v>
      </c>
      <c r="AN2" s="33"/>
      <c r="AO2" s="33"/>
      <c r="AP2" s="33"/>
      <c r="AQ2" s="33"/>
      <c r="AR2" s="33"/>
      <c r="AS2" s="33"/>
      <c r="AT2" s="33"/>
      <c r="AU2" s="33"/>
      <c r="AV2" s="33"/>
      <c r="AW2" s="33"/>
      <c r="AX2" s="33"/>
      <c r="AY2" s="33"/>
      <c r="AZ2" s="33"/>
      <c r="BA2" s="33"/>
      <c r="BB2" s="33"/>
      <c r="BC2" s="33"/>
      <c r="BD2" s="33"/>
      <c r="BE2" s="33"/>
      <c r="BF2" s="33"/>
      <c r="BG2" s="33"/>
      <c r="BH2" s="42"/>
      <c r="BI2" s="41"/>
      <c r="BJ2" s="72"/>
      <c r="BK2" s="165" t="s">
        <v>187</v>
      </c>
      <c r="BL2" s="166"/>
      <c r="BM2" s="167" t="s">
        <v>5</v>
      </c>
      <c r="BN2" s="168"/>
      <c r="BO2" s="169"/>
      <c r="BP2" s="43"/>
      <c r="BQ2" s="43"/>
    </row>
    <row r="3" spans="1:69" s="53" customFormat="1" ht="30" customHeight="1" x14ac:dyDescent="0.25">
      <c r="A3" s="159" t="s">
        <v>385</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388</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row>
    <row r="4" spans="1:69" s="37" customFormat="1" ht="26.1" customHeight="1" x14ac:dyDescent="0.25">
      <c r="A4" s="160" t="s">
        <v>335</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204" t="s">
        <v>336</v>
      </c>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row>
    <row r="5" spans="1:69" s="37" customFormat="1" ht="20.100000000000001" customHeight="1" x14ac:dyDescent="0.25">
      <c r="A5" s="40"/>
      <c r="B5" s="41"/>
      <c r="C5" s="41"/>
      <c r="D5" s="67"/>
      <c r="E5" s="67"/>
      <c r="F5" s="67"/>
      <c r="G5" s="67"/>
      <c r="H5" s="67"/>
      <c r="I5" s="67"/>
      <c r="J5" s="41"/>
      <c r="K5" s="67"/>
      <c r="L5" s="67"/>
      <c r="M5" s="67"/>
      <c r="N5" s="41"/>
      <c r="O5" s="67"/>
      <c r="P5" s="41"/>
      <c r="Q5" s="67"/>
      <c r="R5" s="44"/>
      <c r="S5" s="67"/>
      <c r="T5" s="33"/>
      <c r="U5" s="33"/>
      <c r="V5" s="33"/>
      <c r="W5" s="68"/>
      <c r="X5" s="5"/>
      <c r="Y5" s="33"/>
      <c r="Z5" s="33"/>
      <c r="AA5" s="33"/>
      <c r="AB5" s="33"/>
      <c r="AC5" s="33"/>
      <c r="AD5" s="33"/>
      <c r="AE5" s="33"/>
      <c r="AG5" s="33"/>
      <c r="AH5" s="33"/>
      <c r="AJ5" s="45" t="s">
        <v>48</v>
      </c>
      <c r="AK5" s="33"/>
      <c r="AL5" s="33"/>
      <c r="AM5" s="33"/>
      <c r="AN5" s="5"/>
      <c r="AO5" s="33"/>
      <c r="AP5" s="33"/>
      <c r="AQ5" s="33"/>
      <c r="AR5" s="33"/>
      <c r="AS5" s="33"/>
      <c r="AT5" s="33"/>
      <c r="AU5" s="33"/>
      <c r="AV5" s="33"/>
      <c r="AW5" s="44"/>
      <c r="AX5" s="45"/>
      <c r="AY5" s="45"/>
      <c r="AZ5" s="45"/>
      <c r="BA5" s="45"/>
      <c r="BB5" s="5"/>
      <c r="BC5" s="33"/>
      <c r="BD5" s="33"/>
      <c r="BE5" s="33"/>
      <c r="BF5" s="33"/>
      <c r="BG5" s="33"/>
      <c r="BH5" s="33"/>
      <c r="BI5" s="5"/>
      <c r="BJ5" s="5"/>
      <c r="BK5" s="5"/>
      <c r="BL5" s="5"/>
      <c r="BM5" s="5"/>
      <c r="BN5" s="5"/>
      <c r="BO5" s="46" t="s">
        <v>49</v>
      </c>
    </row>
    <row r="6" spans="1:69" s="5" customFormat="1" ht="27.9" customHeight="1" x14ac:dyDescent="0.25">
      <c r="A6" s="125" t="s">
        <v>144</v>
      </c>
      <c r="B6" s="125"/>
      <c r="C6" s="125"/>
      <c r="D6" s="125"/>
      <c r="E6" s="136" t="s">
        <v>50</v>
      </c>
      <c r="F6" s="187" t="s">
        <v>254</v>
      </c>
      <c r="G6" s="188"/>
      <c r="H6" s="188"/>
      <c r="I6" s="188"/>
      <c r="J6" s="189"/>
      <c r="K6" s="190" t="s">
        <v>52</v>
      </c>
      <c r="L6" s="191"/>
      <c r="M6" s="192"/>
      <c r="N6" s="193" t="s">
        <v>53</v>
      </c>
      <c r="O6" s="194"/>
      <c r="P6" s="195"/>
      <c r="Q6" s="193" t="s">
        <v>54</v>
      </c>
      <c r="R6" s="194"/>
      <c r="S6" s="195"/>
      <c r="T6" s="187" t="s">
        <v>55</v>
      </c>
      <c r="U6" s="188"/>
      <c r="V6" s="188"/>
      <c r="W6" s="188"/>
      <c r="X6" s="188"/>
      <c r="Y6" s="188"/>
      <c r="Z6" s="188"/>
      <c r="AA6" s="188"/>
      <c r="AB6" s="188"/>
      <c r="AC6" s="188"/>
      <c r="AD6" s="188"/>
      <c r="AE6" s="188"/>
      <c r="AF6" s="189"/>
      <c r="AG6" s="187" t="s">
        <v>121</v>
      </c>
      <c r="AH6" s="188"/>
      <c r="AI6" s="188"/>
      <c r="AJ6" s="189"/>
      <c r="AK6" s="187" t="s">
        <v>217</v>
      </c>
      <c r="AL6" s="188"/>
      <c r="AM6" s="188"/>
      <c r="AN6" s="188"/>
      <c r="AO6" s="187" t="s">
        <v>56</v>
      </c>
      <c r="AP6" s="188"/>
      <c r="AQ6" s="189"/>
      <c r="AR6" s="187" t="s">
        <v>57</v>
      </c>
      <c r="AS6" s="189"/>
      <c r="AT6" s="187" t="s">
        <v>58</v>
      </c>
      <c r="AU6" s="188"/>
      <c r="AV6" s="189"/>
      <c r="AW6" s="187" t="s">
        <v>59</v>
      </c>
      <c r="AX6" s="189"/>
      <c r="AY6" s="196" t="s">
        <v>60</v>
      </c>
      <c r="AZ6" s="197"/>
      <c r="BA6" s="196" t="s">
        <v>61</v>
      </c>
      <c r="BB6" s="197"/>
      <c r="BC6" s="180" t="s">
        <v>62</v>
      </c>
      <c r="BD6" s="196" t="s">
        <v>63</v>
      </c>
      <c r="BE6" s="201"/>
      <c r="BF6" s="197"/>
      <c r="BG6" s="176" t="s">
        <v>36</v>
      </c>
      <c r="BH6" s="180" t="s">
        <v>64</v>
      </c>
      <c r="BI6" s="187" t="s">
        <v>97</v>
      </c>
      <c r="BJ6" s="188"/>
      <c r="BK6" s="188"/>
      <c r="BL6" s="189"/>
      <c r="BM6" s="187" t="s">
        <v>65</v>
      </c>
      <c r="BN6" s="188"/>
      <c r="BO6" s="189"/>
    </row>
    <row r="7" spans="1:69" s="5" customFormat="1" ht="30" customHeight="1" x14ac:dyDescent="0.25">
      <c r="A7" s="125"/>
      <c r="B7" s="125"/>
      <c r="C7" s="125"/>
      <c r="D7" s="125"/>
      <c r="E7" s="136"/>
      <c r="F7" s="139" t="s">
        <v>221</v>
      </c>
      <c r="G7" s="139" t="s">
        <v>291</v>
      </c>
      <c r="H7" s="139" t="s">
        <v>66</v>
      </c>
      <c r="I7" s="130" t="s">
        <v>330</v>
      </c>
      <c r="J7" s="130" t="s">
        <v>331</v>
      </c>
      <c r="K7" s="139" t="s">
        <v>67</v>
      </c>
      <c r="L7" s="130" t="s">
        <v>333</v>
      </c>
      <c r="M7" s="139" t="s">
        <v>68</v>
      </c>
      <c r="N7" s="139" t="s">
        <v>293</v>
      </c>
      <c r="O7" s="139" t="s">
        <v>70</v>
      </c>
      <c r="P7" s="139" t="s">
        <v>71</v>
      </c>
      <c r="Q7" s="139" t="s">
        <v>294</v>
      </c>
      <c r="R7" s="130" t="s">
        <v>332</v>
      </c>
      <c r="S7" s="139" t="s">
        <v>72</v>
      </c>
      <c r="T7" s="139" t="s">
        <v>328</v>
      </c>
      <c r="U7" s="139" t="s">
        <v>296</v>
      </c>
      <c r="V7" s="139" t="s">
        <v>182</v>
      </c>
      <c r="W7" s="139" t="s">
        <v>118</v>
      </c>
      <c r="X7" s="139" t="s">
        <v>107</v>
      </c>
      <c r="Y7" s="139" t="s">
        <v>98</v>
      </c>
      <c r="Z7" s="139" t="s">
        <v>108</v>
      </c>
      <c r="AA7" s="130" t="s">
        <v>319</v>
      </c>
      <c r="AB7" s="139" t="s">
        <v>99</v>
      </c>
      <c r="AC7" s="139" t="s">
        <v>329</v>
      </c>
      <c r="AD7" s="139" t="s">
        <v>136</v>
      </c>
      <c r="AE7" s="139" t="s">
        <v>206</v>
      </c>
      <c r="AF7" s="139" t="s">
        <v>128</v>
      </c>
      <c r="AG7" s="139" t="s">
        <v>122</v>
      </c>
      <c r="AH7" s="139" t="s">
        <v>207</v>
      </c>
      <c r="AI7" s="139" t="s">
        <v>139</v>
      </c>
      <c r="AJ7" s="139" t="s">
        <v>211</v>
      </c>
      <c r="AK7" s="139" t="s">
        <v>129</v>
      </c>
      <c r="AL7" s="139" t="s">
        <v>102</v>
      </c>
      <c r="AM7" s="139" t="s">
        <v>130</v>
      </c>
      <c r="AN7" s="139" t="s">
        <v>208</v>
      </c>
      <c r="AO7" s="130" t="s">
        <v>274</v>
      </c>
      <c r="AP7" s="157" t="s">
        <v>233</v>
      </c>
      <c r="AQ7" s="139" t="s">
        <v>183</v>
      </c>
      <c r="AR7" s="139" t="s">
        <v>308</v>
      </c>
      <c r="AS7" s="139" t="s">
        <v>309</v>
      </c>
      <c r="AT7" s="130" t="s">
        <v>318</v>
      </c>
      <c r="AU7" s="139" t="s">
        <v>310</v>
      </c>
      <c r="AV7" s="139" t="s">
        <v>311</v>
      </c>
      <c r="AW7" s="139" t="s">
        <v>312</v>
      </c>
      <c r="AX7" s="139" t="s">
        <v>313</v>
      </c>
      <c r="AY7" s="139" t="s">
        <v>314</v>
      </c>
      <c r="AZ7" s="139" t="s">
        <v>315</v>
      </c>
      <c r="BA7" s="139" t="s">
        <v>316</v>
      </c>
      <c r="BB7" s="139" t="s">
        <v>317</v>
      </c>
      <c r="BC7" s="177"/>
      <c r="BD7" s="139" t="s">
        <v>116</v>
      </c>
      <c r="BE7" s="139" t="s">
        <v>73</v>
      </c>
      <c r="BF7" s="139" t="s">
        <v>138</v>
      </c>
      <c r="BG7" s="177"/>
      <c r="BH7" s="177"/>
      <c r="BI7" s="139" t="s">
        <v>119</v>
      </c>
      <c r="BJ7" s="139" t="s">
        <v>74</v>
      </c>
      <c r="BK7" s="132" t="s">
        <v>272</v>
      </c>
      <c r="BL7" s="139" t="s">
        <v>126</v>
      </c>
      <c r="BM7" s="139" t="s">
        <v>112</v>
      </c>
      <c r="BN7" s="139" t="s">
        <v>117</v>
      </c>
      <c r="BO7" s="139" t="s">
        <v>65</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58"/>
      <c r="AQ8" s="139"/>
      <c r="AR8" s="139"/>
      <c r="AS8" s="139"/>
      <c r="AT8" s="139"/>
      <c r="AU8" s="139"/>
      <c r="AV8" s="139"/>
      <c r="AW8" s="139"/>
      <c r="AX8" s="139"/>
      <c r="AY8" s="139"/>
      <c r="AZ8" s="139"/>
      <c r="BA8" s="139"/>
      <c r="BB8" s="139"/>
      <c r="BC8" s="177"/>
      <c r="BD8" s="139"/>
      <c r="BE8" s="139"/>
      <c r="BF8" s="139"/>
      <c r="BG8" s="177"/>
      <c r="BH8" s="177"/>
      <c r="BI8" s="139"/>
      <c r="BJ8" s="139"/>
      <c r="BK8" s="139"/>
      <c r="BL8" s="139"/>
      <c r="BM8" s="139"/>
      <c r="BN8" s="139"/>
      <c r="BO8" s="139"/>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58"/>
      <c r="AQ9" s="139"/>
      <c r="AR9" s="139"/>
      <c r="AS9" s="139"/>
      <c r="AT9" s="139"/>
      <c r="AU9" s="139"/>
      <c r="AV9" s="139"/>
      <c r="AW9" s="139"/>
      <c r="AX9" s="139"/>
      <c r="AY9" s="139"/>
      <c r="AZ9" s="139"/>
      <c r="BA9" s="139"/>
      <c r="BB9" s="139"/>
      <c r="BC9" s="177"/>
      <c r="BD9" s="139"/>
      <c r="BE9" s="139"/>
      <c r="BF9" s="139"/>
      <c r="BG9" s="177"/>
      <c r="BH9" s="177"/>
      <c r="BI9" s="139"/>
      <c r="BJ9" s="139"/>
      <c r="BK9" s="139"/>
      <c r="BL9" s="139"/>
      <c r="BM9" s="139"/>
      <c r="BN9" s="139"/>
      <c r="BO9" s="139"/>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58"/>
      <c r="AQ10" s="139"/>
      <c r="AR10" s="139"/>
      <c r="AS10" s="139"/>
      <c r="AT10" s="139"/>
      <c r="AU10" s="139"/>
      <c r="AV10" s="139"/>
      <c r="AW10" s="139"/>
      <c r="AX10" s="139"/>
      <c r="AY10" s="139"/>
      <c r="AZ10" s="139"/>
      <c r="BA10" s="139"/>
      <c r="BB10" s="139"/>
      <c r="BC10" s="177"/>
      <c r="BD10" s="139"/>
      <c r="BE10" s="139"/>
      <c r="BF10" s="139"/>
      <c r="BG10" s="177"/>
      <c r="BH10" s="177"/>
      <c r="BI10" s="139"/>
      <c r="BJ10" s="139"/>
      <c r="BK10" s="139"/>
      <c r="BL10" s="139"/>
      <c r="BM10" s="139"/>
      <c r="BN10" s="139"/>
      <c r="BO10" s="139"/>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58"/>
      <c r="AQ11" s="139"/>
      <c r="AR11" s="139"/>
      <c r="AS11" s="139"/>
      <c r="AT11" s="139"/>
      <c r="AU11" s="139"/>
      <c r="AV11" s="139"/>
      <c r="AW11" s="139"/>
      <c r="AX11" s="139"/>
      <c r="AY11" s="139"/>
      <c r="AZ11" s="139"/>
      <c r="BA11" s="139"/>
      <c r="BB11" s="139"/>
      <c r="BC11" s="178"/>
      <c r="BD11" s="139"/>
      <c r="BE11" s="139"/>
      <c r="BF11" s="139"/>
      <c r="BG11" s="178"/>
      <c r="BH11" s="178"/>
      <c r="BI11" s="139"/>
      <c r="BJ11" s="139"/>
      <c r="BK11" s="139"/>
      <c r="BL11" s="139"/>
      <c r="BM11" s="139"/>
      <c r="BN11" s="139"/>
      <c r="BO11" s="139"/>
    </row>
    <row r="12" spans="1:69" s="3" customFormat="1" ht="21.9" customHeight="1" x14ac:dyDescent="0.25">
      <c r="A12" s="125" t="s">
        <v>343</v>
      </c>
      <c r="B12" s="32"/>
      <c r="C12" s="51" t="s">
        <v>212</v>
      </c>
      <c r="D12" s="52"/>
      <c r="E12" s="16">
        <f t="shared" ref="E12:E57" si="0">SUM(F12:BO12)</f>
        <v>725912</v>
      </c>
      <c r="F12" s="16">
        <f t="shared" ref="F12:AK12" si="1">F14+F16+F18+F20+F22+F24+F26+F28+F30+F32+F34+F36+F38+F40+F42+F44+F46+F48+F50+F52+F54+F56</f>
        <v>15029</v>
      </c>
      <c r="G12" s="16">
        <f t="shared" si="1"/>
        <v>10822</v>
      </c>
      <c r="H12" s="16">
        <f t="shared" si="1"/>
        <v>4307</v>
      </c>
      <c r="I12" s="16">
        <f t="shared" si="1"/>
        <v>5407</v>
      </c>
      <c r="J12" s="16">
        <f t="shared" si="1"/>
        <v>1732</v>
      </c>
      <c r="K12" s="16">
        <f t="shared" si="1"/>
        <v>49179</v>
      </c>
      <c r="L12" s="16">
        <f t="shared" si="1"/>
        <v>14337</v>
      </c>
      <c r="M12" s="16">
        <f t="shared" si="1"/>
        <v>5710</v>
      </c>
      <c r="N12" s="16">
        <f t="shared" si="1"/>
        <v>4194</v>
      </c>
      <c r="O12" s="16">
        <f t="shared" si="1"/>
        <v>2245</v>
      </c>
      <c r="P12" s="16">
        <f t="shared" si="1"/>
        <v>149</v>
      </c>
      <c r="Q12" s="16">
        <f t="shared" si="1"/>
        <v>7681</v>
      </c>
      <c r="R12" s="16">
        <f t="shared" si="1"/>
        <v>8531</v>
      </c>
      <c r="S12" s="16">
        <f t="shared" si="1"/>
        <v>7872</v>
      </c>
      <c r="T12" s="16">
        <f t="shared" si="1"/>
        <v>11161</v>
      </c>
      <c r="U12" s="16">
        <f t="shared" si="1"/>
        <v>16766</v>
      </c>
      <c r="V12" s="16">
        <f t="shared" si="1"/>
        <v>5627</v>
      </c>
      <c r="W12" s="16">
        <f t="shared" si="1"/>
        <v>7446</v>
      </c>
      <c r="X12" s="16">
        <f t="shared" si="1"/>
        <v>5940</v>
      </c>
      <c r="Y12" s="16">
        <f t="shared" si="1"/>
        <v>29832</v>
      </c>
      <c r="Z12" s="16">
        <f t="shared" si="1"/>
        <v>12291</v>
      </c>
      <c r="AA12" s="16">
        <f t="shared" si="1"/>
        <v>5175</v>
      </c>
      <c r="AB12" s="16">
        <f t="shared" si="1"/>
        <v>5996</v>
      </c>
      <c r="AC12" s="16">
        <f t="shared" si="1"/>
        <v>3418</v>
      </c>
      <c r="AD12" s="16">
        <f t="shared" si="1"/>
        <v>78407</v>
      </c>
      <c r="AE12" s="16">
        <f t="shared" si="1"/>
        <v>39633</v>
      </c>
      <c r="AF12" s="16">
        <f t="shared" si="1"/>
        <v>8979</v>
      </c>
      <c r="AG12" s="16">
        <f t="shared" si="1"/>
        <v>31674</v>
      </c>
      <c r="AH12" s="16">
        <f t="shared" si="1"/>
        <v>4754</v>
      </c>
      <c r="AI12" s="16">
        <f t="shared" si="1"/>
        <v>10700</v>
      </c>
      <c r="AJ12" s="16">
        <f t="shared" si="1"/>
        <v>1690</v>
      </c>
      <c r="AK12" s="103">
        <f t="shared" si="1"/>
        <v>6125</v>
      </c>
      <c r="AL12" s="16">
        <f t="shared" ref="AL12:BO12" si="2">AL14+AL16+AL18+AL20+AL22+AL24+AL26+AL28+AL30+AL32+AL34+AL36+AL38+AL40+AL42+AL44+AL46+AL48+AL50+AL52+AL54+AL56</f>
        <v>3769</v>
      </c>
      <c r="AM12" s="16">
        <f t="shared" si="2"/>
        <v>2895</v>
      </c>
      <c r="AN12" s="16">
        <f t="shared" si="2"/>
        <v>10757</v>
      </c>
      <c r="AO12" s="16">
        <f t="shared" si="2"/>
        <v>2556</v>
      </c>
      <c r="AP12" s="16">
        <f t="shared" si="2"/>
        <v>2139</v>
      </c>
      <c r="AQ12" s="16">
        <f t="shared" si="2"/>
        <v>3484</v>
      </c>
      <c r="AR12" s="16">
        <f t="shared" si="2"/>
        <v>3310</v>
      </c>
      <c r="AS12" s="16">
        <f t="shared" si="2"/>
        <v>2730</v>
      </c>
      <c r="AT12" s="16">
        <f t="shared" si="2"/>
        <v>17742</v>
      </c>
      <c r="AU12" s="16">
        <f t="shared" si="2"/>
        <v>67176</v>
      </c>
      <c r="AV12" s="16">
        <f t="shared" si="2"/>
        <v>14125</v>
      </c>
      <c r="AW12" s="16">
        <f t="shared" si="2"/>
        <v>1065</v>
      </c>
      <c r="AX12" s="16">
        <f t="shared" si="2"/>
        <v>16396</v>
      </c>
      <c r="AY12" s="16">
        <f t="shared" si="2"/>
        <v>2968</v>
      </c>
      <c r="AZ12" s="16">
        <f t="shared" si="2"/>
        <v>622</v>
      </c>
      <c r="BA12" s="16">
        <f t="shared" si="2"/>
        <v>3203</v>
      </c>
      <c r="BB12" s="16">
        <f t="shared" si="2"/>
        <v>2996</v>
      </c>
      <c r="BC12" s="16">
        <f t="shared" si="2"/>
        <v>1761</v>
      </c>
      <c r="BD12" s="16">
        <f t="shared" si="2"/>
        <v>9755</v>
      </c>
      <c r="BE12" s="16">
        <f t="shared" si="2"/>
        <v>12225</v>
      </c>
      <c r="BF12" s="16">
        <f t="shared" si="2"/>
        <v>10900</v>
      </c>
      <c r="BG12" s="16">
        <f t="shared" si="2"/>
        <v>23997</v>
      </c>
      <c r="BH12" s="16">
        <f t="shared" si="2"/>
        <v>15518</v>
      </c>
      <c r="BI12" s="16">
        <f t="shared" si="2"/>
        <v>4542</v>
      </c>
      <c r="BJ12" s="16">
        <f t="shared" si="2"/>
        <v>14997</v>
      </c>
      <c r="BK12" s="16">
        <f t="shared" si="2"/>
        <v>6968</v>
      </c>
      <c r="BL12" s="16">
        <f t="shared" si="2"/>
        <v>17373</v>
      </c>
      <c r="BM12" s="16">
        <f t="shared" si="2"/>
        <v>7297</v>
      </c>
      <c r="BN12" s="16">
        <f t="shared" si="2"/>
        <v>2297</v>
      </c>
      <c r="BO12" s="16">
        <f t="shared" si="2"/>
        <v>17540</v>
      </c>
    </row>
    <row r="13" spans="1:69" s="3" customFormat="1" ht="21.9" customHeight="1" x14ac:dyDescent="0.25">
      <c r="A13" s="125"/>
      <c r="B13" s="5"/>
      <c r="C13" s="47" t="s">
        <v>76</v>
      </c>
      <c r="D13" s="48"/>
      <c r="E13" s="16">
        <f t="shared" si="0"/>
        <v>8984</v>
      </c>
      <c r="F13" s="26">
        <f t="shared" ref="F13:AK13" si="3">F15+F17+F19+F21+F23+F25+F27+F29+F31+F33+F35+F37+F39+F41+F43+F45+F47+F49+F51+F53+F55+F57</f>
        <v>2</v>
      </c>
      <c r="G13" s="26">
        <f t="shared" si="3"/>
        <v>5</v>
      </c>
      <c r="H13" s="26">
        <f t="shared" si="3"/>
        <v>7</v>
      </c>
      <c r="I13" s="26">
        <f t="shared" si="3"/>
        <v>26</v>
      </c>
      <c r="J13" s="26">
        <f t="shared" si="3"/>
        <v>1</v>
      </c>
      <c r="K13" s="26">
        <f t="shared" si="3"/>
        <v>59</v>
      </c>
      <c r="L13" s="26">
        <f t="shared" si="3"/>
        <v>39</v>
      </c>
      <c r="M13" s="26">
        <f t="shared" si="3"/>
        <v>2</v>
      </c>
      <c r="N13" s="26">
        <f t="shared" si="3"/>
        <v>8</v>
      </c>
      <c r="O13" s="26">
        <f t="shared" si="3"/>
        <v>3</v>
      </c>
      <c r="P13" s="26">
        <f t="shared" si="3"/>
        <v>0</v>
      </c>
      <c r="Q13" s="26">
        <f t="shared" si="3"/>
        <v>48</v>
      </c>
      <c r="R13" s="26">
        <f t="shared" si="3"/>
        <v>248</v>
      </c>
      <c r="S13" s="26">
        <f t="shared" si="3"/>
        <v>15</v>
      </c>
      <c r="T13" s="26">
        <f t="shared" si="3"/>
        <v>28</v>
      </c>
      <c r="U13" s="26">
        <f t="shared" si="3"/>
        <v>199</v>
      </c>
      <c r="V13" s="26">
        <f t="shared" si="3"/>
        <v>24</v>
      </c>
      <c r="W13" s="26">
        <f t="shared" si="3"/>
        <v>107</v>
      </c>
      <c r="X13" s="26">
        <f t="shared" si="3"/>
        <v>31</v>
      </c>
      <c r="Y13" s="26">
        <f t="shared" si="3"/>
        <v>47</v>
      </c>
      <c r="Z13" s="26">
        <f t="shared" si="3"/>
        <v>121</v>
      </c>
      <c r="AA13" s="26">
        <f t="shared" si="3"/>
        <v>8</v>
      </c>
      <c r="AB13" s="26">
        <f t="shared" si="3"/>
        <v>39</v>
      </c>
      <c r="AC13" s="26">
        <f t="shared" si="3"/>
        <v>52</v>
      </c>
      <c r="AD13" s="26">
        <f t="shared" si="3"/>
        <v>153</v>
      </c>
      <c r="AE13" s="26">
        <f t="shared" si="3"/>
        <v>200</v>
      </c>
      <c r="AF13" s="26">
        <f t="shared" si="3"/>
        <v>32</v>
      </c>
      <c r="AG13" s="26">
        <f t="shared" si="3"/>
        <v>365</v>
      </c>
      <c r="AH13" s="26">
        <f t="shared" si="3"/>
        <v>173</v>
      </c>
      <c r="AI13" s="26">
        <f t="shared" si="3"/>
        <v>39</v>
      </c>
      <c r="AJ13" s="26">
        <f t="shared" si="3"/>
        <v>0</v>
      </c>
      <c r="AK13" s="99">
        <f t="shared" si="3"/>
        <v>147</v>
      </c>
      <c r="AL13" s="26">
        <f t="shared" ref="AL13:BO13" si="4">AL15+AL17+AL19+AL21+AL23+AL25+AL27+AL29+AL31+AL33+AL35+AL37+AL39+AL41+AL43+AL45+AL47+AL49+AL51+AL53+AL55+AL57</f>
        <v>8</v>
      </c>
      <c r="AM13" s="26">
        <f t="shared" si="4"/>
        <v>8</v>
      </c>
      <c r="AN13" s="26">
        <f t="shared" si="4"/>
        <v>164</v>
      </c>
      <c r="AO13" s="26">
        <f t="shared" si="4"/>
        <v>0</v>
      </c>
      <c r="AP13" s="26">
        <f t="shared" si="4"/>
        <v>0</v>
      </c>
      <c r="AQ13" s="26">
        <f t="shared" si="4"/>
        <v>11</v>
      </c>
      <c r="AR13" s="26">
        <f t="shared" si="4"/>
        <v>115</v>
      </c>
      <c r="AS13" s="26">
        <f t="shared" si="4"/>
        <v>67</v>
      </c>
      <c r="AT13" s="26">
        <f t="shared" si="4"/>
        <v>18</v>
      </c>
      <c r="AU13" s="26">
        <f t="shared" si="4"/>
        <v>250</v>
      </c>
      <c r="AV13" s="26">
        <f t="shared" si="4"/>
        <v>52</v>
      </c>
      <c r="AW13" s="26">
        <f t="shared" si="4"/>
        <v>0</v>
      </c>
      <c r="AX13" s="26">
        <f t="shared" si="4"/>
        <v>22</v>
      </c>
      <c r="AY13" s="26">
        <f t="shared" si="4"/>
        <v>32</v>
      </c>
      <c r="AZ13" s="26">
        <f t="shared" si="4"/>
        <v>0</v>
      </c>
      <c r="BA13" s="26">
        <f t="shared" si="4"/>
        <v>4</v>
      </c>
      <c r="BB13" s="26">
        <f t="shared" si="4"/>
        <v>0</v>
      </c>
      <c r="BC13" s="26">
        <f t="shared" si="4"/>
        <v>0</v>
      </c>
      <c r="BD13" s="26">
        <f t="shared" si="4"/>
        <v>8</v>
      </c>
      <c r="BE13" s="26">
        <f t="shared" si="4"/>
        <v>78</v>
      </c>
      <c r="BF13" s="26">
        <f t="shared" si="4"/>
        <v>76</v>
      </c>
      <c r="BG13" s="26">
        <f t="shared" si="4"/>
        <v>4971</v>
      </c>
      <c r="BH13" s="26">
        <f t="shared" si="4"/>
        <v>76</v>
      </c>
      <c r="BI13" s="26">
        <f t="shared" si="4"/>
        <v>86</v>
      </c>
      <c r="BJ13" s="26">
        <f t="shared" si="4"/>
        <v>84</v>
      </c>
      <c r="BK13" s="26">
        <f t="shared" si="4"/>
        <v>37</v>
      </c>
      <c r="BL13" s="26">
        <f t="shared" si="4"/>
        <v>25</v>
      </c>
      <c r="BM13" s="26">
        <f t="shared" si="4"/>
        <v>4</v>
      </c>
      <c r="BN13" s="26">
        <f t="shared" si="4"/>
        <v>0</v>
      </c>
      <c r="BO13" s="26">
        <f t="shared" si="4"/>
        <v>560</v>
      </c>
    </row>
    <row r="14" spans="1:69" s="5" customFormat="1" ht="21.9" customHeight="1" x14ac:dyDescent="0.25">
      <c r="A14" s="125" t="s">
        <v>281</v>
      </c>
      <c r="B14" s="4"/>
      <c r="C14" s="47" t="s">
        <v>75</v>
      </c>
      <c r="D14" s="48"/>
      <c r="E14" s="16">
        <f t="shared" si="0"/>
        <v>41750</v>
      </c>
      <c r="F14" s="16">
        <v>79</v>
      </c>
      <c r="G14" s="16">
        <v>287</v>
      </c>
      <c r="H14" s="16">
        <v>53</v>
      </c>
      <c r="I14" s="16">
        <v>1088</v>
      </c>
      <c r="J14" s="16">
        <v>1</v>
      </c>
      <c r="K14" s="16">
        <v>2446</v>
      </c>
      <c r="L14" s="16">
        <v>577</v>
      </c>
      <c r="M14" s="16">
        <v>0</v>
      </c>
      <c r="N14" s="16">
        <v>41</v>
      </c>
      <c r="O14" s="16">
        <v>131</v>
      </c>
      <c r="P14" s="16">
        <v>0</v>
      </c>
      <c r="Q14" s="16">
        <v>710</v>
      </c>
      <c r="R14" s="16">
        <v>985</v>
      </c>
      <c r="S14" s="16">
        <v>159</v>
      </c>
      <c r="T14" s="16">
        <v>645</v>
      </c>
      <c r="U14" s="16">
        <v>585</v>
      </c>
      <c r="V14" s="16">
        <v>313</v>
      </c>
      <c r="W14" s="16">
        <v>580</v>
      </c>
      <c r="X14" s="16">
        <v>194</v>
      </c>
      <c r="Y14" s="16">
        <v>991</v>
      </c>
      <c r="Z14" s="16">
        <v>586</v>
      </c>
      <c r="AA14" s="16">
        <v>551</v>
      </c>
      <c r="AB14" s="16">
        <v>66</v>
      </c>
      <c r="AC14" s="16">
        <v>139</v>
      </c>
      <c r="AD14" s="16">
        <v>4860</v>
      </c>
      <c r="AE14" s="16">
        <v>2766</v>
      </c>
      <c r="AF14" s="16">
        <v>527</v>
      </c>
      <c r="AG14" s="16">
        <v>2826</v>
      </c>
      <c r="AH14" s="16">
        <v>268</v>
      </c>
      <c r="AI14" s="16">
        <v>232</v>
      </c>
      <c r="AJ14" s="16">
        <v>227</v>
      </c>
      <c r="AK14" s="98">
        <v>242</v>
      </c>
      <c r="AL14" s="16">
        <v>77</v>
      </c>
      <c r="AM14" s="16">
        <v>64</v>
      </c>
      <c r="AN14" s="16">
        <v>433</v>
      </c>
      <c r="AO14" s="16">
        <v>55</v>
      </c>
      <c r="AP14" s="16">
        <v>72</v>
      </c>
      <c r="AQ14" s="16">
        <v>99</v>
      </c>
      <c r="AR14" s="16">
        <v>112</v>
      </c>
      <c r="AS14" s="16">
        <v>119</v>
      </c>
      <c r="AT14" s="16">
        <v>659</v>
      </c>
      <c r="AU14" s="16">
        <v>8571</v>
      </c>
      <c r="AV14" s="16">
        <v>51</v>
      </c>
      <c r="AW14" s="16">
        <v>2</v>
      </c>
      <c r="AX14" s="16">
        <v>374</v>
      </c>
      <c r="AY14" s="16">
        <v>0</v>
      </c>
      <c r="AZ14" s="16">
        <v>0</v>
      </c>
      <c r="BA14" s="16">
        <v>1</v>
      </c>
      <c r="BB14" s="16">
        <v>2</v>
      </c>
      <c r="BC14" s="16">
        <v>0</v>
      </c>
      <c r="BD14" s="16">
        <v>152</v>
      </c>
      <c r="BE14" s="16">
        <v>458</v>
      </c>
      <c r="BF14" s="16">
        <v>435</v>
      </c>
      <c r="BG14" s="16">
        <v>54</v>
      </c>
      <c r="BH14" s="16">
        <v>3095</v>
      </c>
      <c r="BI14" s="16">
        <v>251</v>
      </c>
      <c r="BJ14" s="16">
        <v>549</v>
      </c>
      <c r="BK14" s="16">
        <v>252</v>
      </c>
      <c r="BL14" s="16">
        <v>244</v>
      </c>
      <c r="BM14" s="16">
        <v>23</v>
      </c>
      <c r="BN14" s="16">
        <v>151</v>
      </c>
      <c r="BO14" s="16">
        <v>2240</v>
      </c>
    </row>
    <row r="15" spans="1:69" s="5" customFormat="1" ht="21.9" customHeight="1" x14ac:dyDescent="0.25">
      <c r="A15" s="125"/>
      <c r="B15" s="4"/>
      <c r="C15" s="47" t="s">
        <v>76</v>
      </c>
      <c r="D15" s="48"/>
      <c r="E15" s="16">
        <f t="shared" si="0"/>
        <v>58</v>
      </c>
      <c r="F15" s="26">
        <v>0</v>
      </c>
      <c r="G15" s="26">
        <v>0</v>
      </c>
      <c r="H15" s="26">
        <v>0</v>
      </c>
      <c r="I15" s="26">
        <v>2</v>
      </c>
      <c r="J15" s="26">
        <v>0</v>
      </c>
      <c r="K15" s="26">
        <v>0</v>
      </c>
      <c r="L15" s="26">
        <v>0</v>
      </c>
      <c r="M15" s="26">
        <v>0</v>
      </c>
      <c r="N15" s="26">
        <v>0</v>
      </c>
      <c r="O15" s="26">
        <v>0</v>
      </c>
      <c r="P15" s="26">
        <v>0</v>
      </c>
      <c r="Q15" s="26">
        <v>1</v>
      </c>
      <c r="R15" s="26">
        <v>4</v>
      </c>
      <c r="S15" s="26">
        <v>0</v>
      </c>
      <c r="T15" s="16">
        <v>0</v>
      </c>
      <c r="U15" s="16">
        <v>3</v>
      </c>
      <c r="V15" s="16">
        <v>0</v>
      </c>
      <c r="W15" s="16">
        <v>6</v>
      </c>
      <c r="X15" s="16">
        <v>0</v>
      </c>
      <c r="Y15" s="16">
        <v>0</v>
      </c>
      <c r="Z15" s="16">
        <v>0</v>
      </c>
      <c r="AA15" s="16">
        <v>0</v>
      </c>
      <c r="AB15" s="16">
        <v>0</v>
      </c>
      <c r="AC15" s="16">
        <v>0</v>
      </c>
      <c r="AD15" s="16">
        <v>0</v>
      </c>
      <c r="AE15" s="16">
        <v>0</v>
      </c>
      <c r="AF15" s="16">
        <v>1</v>
      </c>
      <c r="AG15" s="16">
        <v>9</v>
      </c>
      <c r="AH15" s="16">
        <v>6</v>
      </c>
      <c r="AI15" s="16">
        <v>0</v>
      </c>
      <c r="AJ15" s="16">
        <v>0</v>
      </c>
      <c r="AK15" s="98">
        <v>3</v>
      </c>
      <c r="AL15" s="16">
        <v>0</v>
      </c>
      <c r="AM15" s="16">
        <v>0</v>
      </c>
      <c r="AN15" s="16">
        <v>7</v>
      </c>
      <c r="AO15" s="26">
        <v>0</v>
      </c>
      <c r="AP15" s="26">
        <v>0</v>
      </c>
      <c r="AQ15" s="26">
        <v>0</v>
      </c>
      <c r="AR15" s="26">
        <v>9</v>
      </c>
      <c r="AS15" s="26">
        <v>0</v>
      </c>
      <c r="AT15" s="26">
        <v>0</v>
      </c>
      <c r="AU15" s="26">
        <v>0</v>
      </c>
      <c r="AV15" s="26">
        <v>0</v>
      </c>
      <c r="AW15" s="26">
        <v>0</v>
      </c>
      <c r="AX15" s="26">
        <v>0</v>
      </c>
      <c r="AY15" s="16">
        <v>0</v>
      </c>
      <c r="AZ15" s="16">
        <v>0</v>
      </c>
      <c r="BA15" s="16">
        <v>0</v>
      </c>
      <c r="BB15" s="16">
        <v>0</v>
      </c>
      <c r="BC15" s="16">
        <v>0</v>
      </c>
      <c r="BD15" s="16">
        <v>0</v>
      </c>
      <c r="BE15" s="16">
        <v>1</v>
      </c>
      <c r="BF15" s="16">
        <v>0</v>
      </c>
      <c r="BG15" s="16">
        <v>0</v>
      </c>
      <c r="BH15" s="16">
        <v>0</v>
      </c>
      <c r="BI15" s="16">
        <v>0</v>
      </c>
      <c r="BJ15" s="16">
        <v>4</v>
      </c>
      <c r="BK15" s="16">
        <v>0</v>
      </c>
      <c r="BL15" s="16">
        <v>0</v>
      </c>
      <c r="BM15" s="16">
        <v>0</v>
      </c>
      <c r="BN15" s="16">
        <v>0</v>
      </c>
      <c r="BO15" s="16">
        <v>2</v>
      </c>
    </row>
    <row r="16" spans="1:69" s="5" customFormat="1" ht="21.9" customHeight="1" x14ac:dyDescent="0.25">
      <c r="A16" s="125" t="s">
        <v>282</v>
      </c>
      <c r="B16" s="4"/>
      <c r="C16" s="47" t="s">
        <v>75</v>
      </c>
      <c r="D16" s="48"/>
      <c r="E16" s="16">
        <f t="shared" si="0"/>
        <v>108200</v>
      </c>
      <c r="F16" s="16">
        <v>2793</v>
      </c>
      <c r="G16" s="16">
        <v>2540</v>
      </c>
      <c r="H16" s="16">
        <v>1755</v>
      </c>
      <c r="I16" s="16">
        <v>1113</v>
      </c>
      <c r="J16" s="16">
        <v>949</v>
      </c>
      <c r="K16" s="16">
        <v>4812</v>
      </c>
      <c r="L16" s="16">
        <v>3663</v>
      </c>
      <c r="M16" s="16">
        <v>1826</v>
      </c>
      <c r="N16" s="16">
        <v>911</v>
      </c>
      <c r="O16" s="16">
        <v>539</v>
      </c>
      <c r="P16" s="16">
        <v>32</v>
      </c>
      <c r="Q16" s="16">
        <v>1863</v>
      </c>
      <c r="R16" s="16">
        <v>1781</v>
      </c>
      <c r="S16" s="16">
        <v>1114</v>
      </c>
      <c r="T16" s="16">
        <v>2876</v>
      </c>
      <c r="U16" s="16">
        <v>4732</v>
      </c>
      <c r="V16" s="16">
        <v>2490</v>
      </c>
      <c r="W16" s="16">
        <v>2487</v>
      </c>
      <c r="X16" s="16">
        <v>2453</v>
      </c>
      <c r="Y16" s="16">
        <v>2151</v>
      </c>
      <c r="Z16" s="16">
        <v>1815</v>
      </c>
      <c r="AA16" s="16">
        <v>1900</v>
      </c>
      <c r="AB16" s="16">
        <v>2095</v>
      </c>
      <c r="AC16" s="16">
        <v>210</v>
      </c>
      <c r="AD16" s="16">
        <v>6685</v>
      </c>
      <c r="AE16" s="16">
        <v>6468</v>
      </c>
      <c r="AF16" s="16">
        <v>3004</v>
      </c>
      <c r="AG16" s="16">
        <v>2239</v>
      </c>
      <c r="AH16" s="16">
        <v>771</v>
      </c>
      <c r="AI16" s="16">
        <v>3283</v>
      </c>
      <c r="AJ16" s="16">
        <v>1002</v>
      </c>
      <c r="AK16" s="98">
        <v>1890</v>
      </c>
      <c r="AL16" s="16">
        <v>1613</v>
      </c>
      <c r="AM16" s="16">
        <v>1875</v>
      </c>
      <c r="AN16" s="16">
        <v>1306</v>
      </c>
      <c r="AO16" s="16">
        <v>1393</v>
      </c>
      <c r="AP16" s="16">
        <v>1413</v>
      </c>
      <c r="AQ16" s="16">
        <v>1681</v>
      </c>
      <c r="AR16" s="16">
        <v>570</v>
      </c>
      <c r="AS16" s="16">
        <v>452</v>
      </c>
      <c r="AT16" s="16">
        <v>2925</v>
      </c>
      <c r="AU16" s="16">
        <v>3045</v>
      </c>
      <c r="AV16" s="16">
        <v>1638</v>
      </c>
      <c r="AW16" s="16">
        <v>234</v>
      </c>
      <c r="AX16" s="16">
        <v>1110</v>
      </c>
      <c r="AY16" s="16">
        <v>454</v>
      </c>
      <c r="AZ16" s="16">
        <v>90</v>
      </c>
      <c r="BA16" s="16">
        <v>1090</v>
      </c>
      <c r="BB16" s="16">
        <v>221</v>
      </c>
      <c r="BC16" s="16">
        <v>87</v>
      </c>
      <c r="BD16" s="16">
        <v>1331</v>
      </c>
      <c r="BE16" s="16">
        <v>1431</v>
      </c>
      <c r="BF16" s="16">
        <v>821</v>
      </c>
      <c r="BG16" s="16">
        <v>1554</v>
      </c>
      <c r="BH16" s="16">
        <v>1044</v>
      </c>
      <c r="BI16" s="16">
        <v>208</v>
      </c>
      <c r="BJ16" s="16">
        <v>1276</v>
      </c>
      <c r="BK16" s="16">
        <v>868</v>
      </c>
      <c r="BL16" s="16">
        <v>1114</v>
      </c>
      <c r="BM16" s="16">
        <v>1208</v>
      </c>
      <c r="BN16" s="16">
        <v>967</v>
      </c>
      <c r="BO16" s="16">
        <v>939</v>
      </c>
    </row>
    <row r="17" spans="1:67" s="5" customFormat="1" ht="21.9" customHeight="1" x14ac:dyDescent="0.25">
      <c r="A17" s="125"/>
      <c r="B17" s="4"/>
      <c r="C17" s="47" t="s">
        <v>184</v>
      </c>
      <c r="D17" s="48"/>
      <c r="E17" s="16">
        <f t="shared" si="0"/>
        <v>1013</v>
      </c>
      <c r="F17" s="26">
        <v>1</v>
      </c>
      <c r="G17" s="26">
        <v>0</v>
      </c>
      <c r="H17" s="26">
        <v>1</v>
      </c>
      <c r="I17" s="26">
        <v>0</v>
      </c>
      <c r="J17" s="26">
        <v>0</v>
      </c>
      <c r="K17" s="26">
        <v>8</v>
      </c>
      <c r="L17" s="26">
        <v>4</v>
      </c>
      <c r="M17" s="26">
        <v>0</v>
      </c>
      <c r="N17" s="26">
        <v>0</v>
      </c>
      <c r="O17" s="26">
        <v>0</v>
      </c>
      <c r="P17" s="26">
        <v>0</v>
      </c>
      <c r="Q17" s="26">
        <v>14</v>
      </c>
      <c r="R17" s="26">
        <v>4</v>
      </c>
      <c r="S17" s="26">
        <v>0</v>
      </c>
      <c r="T17" s="16">
        <v>1</v>
      </c>
      <c r="U17" s="16">
        <v>35</v>
      </c>
      <c r="V17" s="16">
        <v>2</v>
      </c>
      <c r="W17" s="16">
        <v>3</v>
      </c>
      <c r="X17" s="16">
        <v>3</v>
      </c>
      <c r="Y17" s="16">
        <v>3</v>
      </c>
      <c r="Z17" s="16">
        <v>24</v>
      </c>
      <c r="AA17" s="16">
        <v>0</v>
      </c>
      <c r="AB17" s="16">
        <v>3</v>
      </c>
      <c r="AC17" s="16">
        <v>2</v>
      </c>
      <c r="AD17" s="16">
        <v>6</v>
      </c>
      <c r="AE17" s="16">
        <v>11</v>
      </c>
      <c r="AF17" s="16">
        <v>4</v>
      </c>
      <c r="AG17" s="16">
        <v>61</v>
      </c>
      <c r="AH17" s="16">
        <v>6</v>
      </c>
      <c r="AI17" s="16">
        <v>0</v>
      </c>
      <c r="AJ17" s="16">
        <v>0</v>
      </c>
      <c r="AK17" s="98">
        <v>3</v>
      </c>
      <c r="AL17" s="16">
        <v>0</v>
      </c>
      <c r="AM17" s="16">
        <v>0</v>
      </c>
      <c r="AN17" s="16">
        <v>1</v>
      </c>
      <c r="AO17" s="26">
        <v>0</v>
      </c>
      <c r="AP17" s="26">
        <v>0</v>
      </c>
      <c r="AQ17" s="26">
        <v>0</v>
      </c>
      <c r="AR17" s="26">
        <v>1</v>
      </c>
      <c r="AS17" s="26">
        <v>22</v>
      </c>
      <c r="AT17" s="26">
        <v>1</v>
      </c>
      <c r="AU17" s="26">
        <v>77</v>
      </c>
      <c r="AV17" s="26">
        <v>0</v>
      </c>
      <c r="AW17" s="26">
        <v>0</v>
      </c>
      <c r="AX17" s="26">
        <v>1</v>
      </c>
      <c r="AY17" s="16">
        <v>4</v>
      </c>
      <c r="AZ17" s="16">
        <v>0</v>
      </c>
      <c r="BA17" s="16">
        <v>4</v>
      </c>
      <c r="BB17" s="16">
        <v>0</v>
      </c>
      <c r="BC17" s="16">
        <v>0</v>
      </c>
      <c r="BD17" s="16">
        <v>0</v>
      </c>
      <c r="BE17" s="16">
        <v>2</v>
      </c>
      <c r="BF17" s="16">
        <v>1</v>
      </c>
      <c r="BG17" s="16">
        <v>620</v>
      </c>
      <c r="BH17" s="16">
        <v>0</v>
      </c>
      <c r="BI17" s="16">
        <v>0</v>
      </c>
      <c r="BJ17" s="16">
        <v>9</v>
      </c>
      <c r="BK17" s="16">
        <v>15</v>
      </c>
      <c r="BL17" s="16">
        <v>0</v>
      </c>
      <c r="BM17" s="16">
        <v>0</v>
      </c>
      <c r="BN17" s="16">
        <v>0</v>
      </c>
      <c r="BO17" s="16">
        <v>56</v>
      </c>
    </row>
    <row r="18" spans="1:67" s="5" customFormat="1" ht="21.9" customHeight="1" x14ac:dyDescent="0.25">
      <c r="A18" s="125" t="s">
        <v>250</v>
      </c>
      <c r="B18" s="4"/>
      <c r="C18" s="47" t="s">
        <v>75</v>
      </c>
      <c r="D18" s="48"/>
      <c r="E18" s="16">
        <f t="shared" si="0"/>
        <v>48025</v>
      </c>
      <c r="F18" s="16">
        <v>465</v>
      </c>
      <c r="G18" s="16">
        <v>149</v>
      </c>
      <c r="H18" s="16">
        <v>247</v>
      </c>
      <c r="I18" s="16">
        <v>153</v>
      </c>
      <c r="J18" s="16">
        <v>31</v>
      </c>
      <c r="K18" s="16">
        <v>3100</v>
      </c>
      <c r="L18" s="16">
        <v>2068</v>
      </c>
      <c r="M18" s="16">
        <v>169</v>
      </c>
      <c r="N18" s="16">
        <v>41</v>
      </c>
      <c r="O18" s="16">
        <v>68</v>
      </c>
      <c r="P18" s="16">
        <v>0</v>
      </c>
      <c r="Q18" s="16">
        <v>294</v>
      </c>
      <c r="R18" s="16">
        <v>801</v>
      </c>
      <c r="S18" s="16">
        <v>380</v>
      </c>
      <c r="T18" s="16">
        <v>179</v>
      </c>
      <c r="U18" s="16">
        <v>1229</v>
      </c>
      <c r="V18" s="16">
        <v>143</v>
      </c>
      <c r="W18" s="16">
        <v>788</v>
      </c>
      <c r="X18" s="16">
        <v>1162</v>
      </c>
      <c r="Y18" s="16">
        <v>2677</v>
      </c>
      <c r="Z18" s="16">
        <v>1430</v>
      </c>
      <c r="AA18" s="16">
        <v>90</v>
      </c>
      <c r="AB18" s="16">
        <v>631</v>
      </c>
      <c r="AC18" s="16">
        <v>56</v>
      </c>
      <c r="AD18" s="16">
        <v>9058</v>
      </c>
      <c r="AE18" s="16">
        <v>6906</v>
      </c>
      <c r="AF18" s="16">
        <v>204</v>
      </c>
      <c r="AG18" s="16">
        <v>1176</v>
      </c>
      <c r="AH18" s="16">
        <v>153</v>
      </c>
      <c r="AI18" s="16">
        <v>510</v>
      </c>
      <c r="AJ18" s="16">
        <v>92</v>
      </c>
      <c r="AK18" s="98">
        <v>671</v>
      </c>
      <c r="AL18" s="16">
        <v>108</v>
      </c>
      <c r="AM18" s="16">
        <v>147</v>
      </c>
      <c r="AN18" s="16">
        <v>552</v>
      </c>
      <c r="AO18" s="16">
        <v>35</v>
      </c>
      <c r="AP18" s="16">
        <v>67</v>
      </c>
      <c r="AQ18" s="16">
        <v>45</v>
      </c>
      <c r="AR18" s="16">
        <v>52</v>
      </c>
      <c r="AS18" s="16">
        <v>7</v>
      </c>
      <c r="AT18" s="16">
        <v>855</v>
      </c>
      <c r="AU18" s="16">
        <v>4040</v>
      </c>
      <c r="AV18" s="16">
        <v>250</v>
      </c>
      <c r="AW18" s="16">
        <v>28</v>
      </c>
      <c r="AX18" s="16">
        <v>971</v>
      </c>
      <c r="AY18" s="16">
        <v>91</v>
      </c>
      <c r="AZ18" s="16">
        <v>0</v>
      </c>
      <c r="BA18" s="16">
        <v>10</v>
      </c>
      <c r="BB18" s="16">
        <v>0</v>
      </c>
      <c r="BC18" s="16">
        <v>0</v>
      </c>
      <c r="BD18" s="16">
        <v>800</v>
      </c>
      <c r="BE18" s="16">
        <v>520</v>
      </c>
      <c r="BF18" s="16">
        <v>658</v>
      </c>
      <c r="BG18" s="16">
        <v>1634</v>
      </c>
      <c r="BH18" s="16">
        <v>185</v>
      </c>
      <c r="BI18" s="16">
        <v>57</v>
      </c>
      <c r="BJ18" s="16">
        <v>605</v>
      </c>
      <c r="BK18" s="16">
        <v>396</v>
      </c>
      <c r="BL18" s="16">
        <v>219</v>
      </c>
      <c r="BM18" s="16">
        <v>7</v>
      </c>
      <c r="BN18" s="16">
        <v>0</v>
      </c>
      <c r="BO18" s="16">
        <v>565</v>
      </c>
    </row>
    <row r="19" spans="1:67" s="5" customFormat="1" ht="21.9" customHeight="1" x14ac:dyDescent="0.25">
      <c r="A19" s="125"/>
      <c r="B19" s="4"/>
      <c r="C19" s="47" t="s">
        <v>76</v>
      </c>
      <c r="D19" s="48"/>
      <c r="E19" s="16">
        <f t="shared" si="0"/>
        <v>1068</v>
      </c>
      <c r="F19" s="16">
        <v>0</v>
      </c>
      <c r="G19" s="16">
        <v>0</v>
      </c>
      <c r="H19" s="16">
        <v>0</v>
      </c>
      <c r="I19" s="16">
        <v>2</v>
      </c>
      <c r="J19" s="16">
        <v>0</v>
      </c>
      <c r="K19" s="16">
        <v>6</v>
      </c>
      <c r="L19" s="16">
        <v>2</v>
      </c>
      <c r="M19" s="16">
        <v>0</v>
      </c>
      <c r="N19" s="16">
        <v>1</v>
      </c>
      <c r="O19" s="16">
        <v>0</v>
      </c>
      <c r="P19" s="16">
        <v>0</v>
      </c>
      <c r="Q19" s="16">
        <v>6</v>
      </c>
      <c r="R19" s="16">
        <v>16</v>
      </c>
      <c r="S19" s="16">
        <v>1</v>
      </c>
      <c r="T19" s="16">
        <v>3</v>
      </c>
      <c r="U19" s="16">
        <v>27</v>
      </c>
      <c r="V19" s="16">
        <v>0</v>
      </c>
      <c r="W19" s="16">
        <v>13</v>
      </c>
      <c r="X19" s="16">
        <v>6</v>
      </c>
      <c r="Y19" s="16">
        <v>8</v>
      </c>
      <c r="Z19" s="16">
        <v>8</v>
      </c>
      <c r="AA19" s="16">
        <v>0</v>
      </c>
      <c r="AB19" s="16">
        <v>4</v>
      </c>
      <c r="AC19" s="16">
        <v>0</v>
      </c>
      <c r="AD19" s="16">
        <v>16</v>
      </c>
      <c r="AE19" s="16">
        <v>34</v>
      </c>
      <c r="AF19" s="16">
        <v>0</v>
      </c>
      <c r="AG19" s="16">
        <v>29</v>
      </c>
      <c r="AH19" s="16">
        <v>14</v>
      </c>
      <c r="AI19" s="16">
        <v>3</v>
      </c>
      <c r="AJ19" s="16">
        <v>0</v>
      </c>
      <c r="AK19" s="98">
        <v>24</v>
      </c>
      <c r="AL19" s="16">
        <v>1</v>
      </c>
      <c r="AM19" s="16">
        <v>2</v>
      </c>
      <c r="AN19" s="16">
        <v>31</v>
      </c>
      <c r="AO19" s="16">
        <v>0</v>
      </c>
      <c r="AP19" s="16">
        <v>0</v>
      </c>
      <c r="AQ19" s="16">
        <v>0</v>
      </c>
      <c r="AR19" s="16">
        <v>1</v>
      </c>
      <c r="AS19" s="16">
        <v>0</v>
      </c>
      <c r="AT19" s="16">
        <v>4</v>
      </c>
      <c r="AU19" s="16">
        <v>2</v>
      </c>
      <c r="AV19" s="16">
        <v>21</v>
      </c>
      <c r="AW19" s="16">
        <v>0</v>
      </c>
      <c r="AX19" s="16">
        <v>0</v>
      </c>
      <c r="AY19" s="16">
        <v>6</v>
      </c>
      <c r="AZ19" s="16">
        <v>0</v>
      </c>
      <c r="BA19" s="16">
        <v>0</v>
      </c>
      <c r="BB19" s="16">
        <v>0</v>
      </c>
      <c r="BC19" s="16">
        <v>0</v>
      </c>
      <c r="BD19" s="16">
        <v>1</v>
      </c>
      <c r="BE19" s="16">
        <v>2</v>
      </c>
      <c r="BF19" s="16">
        <v>10</v>
      </c>
      <c r="BG19" s="16">
        <v>622</v>
      </c>
      <c r="BH19" s="16">
        <v>2</v>
      </c>
      <c r="BI19" s="16">
        <v>1</v>
      </c>
      <c r="BJ19" s="16">
        <v>22</v>
      </c>
      <c r="BK19" s="16">
        <v>5</v>
      </c>
      <c r="BL19" s="16">
        <v>1</v>
      </c>
      <c r="BM19" s="16">
        <v>0</v>
      </c>
      <c r="BN19" s="16">
        <v>0</v>
      </c>
      <c r="BO19" s="16">
        <v>111</v>
      </c>
    </row>
    <row r="20" spans="1:67" s="5" customFormat="1" ht="21.9" customHeight="1" x14ac:dyDescent="0.25">
      <c r="A20" s="125" t="s">
        <v>213</v>
      </c>
      <c r="B20" s="4"/>
      <c r="C20" s="47" t="s">
        <v>75</v>
      </c>
      <c r="D20" s="48"/>
      <c r="E20" s="16">
        <f t="shared" si="0"/>
        <v>20550</v>
      </c>
      <c r="F20" s="16">
        <v>161</v>
      </c>
      <c r="G20" s="16">
        <v>113</v>
      </c>
      <c r="H20" s="16">
        <v>117</v>
      </c>
      <c r="I20" s="16">
        <v>100</v>
      </c>
      <c r="J20" s="16">
        <v>15</v>
      </c>
      <c r="K20" s="16">
        <v>7026</v>
      </c>
      <c r="L20" s="16">
        <v>426</v>
      </c>
      <c r="M20" s="16">
        <v>11</v>
      </c>
      <c r="N20" s="16">
        <v>9</v>
      </c>
      <c r="O20" s="16">
        <v>44</v>
      </c>
      <c r="P20" s="16">
        <v>0</v>
      </c>
      <c r="Q20" s="16">
        <v>251</v>
      </c>
      <c r="R20" s="16">
        <v>222</v>
      </c>
      <c r="S20" s="16">
        <v>98</v>
      </c>
      <c r="T20" s="16">
        <v>203</v>
      </c>
      <c r="U20" s="16">
        <v>285</v>
      </c>
      <c r="V20" s="16">
        <v>18</v>
      </c>
      <c r="W20" s="16">
        <v>156</v>
      </c>
      <c r="X20" s="16">
        <v>71</v>
      </c>
      <c r="Y20" s="16">
        <v>501</v>
      </c>
      <c r="Z20" s="16">
        <v>713</v>
      </c>
      <c r="AA20" s="16">
        <v>135</v>
      </c>
      <c r="AB20" s="16">
        <v>20</v>
      </c>
      <c r="AC20" s="16">
        <v>99</v>
      </c>
      <c r="AD20" s="16">
        <v>1980</v>
      </c>
      <c r="AE20" s="16">
        <v>330</v>
      </c>
      <c r="AF20" s="16">
        <v>189</v>
      </c>
      <c r="AG20" s="16">
        <v>666</v>
      </c>
      <c r="AH20" s="16">
        <v>91</v>
      </c>
      <c r="AI20" s="16">
        <v>167</v>
      </c>
      <c r="AJ20" s="16">
        <v>15</v>
      </c>
      <c r="AK20" s="98">
        <v>149</v>
      </c>
      <c r="AL20" s="16">
        <v>48</v>
      </c>
      <c r="AM20" s="16">
        <v>11</v>
      </c>
      <c r="AN20" s="16">
        <v>455</v>
      </c>
      <c r="AO20" s="16">
        <v>31</v>
      </c>
      <c r="AP20" s="16">
        <v>31</v>
      </c>
      <c r="AQ20" s="16">
        <v>12</v>
      </c>
      <c r="AR20" s="16">
        <v>176</v>
      </c>
      <c r="AS20" s="16">
        <v>31</v>
      </c>
      <c r="AT20" s="16">
        <v>137</v>
      </c>
      <c r="AU20" s="16">
        <v>650</v>
      </c>
      <c r="AV20" s="16">
        <v>115</v>
      </c>
      <c r="AW20" s="16">
        <v>4</v>
      </c>
      <c r="AX20" s="16">
        <v>294</v>
      </c>
      <c r="AY20" s="16">
        <v>141</v>
      </c>
      <c r="AZ20" s="16">
        <v>11</v>
      </c>
      <c r="BA20" s="16">
        <v>0</v>
      </c>
      <c r="BB20" s="16">
        <v>0</v>
      </c>
      <c r="BC20" s="16">
        <v>11</v>
      </c>
      <c r="BD20" s="16">
        <v>138</v>
      </c>
      <c r="BE20" s="16">
        <v>121</v>
      </c>
      <c r="BF20" s="16">
        <v>254</v>
      </c>
      <c r="BG20" s="16">
        <v>952</v>
      </c>
      <c r="BH20" s="16">
        <v>324</v>
      </c>
      <c r="BI20" s="16">
        <v>107</v>
      </c>
      <c r="BJ20" s="16">
        <v>729</v>
      </c>
      <c r="BK20" s="16">
        <v>122</v>
      </c>
      <c r="BL20" s="16">
        <v>1005</v>
      </c>
      <c r="BM20" s="16">
        <v>44</v>
      </c>
      <c r="BN20" s="16">
        <v>16</v>
      </c>
      <c r="BO20" s="16">
        <v>199</v>
      </c>
    </row>
    <row r="21" spans="1:67" s="5" customFormat="1" ht="21.9" customHeight="1" x14ac:dyDescent="0.25">
      <c r="A21" s="125"/>
      <c r="B21" s="4"/>
      <c r="C21" s="47" t="s">
        <v>184</v>
      </c>
      <c r="D21" s="48"/>
      <c r="E21" s="16">
        <f t="shared" si="0"/>
        <v>341</v>
      </c>
      <c r="F21" s="16">
        <v>0</v>
      </c>
      <c r="G21" s="16">
        <v>1</v>
      </c>
      <c r="H21" s="16">
        <v>0</v>
      </c>
      <c r="I21" s="16">
        <v>5</v>
      </c>
      <c r="J21" s="16">
        <v>0</v>
      </c>
      <c r="K21" s="16">
        <v>3</v>
      </c>
      <c r="L21" s="16">
        <v>4</v>
      </c>
      <c r="M21" s="16">
        <v>0</v>
      </c>
      <c r="N21" s="16">
        <v>0</v>
      </c>
      <c r="O21" s="16">
        <v>1</v>
      </c>
      <c r="P21" s="16">
        <v>0</v>
      </c>
      <c r="Q21" s="16">
        <v>6</v>
      </c>
      <c r="R21" s="16">
        <v>13</v>
      </c>
      <c r="S21" s="16">
        <v>0</v>
      </c>
      <c r="T21" s="16">
        <v>7</v>
      </c>
      <c r="U21" s="16">
        <v>18</v>
      </c>
      <c r="V21" s="16">
        <v>1</v>
      </c>
      <c r="W21" s="16">
        <v>17</v>
      </c>
      <c r="X21" s="16">
        <v>5</v>
      </c>
      <c r="Y21" s="16">
        <v>7</v>
      </c>
      <c r="Z21" s="16">
        <v>9</v>
      </c>
      <c r="AA21" s="16">
        <v>1</v>
      </c>
      <c r="AB21" s="16">
        <v>0</v>
      </c>
      <c r="AC21" s="16">
        <v>4</v>
      </c>
      <c r="AD21" s="16">
        <v>16</v>
      </c>
      <c r="AE21" s="16">
        <v>10</v>
      </c>
      <c r="AF21" s="16">
        <v>2</v>
      </c>
      <c r="AG21" s="16">
        <v>31</v>
      </c>
      <c r="AH21" s="16">
        <v>4</v>
      </c>
      <c r="AI21" s="16">
        <v>3</v>
      </c>
      <c r="AJ21" s="16">
        <v>0</v>
      </c>
      <c r="AK21" s="98">
        <v>14</v>
      </c>
      <c r="AL21" s="16">
        <v>1</v>
      </c>
      <c r="AM21" s="16">
        <v>0</v>
      </c>
      <c r="AN21" s="16">
        <v>6</v>
      </c>
      <c r="AO21" s="16">
        <v>0</v>
      </c>
      <c r="AP21" s="16">
        <v>0</v>
      </c>
      <c r="AQ21" s="16">
        <v>0</v>
      </c>
      <c r="AR21" s="16">
        <v>19</v>
      </c>
      <c r="AS21" s="16">
        <v>1</v>
      </c>
      <c r="AT21" s="16">
        <v>0</v>
      </c>
      <c r="AU21" s="16">
        <v>21</v>
      </c>
      <c r="AV21" s="16">
        <v>1</v>
      </c>
      <c r="AW21" s="16">
        <v>0</v>
      </c>
      <c r="AX21" s="16">
        <v>1</v>
      </c>
      <c r="AY21" s="16">
        <v>1</v>
      </c>
      <c r="AZ21" s="16">
        <v>0</v>
      </c>
      <c r="BA21" s="16">
        <v>0</v>
      </c>
      <c r="BB21" s="16">
        <v>0</v>
      </c>
      <c r="BC21" s="16">
        <v>0</v>
      </c>
      <c r="BD21" s="16">
        <v>1</v>
      </c>
      <c r="BE21" s="16">
        <v>3</v>
      </c>
      <c r="BF21" s="16">
        <v>11</v>
      </c>
      <c r="BG21" s="16">
        <v>18</v>
      </c>
      <c r="BH21" s="16">
        <v>7</v>
      </c>
      <c r="BI21" s="16">
        <v>5</v>
      </c>
      <c r="BJ21" s="16">
        <v>1</v>
      </c>
      <c r="BK21" s="16">
        <v>1</v>
      </c>
      <c r="BL21" s="16">
        <v>0</v>
      </c>
      <c r="BM21" s="16">
        <v>0</v>
      </c>
      <c r="BN21" s="16">
        <v>0</v>
      </c>
      <c r="BO21" s="16">
        <v>61</v>
      </c>
    </row>
    <row r="22" spans="1:67" s="5" customFormat="1" ht="21.9" customHeight="1" x14ac:dyDescent="0.25">
      <c r="A22" s="125" t="s">
        <v>280</v>
      </c>
      <c r="B22" s="4"/>
      <c r="C22" s="47" t="s">
        <v>75</v>
      </c>
      <c r="D22" s="48"/>
      <c r="E22" s="16">
        <f t="shared" si="0"/>
        <v>62730</v>
      </c>
      <c r="F22" s="16">
        <v>855</v>
      </c>
      <c r="G22" s="16">
        <v>437</v>
      </c>
      <c r="H22" s="16">
        <v>289</v>
      </c>
      <c r="I22" s="16">
        <v>449</v>
      </c>
      <c r="J22" s="16">
        <v>244</v>
      </c>
      <c r="K22" s="16">
        <v>6209</v>
      </c>
      <c r="L22" s="16">
        <v>706</v>
      </c>
      <c r="M22" s="16">
        <v>308</v>
      </c>
      <c r="N22" s="16">
        <v>394</v>
      </c>
      <c r="O22" s="16">
        <v>131</v>
      </c>
      <c r="P22" s="16">
        <v>52</v>
      </c>
      <c r="Q22" s="16">
        <v>860</v>
      </c>
      <c r="R22" s="16">
        <v>409</v>
      </c>
      <c r="S22" s="16">
        <v>984</v>
      </c>
      <c r="T22" s="16">
        <v>1424</v>
      </c>
      <c r="U22" s="16">
        <v>407</v>
      </c>
      <c r="V22" s="16">
        <v>454</v>
      </c>
      <c r="W22" s="16">
        <v>610</v>
      </c>
      <c r="X22" s="16">
        <v>378</v>
      </c>
      <c r="Y22" s="16">
        <v>1761</v>
      </c>
      <c r="Z22" s="16">
        <v>666</v>
      </c>
      <c r="AA22" s="16">
        <v>378</v>
      </c>
      <c r="AB22" s="16">
        <v>173</v>
      </c>
      <c r="AC22" s="16">
        <v>880</v>
      </c>
      <c r="AD22" s="16">
        <v>6214</v>
      </c>
      <c r="AE22" s="16">
        <v>2696</v>
      </c>
      <c r="AF22" s="16">
        <v>877</v>
      </c>
      <c r="AG22" s="16">
        <v>3302</v>
      </c>
      <c r="AH22" s="16">
        <v>281</v>
      </c>
      <c r="AI22" s="16">
        <v>440</v>
      </c>
      <c r="AJ22" s="16">
        <v>71</v>
      </c>
      <c r="AK22" s="98">
        <v>313</v>
      </c>
      <c r="AL22" s="16">
        <v>105</v>
      </c>
      <c r="AM22" s="16">
        <v>32</v>
      </c>
      <c r="AN22" s="16">
        <v>719</v>
      </c>
      <c r="AO22" s="16">
        <v>104</v>
      </c>
      <c r="AP22" s="16">
        <v>40</v>
      </c>
      <c r="AQ22" s="16">
        <v>149</v>
      </c>
      <c r="AR22" s="16">
        <v>148</v>
      </c>
      <c r="AS22" s="16">
        <v>106</v>
      </c>
      <c r="AT22" s="16">
        <v>1065</v>
      </c>
      <c r="AU22" s="16">
        <v>3767</v>
      </c>
      <c r="AV22" s="16">
        <v>1178</v>
      </c>
      <c r="AW22" s="16">
        <v>314</v>
      </c>
      <c r="AX22" s="16">
        <v>2202</v>
      </c>
      <c r="AY22" s="16">
        <v>61</v>
      </c>
      <c r="AZ22" s="16">
        <v>52</v>
      </c>
      <c r="BA22" s="16">
        <v>250</v>
      </c>
      <c r="BB22" s="16">
        <v>169</v>
      </c>
      <c r="BC22" s="16">
        <v>180</v>
      </c>
      <c r="BD22" s="16">
        <v>1473</v>
      </c>
      <c r="BE22" s="16">
        <v>2176</v>
      </c>
      <c r="BF22" s="16">
        <v>2170</v>
      </c>
      <c r="BG22" s="16">
        <v>2610</v>
      </c>
      <c r="BH22" s="16">
        <v>2312</v>
      </c>
      <c r="BI22" s="16">
        <v>565</v>
      </c>
      <c r="BJ22" s="16">
        <v>1312</v>
      </c>
      <c r="BK22" s="16">
        <v>952</v>
      </c>
      <c r="BL22" s="16">
        <v>2138</v>
      </c>
      <c r="BM22" s="16">
        <v>136</v>
      </c>
      <c r="BN22" s="16">
        <v>255</v>
      </c>
      <c r="BO22" s="16">
        <v>2338</v>
      </c>
    </row>
    <row r="23" spans="1:67" s="5" customFormat="1" ht="21.9" customHeight="1" x14ac:dyDescent="0.25">
      <c r="A23" s="125"/>
      <c r="B23" s="4"/>
      <c r="C23" s="47" t="s">
        <v>76</v>
      </c>
      <c r="D23" s="48"/>
      <c r="E23" s="16">
        <f t="shared" si="0"/>
        <v>2703</v>
      </c>
      <c r="F23" s="16">
        <v>0</v>
      </c>
      <c r="G23" s="16">
        <v>0</v>
      </c>
      <c r="H23" s="16">
        <v>0</v>
      </c>
      <c r="I23" s="16">
        <v>1</v>
      </c>
      <c r="J23" s="16">
        <v>0</v>
      </c>
      <c r="K23" s="16">
        <v>12</v>
      </c>
      <c r="L23" s="16">
        <v>3</v>
      </c>
      <c r="M23" s="16">
        <v>0</v>
      </c>
      <c r="N23" s="16">
        <v>4</v>
      </c>
      <c r="O23" s="16">
        <v>0</v>
      </c>
      <c r="P23" s="16">
        <v>0</v>
      </c>
      <c r="Q23" s="16">
        <v>3</v>
      </c>
      <c r="R23" s="16">
        <v>12</v>
      </c>
      <c r="S23" s="16">
        <v>1</v>
      </c>
      <c r="T23" s="16">
        <v>1</v>
      </c>
      <c r="U23" s="16">
        <v>4</v>
      </c>
      <c r="V23" s="16">
        <v>4</v>
      </c>
      <c r="W23" s="16">
        <v>24</v>
      </c>
      <c r="X23" s="16">
        <v>2</v>
      </c>
      <c r="Y23" s="16">
        <v>0</v>
      </c>
      <c r="Z23" s="16">
        <v>8</v>
      </c>
      <c r="AA23" s="16">
        <v>0</v>
      </c>
      <c r="AB23" s="16">
        <v>1</v>
      </c>
      <c r="AC23" s="16">
        <v>17</v>
      </c>
      <c r="AD23" s="16">
        <v>14</v>
      </c>
      <c r="AE23" s="16">
        <v>6</v>
      </c>
      <c r="AF23" s="16">
        <v>0</v>
      </c>
      <c r="AG23" s="16">
        <v>21</v>
      </c>
      <c r="AH23" s="16">
        <v>11</v>
      </c>
      <c r="AI23" s="16">
        <v>2</v>
      </c>
      <c r="AJ23" s="16">
        <v>0</v>
      </c>
      <c r="AK23" s="98">
        <v>13</v>
      </c>
      <c r="AL23" s="16">
        <v>0</v>
      </c>
      <c r="AM23" s="16">
        <v>0</v>
      </c>
      <c r="AN23" s="16">
        <v>22</v>
      </c>
      <c r="AO23" s="16">
        <v>0</v>
      </c>
      <c r="AP23" s="16">
        <v>0</v>
      </c>
      <c r="AQ23" s="16">
        <v>1</v>
      </c>
      <c r="AR23" s="16">
        <v>14</v>
      </c>
      <c r="AS23" s="16">
        <v>0</v>
      </c>
      <c r="AT23" s="16">
        <v>0</v>
      </c>
      <c r="AU23" s="16">
        <v>30</v>
      </c>
      <c r="AV23" s="16">
        <v>2</v>
      </c>
      <c r="AW23" s="16">
        <v>0</v>
      </c>
      <c r="AX23" s="16">
        <v>6</v>
      </c>
      <c r="AY23" s="16">
        <v>0</v>
      </c>
      <c r="AZ23" s="16">
        <v>0</v>
      </c>
      <c r="BA23" s="16">
        <v>0</v>
      </c>
      <c r="BB23" s="16">
        <v>0</v>
      </c>
      <c r="BC23" s="16">
        <v>0</v>
      </c>
      <c r="BD23" s="16">
        <v>3</v>
      </c>
      <c r="BE23" s="16">
        <v>29</v>
      </c>
      <c r="BF23" s="16">
        <v>1</v>
      </c>
      <c r="BG23" s="16">
        <v>2282</v>
      </c>
      <c r="BH23" s="16">
        <v>4</v>
      </c>
      <c r="BI23" s="16">
        <v>24</v>
      </c>
      <c r="BJ23" s="16">
        <v>35</v>
      </c>
      <c r="BK23" s="16">
        <v>12</v>
      </c>
      <c r="BL23" s="16">
        <v>3</v>
      </c>
      <c r="BM23" s="16">
        <v>0</v>
      </c>
      <c r="BN23" s="16">
        <v>0</v>
      </c>
      <c r="BO23" s="16">
        <v>71</v>
      </c>
    </row>
    <row r="24" spans="1:67" s="5" customFormat="1" ht="21.9" customHeight="1" x14ac:dyDescent="0.25">
      <c r="A24" s="125" t="s">
        <v>194</v>
      </c>
      <c r="B24" s="4"/>
      <c r="C24" s="47" t="s">
        <v>75</v>
      </c>
      <c r="D24" s="48"/>
      <c r="E24" s="16">
        <f t="shared" si="0"/>
        <v>18400</v>
      </c>
      <c r="F24" s="16">
        <v>225</v>
      </c>
      <c r="G24" s="16">
        <v>202</v>
      </c>
      <c r="H24" s="16">
        <v>73</v>
      </c>
      <c r="I24" s="16">
        <v>103</v>
      </c>
      <c r="J24" s="16">
        <v>28</v>
      </c>
      <c r="K24" s="16">
        <v>3387</v>
      </c>
      <c r="L24" s="16">
        <v>231</v>
      </c>
      <c r="M24" s="16">
        <v>22</v>
      </c>
      <c r="N24" s="16">
        <v>94</v>
      </c>
      <c r="O24" s="16">
        <v>36</v>
      </c>
      <c r="P24" s="16">
        <v>0</v>
      </c>
      <c r="Q24" s="16">
        <v>175</v>
      </c>
      <c r="R24" s="16">
        <v>366</v>
      </c>
      <c r="S24" s="16">
        <v>65</v>
      </c>
      <c r="T24" s="16">
        <v>446</v>
      </c>
      <c r="U24" s="16">
        <v>425</v>
      </c>
      <c r="V24" s="16">
        <v>67</v>
      </c>
      <c r="W24" s="16">
        <v>100</v>
      </c>
      <c r="X24" s="16">
        <v>72</v>
      </c>
      <c r="Y24" s="16">
        <v>522</v>
      </c>
      <c r="Z24" s="16">
        <v>201</v>
      </c>
      <c r="AA24" s="16">
        <v>55</v>
      </c>
      <c r="AB24" s="16">
        <v>67</v>
      </c>
      <c r="AC24" s="16">
        <v>114</v>
      </c>
      <c r="AD24" s="16">
        <v>2696</v>
      </c>
      <c r="AE24" s="16">
        <v>468</v>
      </c>
      <c r="AF24" s="16">
        <v>142</v>
      </c>
      <c r="AG24" s="16">
        <v>2233</v>
      </c>
      <c r="AH24" s="16">
        <v>201</v>
      </c>
      <c r="AI24" s="16">
        <v>107</v>
      </c>
      <c r="AJ24" s="16">
        <v>2</v>
      </c>
      <c r="AK24" s="98">
        <v>114</v>
      </c>
      <c r="AL24" s="16">
        <v>102</v>
      </c>
      <c r="AM24" s="16">
        <v>19</v>
      </c>
      <c r="AN24" s="16">
        <v>542</v>
      </c>
      <c r="AO24" s="16">
        <v>81</v>
      </c>
      <c r="AP24" s="16">
        <v>16</v>
      </c>
      <c r="AQ24" s="16">
        <v>130</v>
      </c>
      <c r="AR24" s="16">
        <v>25</v>
      </c>
      <c r="AS24" s="16">
        <v>36</v>
      </c>
      <c r="AT24" s="16">
        <v>98</v>
      </c>
      <c r="AU24" s="16">
        <v>1579</v>
      </c>
      <c r="AV24" s="16">
        <v>132</v>
      </c>
      <c r="AW24" s="16">
        <v>1</v>
      </c>
      <c r="AX24" s="16">
        <v>175</v>
      </c>
      <c r="AY24" s="16">
        <v>91</v>
      </c>
      <c r="AZ24" s="16">
        <v>9</v>
      </c>
      <c r="BA24" s="16">
        <v>0</v>
      </c>
      <c r="BB24" s="16">
        <v>0</v>
      </c>
      <c r="BC24" s="16">
        <v>0</v>
      </c>
      <c r="BD24" s="16">
        <v>41</v>
      </c>
      <c r="BE24" s="16">
        <v>49</v>
      </c>
      <c r="BF24" s="16">
        <v>165</v>
      </c>
      <c r="BG24" s="16">
        <v>698</v>
      </c>
      <c r="BH24" s="16">
        <v>404</v>
      </c>
      <c r="BI24" s="16">
        <v>31</v>
      </c>
      <c r="BJ24" s="16">
        <v>372</v>
      </c>
      <c r="BK24" s="16">
        <v>135</v>
      </c>
      <c r="BL24" s="16">
        <v>324</v>
      </c>
      <c r="BM24" s="16">
        <v>10</v>
      </c>
      <c r="BN24" s="16">
        <v>27</v>
      </c>
      <c r="BO24" s="16">
        <v>69</v>
      </c>
    </row>
    <row r="25" spans="1:67" s="5" customFormat="1" ht="21.9" customHeight="1" x14ac:dyDescent="0.25">
      <c r="A25" s="125"/>
      <c r="B25" s="4"/>
      <c r="C25" s="47" t="s">
        <v>76</v>
      </c>
      <c r="D25" s="48"/>
      <c r="E25" s="16">
        <f t="shared" si="0"/>
        <v>361</v>
      </c>
      <c r="F25" s="26">
        <v>0</v>
      </c>
      <c r="G25" s="26">
        <v>0</v>
      </c>
      <c r="H25" s="26">
        <v>0</v>
      </c>
      <c r="I25" s="26">
        <v>1</v>
      </c>
      <c r="J25" s="26">
        <v>0</v>
      </c>
      <c r="K25" s="26">
        <v>5</v>
      </c>
      <c r="L25" s="26">
        <v>5</v>
      </c>
      <c r="M25" s="26">
        <v>0</v>
      </c>
      <c r="N25" s="26">
        <v>0</v>
      </c>
      <c r="O25" s="26">
        <v>1</v>
      </c>
      <c r="P25" s="26">
        <v>0</v>
      </c>
      <c r="Q25" s="26">
        <v>2</v>
      </c>
      <c r="R25" s="26">
        <v>9</v>
      </c>
      <c r="S25" s="26">
        <v>4</v>
      </c>
      <c r="T25" s="16">
        <v>5</v>
      </c>
      <c r="U25" s="16">
        <v>8</v>
      </c>
      <c r="V25" s="16">
        <v>0</v>
      </c>
      <c r="W25" s="16">
        <v>4</v>
      </c>
      <c r="X25" s="16">
        <v>0</v>
      </c>
      <c r="Y25" s="16">
        <v>3</v>
      </c>
      <c r="Z25" s="16">
        <v>1</v>
      </c>
      <c r="AA25" s="16">
        <v>0</v>
      </c>
      <c r="AB25" s="16">
        <v>0</v>
      </c>
      <c r="AC25" s="16">
        <v>0</v>
      </c>
      <c r="AD25" s="16">
        <v>12</v>
      </c>
      <c r="AE25" s="16">
        <v>1</v>
      </c>
      <c r="AF25" s="16">
        <v>2</v>
      </c>
      <c r="AG25" s="16">
        <v>41</v>
      </c>
      <c r="AH25" s="16">
        <v>12</v>
      </c>
      <c r="AI25" s="16">
        <v>0</v>
      </c>
      <c r="AJ25" s="16">
        <v>0</v>
      </c>
      <c r="AK25" s="98">
        <v>3</v>
      </c>
      <c r="AL25" s="16">
        <v>1</v>
      </c>
      <c r="AM25" s="16">
        <v>1</v>
      </c>
      <c r="AN25" s="16">
        <v>8</v>
      </c>
      <c r="AO25" s="26">
        <v>0</v>
      </c>
      <c r="AP25" s="26">
        <v>0</v>
      </c>
      <c r="AQ25" s="26">
        <v>2</v>
      </c>
      <c r="AR25" s="26">
        <v>0</v>
      </c>
      <c r="AS25" s="26">
        <v>9</v>
      </c>
      <c r="AT25" s="26">
        <v>0</v>
      </c>
      <c r="AU25" s="26">
        <v>8</v>
      </c>
      <c r="AV25" s="26">
        <v>2</v>
      </c>
      <c r="AW25" s="26">
        <v>0</v>
      </c>
      <c r="AX25" s="26">
        <v>1</v>
      </c>
      <c r="AY25" s="16">
        <v>3</v>
      </c>
      <c r="AZ25" s="16">
        <v>0</v>
      </c>
      <c r="BA25" s="16">
        <v>0</v>
      </c>
      <c r="BB25" s="16">
        <v>0</v>
      </c>
      <c r="BC25" s="16">
        <v>0</v>
      </c>
      <c r="BD25" s="16">
        <v>0</v>
      </c>
      <c r="BE25" s="16">
        <v>0</v>
      </c>
      <c r="BF25" s="16">
        <v>2</v>
      </c>
      <c r="BG25" s="16">
        <v>162</v>
      </c>
      <c r="BH25" s="16">
        <v>10</v>
      </c>
      <c r="BI25" s="16">
        <v>4</v>
      </c>
      <c r="BJ25" s="16">
        <v>1</v>
      </c>
      <c r="BK25" s="16">
        <v>0</v>
      </c>
      <c r="BL25" s="16">
        <v>4</v>
      </c>
      <c r="BM25" s="16">
        <v>0</v>
      </c>
      <c r="BN25" s="16">
        <v>0</v>
      </c>
      <c r="BO25" s="16">
        <v>24</v>
      </c>
    </row>
    <row r="26" spans="1:67" s="5" customFormat="1" ht="21.9" customHeight="1" x14ac:dyDescent="0.25">
      <c r="A26" s="125" t="s">
        <v>81</v>
      </c>
      <c r="C26" s="47" t="s">
        <v>75</v>
      </c>
      <c r="D26" s="48"/>
      <c r="E26" s="16">
        <f t="shared" si="0"/>
        <v>41808</v>
      </c>
      <c r="F26" s="16">
        <v>777</v>
      </c>
      <c r="G26" s="16">
        <v>697</v>
      </c>
      <c r="H26" s="16">
        <v>5</v>
      </c>
      <c r="I26" s="16">
        <v>47</v>
      </c>
      <c r="J26" s="16">
        <v>0</v>
      </c>
      <c r="K26" s="16">
        <v>3592</v>
      </c>
      <c r="L26" s="16">
        <v>434</v>
      </c>
      <c r="M26" s="16">
        <v>104</v>
      </c>
      <c r="N26" s="16">
        <v>279</v>
      </c>
      <c r="O26" s="16">
        <v>129</v>
      </c>
      <c r="P26" s="16">
        <v>0</v>
      </c>
      <c r="Q26" s="16">
        <v>369</v>
      </c>
      <c r="R26" s="16">
        <v>199</v>
      </c>
      <c r="S26" s="16">
        <v>25</v>
      </c>
      <c r="T26" s="16">
        <v>659</v>
      </c>
      <c r="U26" s="16">
        <v>735</v>
      </c>
      <c r="V26" s="16">
        <v>59</v>
      </c>
      <c r="W26" s="16">
        <v>137</v>
      </c>
      <c r="X26" s="16">
        <v>163</v>
      </c>
      <c r="Y26" s="16">
        <v>1709</v>
      </c>
      <c r="Z26" s="16">
        <v>902</v>
      </c>
      <c r="AA26" s="16">
        <v>25</v>
      </c>
      <c r="AB26" s="16">
        <v>43</v>
      </c>
      <c r="AC26" s="16">
        <v>25</v>
      </c>
      <c r="AD26" s="16">
        <v>6976</v>
      </c>
      <c r="AE26" s="16">
        <v>725</v>
      </c>
      <c r="AF26" s="16">
        <v>52</v>
      </c>
      <c r="AG26" s="16">
        <v>4306</v>
      </c>
      <c r="AH26" s="16">
        <v>29</v>
      </c>
      <c r="AI26" s="16">
        <v>47</v>
      </c>
      <c r="AJ26" s="16">
        <v>0</v>
      </c>
      <c r="AK26" s="98">
        <v>220</v>
      </c>
      <c r="AL26" s="16">
        <v>40</v>
      </c>
      <c r="AM26" s="16">
        <v>0</v>
      </c>
      <c r="AN26" s="16">
        <v>153</v>
      </c>
      <c r="AO26" s="16">
        <v>60</v>
      </c>
      <c r="AP26" s="16">
        <v>0</v>
      </c>
      <c r="AQ26" s="16">
        <v>15</v>
      </c>
      <c r="AR26" s="16">
        <v>63</v>
      </c>
      <c r="AS26" s="16">
        <v>16</v>
      </c>
      <c r="AT26" s="16">
        <v>294</v>
      </c>
      <c r="AU26" s="16">
        <v>3032</v>
      </c>
      <c r="AV26" s="16">
        <v>397</v>
      </c>
      <c r="AW26" s="16">
        <v>52</v>
      </c>
      <c r="AX26" s="16">
        <v>2146</v>
      </c>
      <c r="AY26" s="16">
        <v>0</v>
      </c>
      <c r="AZ26" s="16">
        <v>3</v>
      </c>
      <c r="BA26" s="16">
        <v>0</v>
      </c>
      <c r="BB26" s="16">
        <v>0</v>
      </c>
      <c r="BC26" s="16">
        <v>0</v>
      </c>
      <c r="BD26" s="16">
        <v>100</v>
      </c>
      <c r="BE26" s="16">
        <v>128</v>
      </c>
      <c r="BF26" s="16">
        <v>142</v>
      </c>
      <c r="BG26" s="16">
        <v>82</v>
      </c>
      <c r="BH26" s="16">
        <v>1278</v>
      </c>
      <c r="BI26" s="16">
        <v>941</v>
      </c>
      <c r="BJ26" s="16">
        <v>731</v>
      </c>
      <c r="BK26" s="16">
        <v>261</v>
      </c>
      <c r="BL26" s="16">
        <v>1916</v>
      </c>
      <c r="BM26" s="16">
        <v>0</v>
      </c>
      <c r="BN26" s="16">
        <v>0</v>
      </c>
      <c r="BO26" s="16">
        <v>6489</v>
      </c>
    </row>
    <row r="27" spans="1:67" s="5" customFormat="1" ht="21.9" customHeight="1" x14ac:dyDescent="0.25">
      <c r="A27" s="125"/>
      <c r="C27" s="47" t="s">
        <v>131</v>
      </c>
      <c r="D27" s="48"/>
      <c r="E27" s="16">
        <f t="shared" si="0"/>
        <v>359</v>
      </c>
      <c r="F27" s="26">
        <v>0</v>
      </c>
      <c r="G27" s="26">
        <v>2</v>
      </c>
      <c r="H27" s="26">
        <v>0</v>
      </c>
      <c r="I27" s="26">
        <v>2</v>
      </c>
      <c r="J27" s="26">
        <v>0</v>
      </c>
      <c r="K27" s="26">
        <v>2</v>
      </c>
      <c r="L27" s="26">
        <v>0</v>
      </c>
      <c r="M27" s="26">
        <v>0</v>
      </c>
      <c r="N27" s="26">
        <v>0</v>
      </c>
      <c r="O27" s="26">
        <v>0</v>
      </c>
      <c r="P27" s="26">
        <v>0</v>
      </c>
      <c r="Q27" s="26">
        <v>2</v>
      </c>
      <c r="R27" s="26">
        <v>2</v>
      </c>
      <c r="S27" s="26">
        <v>4</v>
      </c>
      <c r="T27" s="16">
        <v>0</v>
      </c>
      <c r="U27" s="16">
        <v>0</v>
      </c>
      <c r="V27" s="16">
        <v>9</v>
      </c>
      <c r="W27" s="16">
        <v>2</v>
      </c>
      <c r="X27" s="16">
        <v>0</v>
      </c>
      <c r="Y27" s="16">
        <v>6</v>
      </c>
      <c r="Z27" s="16">
        <v>20</v>
      </c>
      <c r="AA27" s="16">
        <v>0</v>
      </c>
      <c r="AB27" s="16">
        <v>0</v>
      </c>
      <c r="AC27" s="16">
        <v>5</v>
      </c>
      <c r="AD27" s="16">
        <v>6</v>
      </c>
      <c r="AE27" s="16">
        <v>8</v>
      </c>
      <c r="AF27" s="16">
        <v>2</v>
      </c>
      <c r="AG27" s="16">
        <v>23</v>
      </c>
      <c r="AH27" s="16">
        <v>6</v>
      </c>
      <c r="AI27" s="16">
        <v>0</v>
      </c>
      <c r="AJ27" s="16">
        <v>0</v>
      </c>
      <c r="AK27" s="98">
        <v>14</v>
      </c>
      <c r="AL27" s="16">
        <v>0</v>
      </c>
      <c r="AM27" s="16">
        <v>0</v>
      </c>
      <c r="AN27" s="16">
        <v>5</v>
      </c>
      <c r="AO27" s="26">
        <v>0</v>
      </c>
      <c r="AP27" s="26">
        <v>0</v>
      </c>
      <c r="AQ27" s="26">
        <v>6</v>
      </c>
      <c r="AR27" s="26">
        <v>24</v>
      </c>
      <c r="AS27" s="26">
        <v>21</v>
      </c>
      <c r="AT27" s="26">
        <v>13</v>
      </c>
      <c r="AU27" s="26">
        <v>15</v>
      </c>
      <c r="AV27" s="26">
        <v>14</v>
      </c>
      <c r="AW27" s="26">
        <v>0</v>
      </c>
      <c r="AX27" s="26">
        <v>4</v>
      </c>
      <c r="AY27" s="16">
        <v>0</v>
      </c>
      <c r="AZ27" s="16">
        <v>0</v>
      </c>
      <c r="BA27" s="16">
        <v>0</v>
      </c>
      <c r="BB27" s="16">
        <v>0</v>
      </c>
      <c r="BC27" s="16">
        <v>0</v>
      </c>
      <c r="BD27" s="16">
        <v>0</v>
      </c>
      <c r="BE27" s="16">
        <v>0</v>
      </c>
      <c r="BF27" s="16">
        <v>0</v>
      </c>
      <c r="BG27" s="16">
        <v>93</v>
      </c>
      <c r="BH27" s="16">
        <v>5</v>
      </c>
      <c r="BI27" s="16">
        <v>0</v>
      </c>
      <c r="BJ27" s="16">
        <v>0</v>
      </c>
      <c r="BK27" s="16">
        <v>0</v>
      </c>
      <c r="BL27" s="16">
        <v>0</v>
      </c>
      <c r="BM27" s="16">
        <v>0</v>
      </c>
      <c r="BN27" s="16">
        <v>0</v>
      </c>
      <c r="BO27" s="16">
        <v>44</v>
      </c>
    </row>
    <row r="28" spans="1:67" s="5" customFormat="1" ht="21.9" customHeight="1" x14ac:dyDescent="0.25">
      <c r="A28" s="125" t="s">
        <v>82</v>
      </c>
      <c r="B28" s="4"/>
      <c r="C28" s="47" t="s">
        <v>75</v>
      </c>
      <c r="D28" s="48"/>
      <c r="E28" s="16">
        <f t="shared" si="0"/>
        <v>12824</v>
      </c>
      <c r="F28" s="16">
        <v>496</v>
      </c>
      <c r="G28" s="16">
        <v>281</v>
      </c>
      <c r="H28" s="16">
        <v>11</v>
      </c>
      <c r="I28" s="16">
        <v>143</v>
      </c>
      <c r="J28" s="16">
        <v>0</v>
      </c>
      <c r="K28" s="16">
        <v>1069</v>
      </c>
      <c r="L28" s="16">
        <v>137</v>
      </c>
      <c r="M28" s="16">
        <v>84</v>
      </c>
      <c r="N28" s="16">
        <v>18</v>
      </c>
      <c r="O28" s="16">
        <v>2</v>
      </c>
      <c r="P28" s="16">
        <v>0</v>
      </c>
      <c r="Q28" s="16">
        <v>5</v>
      </c>
      <c r="R28" s="16">
        <v>41</v>
      </c>
      <c r="S28" s="16">
        <v>45</v>
      </c>
      <c r="T28" s="16">
        <v>119</v>
      </c>
      <c r="U28" s="16">
        <v>492</v>
      </c>
      <c r="V28" s="16">
        <v>165</v>
      </c>
      <c r="W28" s="16">
        <v>37</v>
      </c>
      <c r="X28" s="16">
        <v>44</v>
      </c>
      <c r="Y28" s="16">
        <v>595</v>
      </c>
      <c r="Z28" s="16">
        <v>95</v>
      </c>
      <c r="AA28" s="16">
        <v>11</v>
      </c>
      <c r="AB28" s="16">
        <v>94</v>
      </c>
      <c r="AC28" s="16">
        <v>4</v>
      </c>
      <c r="AD28" s="16">
        <v>1684</v>
      </c>
      <c r="AE28" s="16">
        <v>818</v>
      </c>
      <c r="AF28" s="16">
        <v>192</v>
      </c>
      <c r="AG28" s="16">
        <v>262</v>
      </c>
      <c r="AH28" s="16">
        <v>57</v>
      </c>
      <c r="AI28" s="16">
        <v>80</v>
      </c>
      <c r="AJ28" s="16">
        <v>1</v>
      </c>
      <c r="AK28" s="98">
        <v>39</v>
      </c>
      <c r="AL28" s="16">
        <v>31</v>
      </c>
      <c r="AM28" s="16">
        <v>64</v>
      </c>
      <c r="AN28" s="16">
        <v>686</v>
      </c>
      <c r="AO28" s="16">
        <v>20</v>
      </c>
      <c r="AP28" s="16">
        <v>0</v>
      </c>
      <c r="AQ28" s="16">
        <v>27</v>
      </c>
      <c r="AR28" s="16">
        <v>93</v>
      </c>
      <c r="AS28" s="16">
        <v>76</v>
      </c>
      <c r="AT28" s="16">
        <v>721</v>
      </c>
      <c r="AU28" s="16">
        <v>1707</v>
      </c>
      <c r="AV28" s="16">
        <v>722</v>
      </c>
      <c r="AW28" s="16">
        <v>6</v>
      </c>
      <c r="AX28" s="16">
        <v>510</v>
      </c>
      <c r="AY28" s="16">
        <v>5</v>
      </c>
      <c r="AZ28" s="16">
        <v>0</v>
      </c>
      <c r="BA28" s="16">
        <v>0</v>
      </c>
      <c r="BB28" s="16">
        <v>0</v>
      </c>
      <c r="BC28" s="16">
        <v>5</v>
      </c>
      <c r="BD28" s="16">
        <v>139</v>
      </c>
      <c r="BE28" s="16">
        <v>104</v>
      </c>
      <c r="BF28" s="16">
        <v>54</v>
      </c>
      <c r="BG28" s="16">
        <v>3</v>
      </c>
      <c r="BH28" s="16">
        <v>254</v>
      </c>
      <c r="BI28" s="16">
        <v>2</v>
      </c>
      <c r="BJ28" s="16">
        <v>139</v>
      </c>
      <c r="BK28" s="16">
        <v>39</v>
      </c>
      <c r="BL28" s="16">
        <v>174</v>
      </c>
      <c r="BM28" s="16">
        <v>5</v>
      </c>
      <c r="BN28" s="16">
        <v>21</v>
      </c>
      <c r="BO28" s="16">
        <v>96</v>
      </c>
    </row>
    <row r="29" spans="1:67" s="5" customFormat="1" ht="21.9" customHeight="1" x14ac:dyDescent="0.25">
      <c r="A29" s="125"/>
      <c r="B29" s="4"/>
      <c r="C29" s="47" t="s">
        <v>76</v>
      </c>
      <c r="D29" s="48"/>
      <c r="E29" s="16">
        <f t="shared" si="0"/>
        <v>125</v>
      </c>
      <c r="F29" s="26">
        <v>0</v>
      </c>
      <c r="G29" s="26">
        <v>0</v>
      </c>
      <c r="H29" s="26">
        <v>0</v>
      </c>
      <c r="I29" s="26">
        <v>1</v>
      </c>
      <c r="J29" s="26">
        <v>0</v>
      </c>
      <c r="K29" s="26">
        <v>2</v>
      </c>
      <c r="L29" s="26">
        <v>2</v>
      </c>
      <c r="M29" s="26">
        <v>0</v>
      </c>
      <c r="N29" s="26">
        <v>0</v>
      </c>
      <c r="O29" s="26">
        <v>0</v>
      </c>
      <c r="P29" s="26">
        <v>0</v>
      </c>
      <c r="Q29" s="26">
        <v>0</v>
      </c>
      <c r="R29" s="26">
        <v>2</v>
      </c>
      <c r="S29" s="26">
        <v>1</v>
      </c>
      <c r="T29" s="16">
        <v>4</v>
      </c>
      <c r="U29" s="16">
        <v>11</v>
      </c>
      <c r="V29" s="16">
        <v>2</v>
      </c>
      <c r="W29" s="16">
        <v>0</v>
      </c>
      <c r="X29" s="16">
        <v>1</v>
      </c>
      <c r="Y29" s="16">
        <v>6</v>
      </c>
      <c r="Z29" s="16">
        <v>4</v>
      </c>
      <c r="AA29" s="16">
        <v>1</v>
      </c>
      <c r="AB29" s="16">
        <v>2</v>
      </c>
      <c r="AC29" s="16">
        <v>2</v>
      </c>
      <c r="AD29" s="16">
        <v>6</v>
      </c>
      <c r="AE29" s="16">
        <v>6</v>
      </c>
      <c r="AF29" s="16">
        <v>3</v>
      </c>
      <c r="AG29" s="16">
        <v>9</v>
      </c>
      <c r="AH29" s="16">
        <v>7</v>
      </c>
      <c r="AI29" s="16">
        <v>4</v>
      </c>
      <c r="AJ29" s="16">
        <v>0</v>
      </c>
      <c r="AK29" s="98">
        <v>10</v>
      </c>
      <c r="AL29" s="16">
        <v>2</v>
      </c>
      <c r="AM29" s="16">
        <v>0</v>
      </c>
      <c r="AN29" s="16">
        <v>2</v>
      </c>
      <c r="AO29" s="26">
        <v>0</v>
      </c>
      <c r="AP29" s="26">
        <v>0</v>
      </c>
      <c r="AQ29" s="26">
        <v>0</v>
      </c>
      <c r="AR29" s="26">
        <v>5</v>
      </c>
      <c r="AS29" s="26">
        <v>0</v>
      </c>
      <c r="AT29" s="26">
        <v>0</v>
      </c>
      <c r="AU29" s="26">
        <v>3</v>
      </c>
      <c r="AV29" s="26">
        <v>3</v>
      </c>
      <c r="AW29" s="26">
        <v>0</v>
      </c>
      <c r="AX29" s="26">
        <v>0</v>
      </c>
      <c r="AY29" s="26">
        <v>0</v>
      </c>
      <c r="AZ29" s="26">
        <v>0</v>
      </c>
      <c r="BA29" s="26">
        <v>0</v>
      </c>
      <c r="BB29" s="26">
        <v>0</v>
      </c>
      <c r="BC29" s="16">
        <v>0</v>
      </c>
      <c r="BD29" s="16">
        <v>0</v>
      </c>
      <c r="BE29" s="16">
        <v>4</v>
      </c>
      <c r="BF29" s="16">
        <v>3</v>
      </c>
      <c r="BG29" s="16">
        <v>2</v>
      </c>
      <c r="BH29" s="16">
        <v>0</v>
      </c>
      <c r="BI29" s="16">
        <v>0</v>
      </c>
      <c r="BJ29" s="16">
        <v>1</v>
      </c>
      <c r="BK29" s="16">
        <v>1</v>
      </c>
      <c r="BL29" s="16">
        <v>0</v>
      </c>
      <c r="BM29" s="16">
        <v>0</v>
      </c>
      <c r="BN29" s="16">
        <v>0</v>
      </c>
      <c r="BO29" s="16">
        <v>13</v>
      </c>
    </row>
    <row r="30" spans="1:67" s="5" customFormat="1" ht="21.9" customHeight="1" x14ac:dyDescent="0.25">
      <c r="A30" s="125" t="s">
        <v>83</v>
      </c>
      <c r="B30" s="4"/>
      <c r="C30" s="47" t="s">
        <v>142</v>
      </c>
      <c r="D30" s="48"/>
      <c r="E30" s="16">
        <f t="shared" si="0"/>
        <v>13762</v>
      </c>
      <c r="F30" s="16">
        <v>436</v>
      </c>
      <c r="G30" s="16">
        <v>0</v>
      </c>
      <c r="H30" s="16">
        <v>5</v>
      </c>
      <c r="I30" s="16">
        <v>0</v>
      </c>
      <c r="J30" s="16">
        <v>0</v>
      </c>
      <c r="K30" s="16">
        <v>967</v>
      </c>
      <c r="L30" s="16">
        <v>30</v>
      </c>
      <c r="M30" s="16">
        <v>0</v>
      </c>
      <c r="N30" s="16">
        <v>96</v>
      </c>
      <c r="O30" s="16">
        <v>0</v>
      </c>
      <c r="P30" s="16">
        <v>0</v>
      </c>
      <c r="Q30" s="16">
        <v>173</v>
      </c>
      <c r="R30" s="16">
        <v>127</v>
      </c>
      <c r="S30" s="16">
        <v>0</v>
      </c>
      <c r="T30" s="16">
        <v>519</v>
      </c>
      <c r="U30" s="16">
        <v>363</v>
      </c>
      <c r="V30" s="16">
        <v>57</v>
      </c>
      <c r="W30" s="16">
        <v>250</v>
      </c>
      <c r="X30" s="16">
        <v>117</v>
      </c>
      <c r="Y30" s="16">
        <v>468</v>
      </c>
      <c r="Z30" s="16">
        <v>527</v>
      </c>
      <c r="AA30" s="16">
        <v>10</v>
      </c>
      <c r="AB30" s="16">
        <v>32</v>
      </c>
      <c r="AC30" s="16">
        <v>1</v>
      </c>
      <c r="AD30" s="16">
        <v>1475</v>
      </c>
      <c r="AE30" s="16">
        <v>460</v>
      </c>
      <c r="AF30" s="16">
        <v>7</v>
      </c>
      <c r="AG30" s="16">
        <v>1895</v>
      </c>
      <c r="AH30" s="16">
        <v>281</v>
      </c>
      <c r="AI30" s="16">
        <v>2</v>
      </c>
      <c r="AJ30" s="16">
        <v>0</v>
      </c>
      <c r="AK30" s="98">
        <v>159</v>
      </c>
      <c r="AL30" s="16">
        <v>10</v>
      </c>
      <c r="AM30" s="16">
        <v>2</v>
      </c>
      <c r="AN30" s="16">
        <v>134</v>
      </c>
      <c r="AO30" s="16">
        <v>157</v>
      </c>
      <c r="AP30" s="16">
        <v>49</v>
      </c>
      <c r="AQ30" s="16">
        <v>139</v>
      </c>
      <c r="AR30" s="16">
        <v>238</v>
      </c>
      <c r="AS30" s="16">
        <v>1</v>
      </c>
      <c r="AT30" s="16">
        <v>86</v>
      </c>
      <c r="AU30" s="16">
        <v>2055</v>
      </c>
      <c r="AV30" s="16">
        <v>86</v>
      </c>
      <c r="AW30" s="16">
        <v>0</v>
      </c>
      <c r="AX30" s="16">
        <v>170</v>
      </c>
      <c r="AY30" s="16">
        <v>56</v>
      </c>
      <c r="AZ30" s="16">
        <v>0</v>
      </c>
      <c r="BA30" s="16">
        <v>0</v>
      </c>
      <c r="BB30" s="16">
        <v>0</v>
      </c>
      <c r="BC30" s="16">
        <v>0</v>
      </c>
      <c r="BD30" s="16">
        <v>10</v>
      </c>
      <c r="BE30" s="16">
        <v>53</v>
      </c>
      <c r="BF30" s="16">
        <v>61</v>
      </c>
      <c r="BG30" s="16">
        <v>65</v>
      </c>
      <c r="BH30" s="16">
        <v>82</v>
      </c>
      <c r="BI30" s="16">
        <v>121</v>
      </c>
      <c r="BJ30" s="16">
        <v>182</v>
      </c>
      <c r="BK30" s="16">
        <v>99</v>
      </c>
      <c r="BL30" s="16">
        <v>770</v>
      </c>
      <c r="BM30" s="16">
        <v>21</v>
      </c>
      <c r="BN30" s="16">
        <v>0</v>
      </c>
      <c r="BO30" s="16">
        <v>658</v>
      </c>
    </row>
    <row r="31" spans="1:67" s="5" customFormat="1" ht="21.9" customHeight="1" x14ac:dyDescent="0.25">
      <c r="A31" s="125"/>
      <c r="B31" s="4"/>
      <c r="C31" s="47" t="s">
        <v>76</v>
      </c>
      <c r="D31" s="48"/>
      <c r="E31" s="16">
        <f t="shared" si="0"/>
        <v>157</v>
      </c>
      <c r="F31" s="26">
        <v>0</v>
      </c>
      <c r="G31" s="26">
        <v>0</v>
      </c>
      <c r="H31" s="26">
        <v>0</v>
      </c>
      <c r="I31" s="26">
        <v>0</v>
      </c>
      <c r="J31" s="26">
        <v>0</v>
      </c>
      <c r="K31" s="26">
        <v>3</v>
      </c>
      <c r="L31" s="26">
        <v>0</v>
      </c>
      <c r="M31" s="26">
        <v>0</v>
      </c>
      <c r="N31" s="26">
        <v>0</v>
      </c>
      <c r="O31" s="26">
        <v>0</v>
      </c>
      <c r="P31" s="26">
        <v>0</v>
      </c>
      <c r="Q31" s="26">
        <v>1</v>
      </c>
      <c r="R31" s="26">
        <v>0</v>
      </c>
      <c r="S31" s="26">
        <v>0</v>
      </c>
      <c r="T31" s="16">
        <v>4</v>
      </c>
      <c r="U31" s="16">
        <v>11</v>
      </c>
      <c r="V31" s="16">
        <v>0</v>
      </c>
      <c r="W31" s="16">
        <v>0</v>
      </c>
      <c r="X31" s="16">
        <v>0</v>
      </c>
      <c r="Y31" s="16">
        <v>2</v>
      </c>
      <c r="Z31" s="16">
        <v>3</v>
      </c>
      <c r="AA31" s="16">
        <v>0</v>
      </c>
      <c r="AB31" s="16">
        <v>1</v>
      </c>
      <c r="AC31" s="16">
        <v>0</v>
      </c>
      <c r="AD31" s="16">
        <v>0</v>
      </c>
      <c r="AE31" s="16">
        <v>0</v>
      </c>
      <c r="AF31" s="16">
        <v>0</v>
      </c>
      <c r="AG31" s="16">
        <v>14</v>
      </c>
      <c r="AH31" s="16">
        <v>0</v>
      </c>
      <c r="AI31" s="16">
        <v>0</v>
      </c>
      <c r="AJ31" s="16">
        <v>0</v>
      </c>
      <c r="AK31" s="98">
        <v>0</v>
      </c>
      <c r="AL31" s="16">
        <v>0</v>
      </c>
      <c r="AM31" s="16">
        <v>2</v>
      </c>
      <c r="AN31" s="16">
        <v>2</v>
      </c>
      <c r="AO31" s="26">
        <v>0</v>
      </c>
      <c r="AP31" s="26">
        <v>0</v>
      </c>
      <c r="AQ31" s="26">
        <v>0</v>
      </c>
      <c r="AR31" s="26">
        <v>1</v>
      </c>
      <c r="AS31" s="26">
        <v>0</v>
      </c>
      <c r="AT31" s="26">
        <v>0</v>
      </c>
      <c r="AU31" s="26">
        <v>4</v>
      </c>
      <c r="AV31" s="26">
        <v>3</v>
      </c>
      <c r="AW31" s="26">
        <v>0</v>
      </c>
      <c r="AX31" s="26">
        <v>0</v>
      </c>
      <c r="AY31" s="16">
        <v>2</v>
      </c>
      <c r="AZ31" s="16">
        <v>0</v>
      </c>
      <c r="BA31" s="16">
        <v>0</v>
      </c>
      <c r="BB31" s="16">
        <v>0</v>
      </c>
      <c r="BC31" s="16">
        <v>0</v>
      </c>
      <c r="BD31" s="16">
        <v>0</v>
      </c>
      <c r="BE31" s="16">
        <v>0</v>
      </c>
      <c r="BF31" s="16">
        <v>5</v>
      </c>
      <c r="BG31" s="16">
        <v>6</v>
      </c>
      <c r="BH31" s="16">
        <v>0</v>
      </c>
      <c r="BI31" s="16">
        <v>0</v>
      </c>
      <c r="BJ31" s="16">
        <v>0</v>
      </c>
      <c r="BK31" s="16">
        <v>0</v>
      </c>
      <c r="BL31" s="16">
        <v>0</v>
      </c>
      <c r="BM31" s="16">
        <v>0</v>
      </c>
      <c r="BN31" s="16">
        <v>0</v>
      </c>
      <c r="BO31" s="16">
        <v>93</v>
      </c>
    </row>
    <row r="32" spans="1:67" s="5" customFormat="1" ht="21.9" customHeight="1" x14ac:dyDescent="0.25">
      <c r="A32" s="125" t="s">
        <v>84</v>
      </c>
      <c r="B32" s="4"/>
      <c r="C32" s="47" t="s">
        <v>75</v>
      </c>
      <c r="D32" s="48"/>
      <c r="E32" s="16">
        <f t="shared" si="0"/>
        <v>31511</v>
      </c>
      <c r="F32" s="16">
        <v>554</v>
      </c>
      <c r="G32" s="16">
        <v>287</v>
      </c>
      <c r="H32" s="16">
        <v>128</v>
      </c>
      <c r="I32" s="16">
        <v>155</v>
      </c>
      <c r="J32" s="16">
        <v>6</v>
      </c>
      <c r="K32" s="16">
        <v>1315</v>
      </c>
      <c r="L32" s="16">
        <v>377</v>
      </c>
      <c r="M32" s="16">
        <v>42</v>
      </c>
      <c r="N32" s="16">
        <v>13</v>
      </c>
      <c r="O32" s="16">
        <v>131</v>
      </c>
      <c r="P32" s="16">
        <v>0</v>
      </c>
      <c r="Q32" s="16">
        <v>208</v>
      </c>
      <c r="R32" s="16">
        <v>305</v>
      </c>
      <c r="S32" s="16">
        <v>154</v>
      </c>
      <c r="T32" s="16">
        <v>371</v>
      </c>
      <c r="U32" s="16">
        <v>504</v>
      </c>
      <c r="V32" s="16">
        <v>87</v>
      </c>
      <c r="W32" s="16">
        <v>271</v>
      </c>
      <c r="X32" s="16">
        <v>65</v>
      </c>
      <c r="Y32" s="16">
        <v>1304</v>
      </c>
      <c r="Z32" s="16">
        <v>251</v>
      </c>
      <c r="AA32" s="16">
        <v>69</v>
      </c>
      <c r="AB32" s="16">
        <v>77</v>
      </c>
      <c r="AC32" s="16">
        <v>138</v>
      </c>
      <c r="AD32" s="16">
        <v>1875</v>
      </c>
      <c r="AE32" s="16">
        <v>380</v>
      </c>
      <c r="AF32" s="16">
        <v>166</v>
      </c>
      <c r="AG32" s="16">
        <v>850</v>
      </c>
      <c r="AH32" s="16">
        <v>253</v>
      </c>
      <c r="AI32" s="16">
        <v>176</v>
      </c>
      <c r="AJ32" s="16">
        <v>13</v>
      </c>
      <c r="AK32" s="98">
        <v>170</v>
      </c>
      <c r="AL32" s="16">
        <v>46</v>
      </c>
      <c r="AM32" s="16">
        <v>3</v>
      </c>
      <c r="AN32" s="16">
        <v>297</v>
      </c>
      <c r="AO32" s="16">
        <v>48</v>
      </c>
      <c r="AP32" s="16">
        <v>43</v>
      </c>
      <c r="AQ32" s="16">
        <v>215</v>
      </c>
      <c r="AR32" s="16">
        <v>90</v>
      </c>
      <c r="AS32" s="16">
        <v>98</v>
      </c>
      <c r="AT32" s="16">
        <v>260</v>
      </c>
      <c r="AU32" s="16">
        <v>2526</v>
      </c>
      <c r="AV32" s="16">
        <v>695</v>
      </c>
      <c r="AW32" s="16">
        <v>17</v>
      </c>
      <c r="AX32" s="16">
        <v>858</v>
      </c>
      <c r="AY32" s="16">
        <v>292</v>
      </c>
      <c r="AZ32" s="16">
        <v>249</v>
      </c>
      <c r="BA32" s="16">
        <v>5</v>
      </c>
      <c r="BB32" s="16">
        <v>0</v>
      </c>
      <c r="BC32" s="16">
        <v>1</v>
      </c>
      <c r="BD32" s="16">
        <v>490</v>
      </c>
      <c r="BE32" s="16">
        <v>374</v>
      </c>
      <c r="BF32" s="16">
        <v>518</v>
      </c>
      <c r="BG32" s="16">
        <v>12150</v>
      </c>
      <c r="BH32" s="16">
        <v>388</v>
      </c>
      <c r="BI32" s="16">
        <v>269</v>
      </c>
      <c r="BJ32" s="16">
        <v>117</v>
      </c>
      <c r="BK32" s="16">
        <v>315</v>
      </c>
      <c r="BL32" s="16">
        <v>171</v>
      </c>
      <c r="BM32" s="16">
        <v>108</v>
      </c>
      <c r="BN32" s="16">
        <v>149</v>
      </c>
      <c r="BO32" s="16">
        <v>24</v>
      </c>
    </row>
    <row r="33" spans="1:67" s="5" customFormat="1" ht="21.9" customHeight="1" x14ac:dyDescent="0.25">
      <c r="A33" s="125"/>
      <c r="B33" s="4"/>
      <c r="C33" s="47" t="s">
        <v>76</v>
      </c>
      <c r="D33" s="48"/>
      <c r="E33" s="16">
        <f t="shared" si="0"/>
        <v>480</v>
      </c>
      <c r="F33" s="26">
        <v>0</v>
      </c>
      <c r="G33" s="26">
        <v>0</v>
      </c>
      <c r="H33" s="26">
        <v>2</v>
      </c>
      <c r="I33" s="26">
        <v>6</v>
      </c>
      <c r="J33" s="26">
        <v>0</v>
      </c>
      <c r="K33" s="26">
        <v>2</v>
      </c>
      <c r="L33" s="26">
        <v>1</v>
      </c>
      <c r="M33" s="26">
        <v>0</v>
      </c>
      <c r="N33" s="26">
        <v>0</v>
      </c>
      <c r="O33" s="26">
        <v>0</v>
      </c>
      <c r="P33" s="26">
        <v>0</v>
      </c>
      <c r="Q33" s="26">
        <v>4</v>
      </c>
      <c r="R33" s="26">
        <v>13</v>
      </c>
      <c r="S33" s="26">
        <v>0</v>
      </c>
      <c r="T33" s="16">
        <v>1</v>
      </c>
      <c r="U33" s="16">
        <v>35</v>
      </c>
      <c r="V33" s="16">
        <v>2</v>
      </c>
      <c r="W33" s="16">
        <v>8</v>
      </c>
      <c r="X33" s="16">
        <v>1</v>
      </c>
      <c r="Y33" s="16">
        <v>1</v>
      </c>
      <c r="Z33" s="16">
        <v>16</v>
      </c>
      <c r="AA33" s="16">
        <v>0</v>
      </c>
      <c r="AB33" s="16">
        <v>1</v>
      </c>
      <c r="AC33" s="16">
        <v>3</v>
      </c>
      <c r="AD33" s="16">
        <v>12</v>
      </c>
      <c r="AE33" s="16">
        <v>8</v>
      </c>
      <c r="AF33" s="16">
        <v>0</v>
      </c>
      <c r="AG33" s="16">
        <v>15</v>
      </c>
      <c r="AH33" s="16">
        <v>45</v>
      </c>
      <c r="AI33" s="16">
        <v>0</v>
      </c>
      <c r="AJ33" s="16">
        <v>0</v>
      </c>
      <c r="AK33" s="98">
        <v>9</v>
      </c>
      <c r="AL33" s="16">
        <v>1</v>
      </c>
      <c r="AM33" s="16">
        <v>2</v>
      </c>
      <c r="AN33" s="16">
        <v>13</v>
      </c>
      <c r="AO33" s="26">
        <v>0</v>
      </c>
      <c r="AP33" s="26">
        <v>0</v>
      </c>
      <c r="AQ33" s="26">
        <v>0</v>
      </c>
      <c r="AR33" s="26">
        <v>1</v>
      </c>
      <c r="AS33" s="26">
        <v>1</v>
      </c>
      <c r="AT33" s="26">
        <v>0</v>
      </c>
      <c r="AU33" s="26">
        <v>0</v>
      </c>
      <c r="AV33" s="26">
        <v>1</v>
      </c>
      <c r="AW33" s="26">
        <v>0</v>
      </c>
      <c r="AX33" s="26">
        <v>1</v>
      </c>
      <c r="AY33" s="16">
        <v>8</v>
      </c>
      <c r="AZ33" s="16">
        <v>0</v>
      </c>
      <c r="BA33" s="16">
        <v>0</v>
      </c>
      <c r="BB33" s="16">
        <v>0</v>
      </c>
      <c r="BC33" s="16">
        <v>0</v>
      </c>
      <c r="BD33" s="16">
        <v>2</v>
      </c>
      <c r="BE33" s="16">
        <v>0</v>
      </c>
      <c r="BF33" s="16">
        <v>0</v>
      </c>
      <c r="BG33" s="16">
        <v>259</v>
      </c>
      <c r="BH33" s="16">
        <v>1</v>
      </c>
      <c r="BI33" s="16">
        <v>3</v>
      </c>
      <c r="BJ33" s="16">
        <v>2</v>
      </c>
      <c r="BK33" s="16">
        <v>0</v>
      </c>
      <c r="BL33" s="16">
        <v>0</v>
      </c>
      <c r="BM33" s="16">
        <v>0</v>
      </c>
      <c r="BN33" s="16">
        <v>0</v>
      </c>
      <c r="BO33" s="16">
        <v>0</v>
      </c>
    </row>
    <row r="34" spans="1:67" s="5" customFormat="1" ht="21.9" customHeight="1" x14ac:dyDescent="0.25">
      <c r="A34" s="125" t="s">
        <v>85</v>
      </c>
      <c r="C34" s="47" t="s">
        <v>75</v>
      </c>
      <c r="D34" s="48"/>
      <c r="E34" s="16">
        <f t="shared" si="0"/>
        <v>12157</v>
      </c>
      <c r="F34" s="16">
        <v>178</v>
      </c>
      <c r="G34" s="16">
        <v>244</v>
      </c>
      <c r="H34" s="16">
        <v>62</v>
      </c>
      <c r="I34" s="16">
        <v>16</v>
      </c>
      <c r="J34" s="16">
        <v>3</v>
      </c>
      <c r="K34" s="16">
        <v>659</v>
      </c>
      <c r="L34" s="16">
        <v>419</v>
      </c>
      <c r="M34" s="16">
        <v>1</v>
      </c>
      <c r="N34" s="16">
        <v>8</v>
      </c>
      <c r="O34" s="16">
        <v>45</v>
      </c>
      <c r="P34" s="16">
        <v>0</v>
      </c>
      <c r="Q34" s="16">
        <v>85</v>
      </c>
      <c r="R34" s="16">
        <v>38</v>
      </c>
      <c r="S34" s="16">
        <v>169</v>
      </c>
      <c r="T34" s="16">
        <v>336</v>
      </c>
      <c r="U34" s="16">
        <v>632</v>
      </c>
      <c r="V34" s="16">
        <v>115</v>
      </c>
      <c r="W34" s="16">
        <v>268</v>
      </c>
      <c r="X34" s="16">
        <v>324</v>
      </c>
      <c r="Y34" s="16">
        <v>265</v>
      </c>
      <c r="Z34" s="16">
        <v>113</v>
      </c>
      <c r="AA34" s="16">
        <v>78</v>
      </c>
      <c r="AB34" s="16">
        <v>98</v>
      </c>
      <c r="AC34" s="16">
        <v>89</v>
      </c>
      <c r="AD34" s="16">
        <v>843</v>
      </c>
      <c r="AE34" s="16">
        <v>245</v>
      </c>
      <c r="AF34" s="16">
        <v>466</v>
      </c>
      <c r="AG34" s="16">
        <v>377</v>
      </c>
      <c r="AH34" s="16">
        <v>271</v>
      </c>
      <c r="AI34" s="16">
        <v>89</v>
      </c>
      <c r="AJ34" s="16">
        <v>4</v>
      </c>
      <c r="AK34" s="98">
        <v>173</v>
      </c>
      <c r="AL34" s="16">
        <v>48</v>
      </c>
      <c r="AM34" s="16">
        <v>117</v>
      </c>
      <c r="AN34" s="16">
        <v>602</v>
      </c>
      <c r="AO34" s="16">
        <v>87</v>
      </c>
      <c r="AP34" s="16">
        <v>65</v>
      </c>
      <c r="AQ34" s="16">
        <v>80</v>
      </c>
      <c r="AR34" s="16">
        <v>40</v>
      </c>
      <c r="AS34" s="16">
        <v>16</v>
      </c>
      <c r="AT34" s="16">
        <v>34</v>
      </c>
      <c r="AU34" s="16">
        <v>440</v>
      </c>
      <c r="AV34" s="16">
        <v>256</v>
      </c>
      <c r="AW34" s="16">
        <v>9</v>
      </c>
      <c r="AX34" s="16">
        <v>149</v>
      </c>
      <c r="AY34" s="16">
        <v>64</v>
      </c>
      <c r="AZ34" s="16">
        <v>17</v>
      </c>
      <c r="BA34" s="16">
        <v>42</v>
      </c>
      <c r="BB34" s="16">
        <v>11</v>
      </c>
      <c r="BC34" s="16">
        <v>0</v>
      </c>
      <c r="BD34" s="16">
        <v>58</v>
      </c>
      <c r="BE34" s="16">
        <v>19</v>
      </c>
      <c r="BF34" s="16">
        <v>105</v>
      </c>
      <c r="BG34" s="16">
        <v>546</v>
      </c>
      <c r="BH34" s="16">
        <v>436</v>
      </c>
      <c r="BI34" s="16">
        <v>746</v>
      </c>
      <c r="BJ34" s="16">
        <v>447</v>
      </c>
      <c r="BK34" s="16">
        <v>357</v>
      </c>
      <c r="BL34" s="16">
        <v>405</v>
      </c>
      <c r="BM34" s="16">
        <v>25</v>
      </c>
      <c r="BN34" s="16">
        <v>33</v>
      </c>
      <c r="BO34" s="16">
        <v>190</v>
      </c>
    </row>
    <row r="35" spans="1:67" s="5" customFormat="1" ht="21.9" customHeight="1" x14ac:dyDescent="0.25">
      <c r="A35" s="125"/>
      <c r="C35" s="47" t="s">
        <v>76</v>
      </c>
      <c r="D35" s="48"/>
      <c r="E35" s="16">
        <f t="shared" si="0"/>
        <v>19</v>
      </c>
      <c r="F35" s="26">
        <v>0</v>
      </c>
      <c r="G35" s="26">
        <v>0</v>
      </c>
      <c r="H35" s="26">
        <v>0</v>
      </c>
      <c r="I35" s="26">
        <v>0</v>
      </c>
      <c r="J35" s="26">
        <v>0</v>
      </c>
      <c r="K35" s="26">
        <v>0</v>
      </c>
      <c r="L35" s="26">
        <v>0</v>
      </c>
      <c r="M35" s="26">
        <v>0</v>
      </c>
      <c r="N35" s="26">
        <v>0</v>
      </c>
      <c r="O35" s="26">
        <v>0</v>
      </c>
      <c r="P35" s="26">
        <v>0</v>
      </c>
      <c r="Q35" s="26">
        <v>0</v>
      </c>
      <c r="R35" s="26">
        <v>0</v>
      </c>
      <c r="S35" s="26">
        <v>0</v>
      </c>
      <c r="T35" s="16">
        <v>0</v>
      </c>
      <c r="U35" s="16">
        <v>1</v>
      </c>
      <c r="V35" s="16">
        <v>0</v>
      </c>
      <c r="W35" s="16">
        <v>0</v>
      </c>
      <c r="X35" s="16">
        <v>0</v>
      </c>
      <c r="Y35" s="16">
        <v>2</v>
      </c>
      <c r="Z35" s="16">
        <v>1</v>
      </c>
      <c r="AA35" s="16">
        <v>0</v>
      </c>
      <c r="AB35" s="16">
        <v>0</v>
      </c>
      <c r="AC35" s="16">
        <v>0</v>
      </c>
      <c r="AD35" s="16">
        <v>1</v>
      </c>
      <c r="AE35" s="16">
        <v>0</v>
      </c>
      <c r="AF35" s="16">
        <v>0</v>
      </c>
      <c r="AG35" s="16">
        <v>1</v>
      </c>
      <c r="AH35" s="16">
        <v>2</v>
      </c>
      <c r="AI35" s="16">
        <v>0</v>
      </c>
      <c r="AJ35" s="16">
        <v>0</v>
      </c>
      <c r="AK35" s="98">
        <v>6</v>
      </c>
      <c r="AL35" s="16">
        <v>0</v>
      </c>
      <c r="AM35" s="16">
        <v>0</v>
      </c>
      <c r="AN35" s="16">
        <v>3</v>
      </c>
      <c r="AO35" s="26">
        <v>0</v>
      </c>
      <c r="AP35" s="26">
        <v>0</v>
      </c>
      <c r="AQ35" s="26">
        <v>0</v>
      </c>
      <c r="AR35" s="26">
        <v>0</v>
      </c>
      <c r="AS35" s="26">
        <v>0</v>
      </c>
      <c r="AT35" s="26">
        <v>0</v>
      </c>
      <c r="AU35" s="26">
        <v>0</v>
      </c>
      <c r="AV35" s="26">
        <v>0</v>
      </c>
      <c r="AW35" s="26">
        <v>0</v>
      </c>
      <c r="AX35" s="26">
        <v>0</v>
      </c>
      <c r="AY35" s="16">
        <v>0</v>
      </c>
      <c r="AZ35" s="16">
        <v>0</v>
      </c>
      <c r="BA35" s="16">
        <v>0</v>
      </c>
      <c r="BB35" s="16">
        <v>0</v>
      </c>
      <c r="BC35" s="16">
        <v>0</v>
      </c>
      <c r="BD35" s="16">
        <v>0</v>
      </c>
      <c r="BE35" s="16">
        <v>1</v>
      </c>
      <c r="BF35" s="16">
        <v>0</v>
      </c>
      <c r="BG35" s="16">
        <v>1</v>
      </c>
      <c r="BH35" s="16">
        <v>0</v>
      </c>
      <c r="BI35" s="16">
        <v>0</v>
      </c>
      <c r="BJ35" s="16">
        <v>0</v>
      </c>
      <c r="BK35" s="16">
        <v>0</v>
      </c>
      <c r="BL35" s="16">
        <v>0</v>
      </c>
      <c r="BM35" s="16">
        <v>0</v>
      </c>
      <c r="BN35" s="16">
        <v>0</v>
      </c>
      <c r="BO35" s="16">
        <v>0</v>
      </c>
    </row>
    <row r="36" spans="1:67" s="5" customFormat="1" ht="21.9" customHeight="1" x14ac:dyDescent="0.25">
      <c r="A36" s="125" t="s">
        <v>251</v>
      </c>
      <c r="B36" s="4"/>
      <c r="C36" s="47" t="s">
        <v>75</v>
      </c>
      <c r="D36" s="48"/>
      <c r="E36" s="16">
        <f t="shared" si="0"/>
        <v>13924</v>
      </c>
      <c r="F36" s="16">
        <v>277</v>
      </c>
      <c r="G36" s="16">
        <v>265</v>
      </c>
      <c r="H36" s="16">
        <v>93</v>
      </c>
      <c r="I36" s="16">
        <v>149</v>
      </c>
      <c r="J36" s="16">
        <v>32</v>
      </c>
      <c r="K36" s="16">
        <v>683</v>
      </c>
      <c r="L36" s="16">
        <v>147</v>
      </c>
      <c r="M36" s="16">
        <v>28</v>
      </c>
      <c r="N36" s="16">
        <v>81</v>
      </c>
      <c r="O36" s="16">
        <v>68</v>
      </c>
      <c r="P36" s="16">
        <v>1</v>
      </c>
      <c r="Q36" s="16">
        <v>76</v>
      </c>
      <c r="R36" s="16">
        <v>156</v>
      </c>
      <c r="S36" s="16">
        <v>81</v>
      </c>
      <c r="T36" s="16">
        <v>366</v>
      </c>
      <c r="U36" s="16">
        <v>426</v>
      </c>
      <c r="V36" s="16">
        <v>68</v>
      </c>
      <c r="W36" s="16">
        <v>82</v>
      </c>
      <c r="X36" s="16">
        <v>36</v>
      </c>
      <c r="Y36" s="16">
        <v>413</v>
      </c>
      <c r="Z36" s="16">
        <v>219</v>
      </c>
      <c r="AA36" s="16">
        <v>79</v>
      </c>
      <c r="AB36" s="16">
        <v>54</v>
      </c>
      <c r="AC36" s="16">
        <v>104</v>
      </c>
      <c r="AD36" s="16">
        <v>1733</v>
      </c>
      <c r="AE36" s="16">
        <v>842</v>
      </c>
      <c r="AF36" s="16">
        <v>192</v>
      </c>
      <c r="AG36" s="16">
        <v>496</v>
      </c>
      <c r="AH36" s="16">
        <v>47</v>
      </c>
      <c r="AI36" s="16">
        <v>51</v>
      </c>
      <c r="AJ36" s="16">
        <v>4</v>
      </c>
      <c r="AK36" s="98">
        <v>64</v>
      </c>
      <c r="AL36" s="16">
        <v>72</v>
      </c>
      <c r="AM36" s="16">
        <v>6</v>
      </c>
      <c r="AN36" s="16">
        <v>159</v>
      </c>
      <c r="AO36" s="16">
        <v>35</v>
      </c>
      <c r="AP36" s="16">
        <v>1</v>
      </c>
      <c r="AQ36" s="16">
        <v>270</v>
      </c>
      <c r="AR36" s="16">
        <v>13</v>
      </c>
      <c r="AS36" s="16">
        <v>3</v>
      </c>
      <c r="AT36" s="16">
        <v>364</v>
      </c>
      <c r="AU36" s="16">
        <v>1183</v>
      </c>
      <c r="AV36" s="16">
        <v>471</v>
      </c>
      <c r="AW36" s="16">
        <v>4</v>
      </c>
      <c r="AX36" s="16">
        <v>377</v>
      </c>
      <c r="AY36" s="16">
        <v>230</v>
      </c>
      <c r="AZ36" s="16">
        <v>3</v>
      </c>
      <c r="BA36" s="16">
        <v>7</v>
      </c>
      <c r="BB36" s="26">
        <v>0</v>
      </c>
      <c r="BC36" s="16">
        <v>4</v>
      </c>
      <c r="BD36" s="16">
        <v>127</v>
      </c>
      <c r="BE36" s="16">
        <v>106</v>
      </c>
      <c r="BF36" s="16">
        <v>216</v>
      </c>
      <c r="BG36" s="16">
        <v>76</v>
      </c>
      <c r="BH36" s="16">
        <v>1056</v>
      </c>
      <c r="BI36" s="16">
        <v>248</v>
      </c>
      <c r="BJ36" s="16">
        <v>98</v>
      </c>
      <c r="BK36" s="16">
        <v>67</v>
      </c>
      <c r="BL36" s="16">
        <v>273</v>
      </c>
      <c r="BM36" s="16">
        <v>114</v>
      </c>
      <c r="BN36" s="16">
        <v>115</v>
      </c>
      <c r="BO36" s="16">
        <v>813</v>
      </c>
    </row>
    <row r="37" spans="1:67" s="5" customFormat="1" ht="21.9" customHeight="1" x14ac:dyDescent="0.25">
      <c r="A37" s="125"/>
      <c r="B37" s="4"/>
      <c r="C37" s="47" t="s">
        <v>76</v>
      </c>
      <c r="D37" s="48"/>
      <c r="E37" s="16">
        <f t="shared" si="0"/>
        <v>190</v>
      </c>
      <c r="F37" s="26">
        <v>0</v>
      </c>
      <c r="G37" s="26">
        <v>2</v>
      </c>
      <c r="H37" s="26">
        <v>3</v>
      </c>
      <c r="I37" s="26">
        <v>2</v>
      </c>
      <c r="J37" s="26">
        <v>0</v>
      </c>
      <c r="K37" s="26">
        <v>1</v>
      </c>
      <c r="L37" s="26">
        <v>4</v>
      </c>
      <c r="M37" s="26">
        <v>0</v>
      </c>
      <c r="N37" s="26">
        <v>0</v>
      </c>
      <c r="O37" s="26">
        <v>0</v>
      </c>
      <c r="P37" s="26">
        <v>0</v>
      </c>
      <c r="Q37" s="26">
        <v>1</v>
      </c>
      <c r="R37" s="26">
        <v>2</v>
      </c>
      <c r="S37" s="26">
        <v>0</v>
      </c>
      <c r="T37" s="16">
        <v>2</v>
      </c>
      <c r="U37" s="16">
        <v>8</v>
      </c>
      <c r="V37" s="16">
        <v>0</v>
      </c>
      <c r="W37" s="16">
        <v>0</v>
      </c>
      <c r="X37" s="16">
        <v>0</v>
      </c>
      <c r="Y37" s="16">
        <v>1</v>
      </c>
      <c r="Z37" s="16">
        <v>4</v>
      </c>
      <c r="AA37" s="16">
        <v>0</v>
      </c>
      <c r="AB37" s="16">
        <v>1</v>
      </c>
      <c r="AC37" s="16">
        <v>2</v>
      </c>
      <c r="AD37" s="16">
        <v>1</v>
      </c>
      <c r="AE37" s="16">
        <v>6</v>
      </c>
      <c r="AF37" s="16">
        <v>2</v>
      </c>
      <c r="AG37" s="16">
        <v>34</v>
      </c>
      <c r="AH37" s="16">
        <v>15</v>
      </c>
      <c r="AI37" s="16">
        <v>3</v>
      </c>
      <c r="AJ37" s="16">
        <v>0</v>
      </c>
      <c r="AK37" s="98">
        <v>6</v>
      </c>
      <c r="AL37" s="16">
        <v>2</v>
      </c>
      <c r="AM37" s="16">
        <v>1</v>
      </c>
      <c r="AN37" s="16">
        <v>6</v>
      </c>
      <c r="AO37" s="26">
        <v>0</v>
      </c>
      <c r="AP37" s="26">
        <v>0</v>
      </c>
      <c r="AQ37" s="26">
        <v>0</v>
      </c>
      <c r="AR37" s="26">
        <v>0</v>
      </c>
      <c r="AS37" s="26">
        <v>0</v>
      </c>
      <c r="AT37" s="26">
        <v>0</v>
      </c>
      <c r="AU37" s="16">
        <v>7</v>
      </c>
      <c r="AV37" s="26">
        <v>0</v>
      </c>
      <c r="AW37" s="26">
        <v>0</v>
      </c>
      <c r="AX37" s="16">
        <v>4</v>
      </c>
      <c r="AY37" s="16">
        <v>1</v>
      </c>
      <c r="AZ37" s="26">
        <v>0</v>
      </c>
      <c r="BA37" s="26">
        <v>0</v>
      </c>
      <c r="BB37" s="26">
        <v>0</v>
      </c>
      <c r="BC37" s="26">
        <v>0</v>
      </c>
      <c r="BD37" s="16">
        <v>1</v>
      </c>
      <c r="BE37" s="16">
        <v>11</v>
      </c>
      <c r="BF37" s="16">
        <v>10</v>
      </c>
      <c r="BG37" s="16">
        <v>3</v>
      </c>
      <c r="BH37" s="26">
        <v>0</v>
      </c>
      <c r="BI37" s="26">
        <v>0</v>
      </c>
      <c r="BJ37" s="26">
        <v>0</v>
      </c>
      <c r="BK37" s="26">
        <v>0</v>
      </c>
      <c r="BL37" s="26">
        <v>0</v>
      </c>
      <c r="BM37" s="26">
        <v>0</v>
      </c>
      <c r="BN37" s="26">
        <v>0</v>
      </c>
      <c r="BO37" s="16">
        <v>44</v>
      </c>
    </row>
    <row r="38" spans="1:67" s="5" customFormat="1" ht="21.9" customHeight="1" x14ac:dyDescent="0.25">
      <c r="A38" s="125" t="s">
        <v>87</v>
      </c>
      <c r="B38" s="4"/>
      <c r="C38" s="47" t="s">
        <v>75</v>
      </c>
      <c r="D38" s="48"/>
      <c r="E38" s="16">
        <f t="shared" si="0"/>
        <v>24545</v>
      </c>
      <c r="F38" s="16">
        <v>466</v>
      </c>
      <c r="G38" s="16">
        <v>216</v>
      </c>
      <c r="H38" s="16">
        <v>49</v>
      </c>
      <c r="I38" s="16">
        <v>41</v>
      </c>
      <c r="J38" s="16">
        <v>9</v>
      </c>
      <c r="K38" s="16">
        <v>1899</v>
      </c>
      <c r="L38" s="16">
        <v>280</v>
      </c>
      <c r="M38" s="16">
        <v>64</v>
      </c>
      <c r="N38" s="16">
        <v>183</v>
      </c>
      <c r="O38" s="16">
        <v>47</v>
      </c>
      <c r="P38" s="16">
        <v>7</v>
      </c>
      <c r="Q38" s="16">
        <v>213</v>
      </c>
      <c r="R38" s="16">
        <v>258</v>
      </c>
      <c r="S38" s="16">
        <v>204</v>
      </c>
      <c r="T38" s="16">
        <v>359</v>
      </c>
      <c r="U38" s="16">
        <v>730</v>
      </c>
      <c r="V38" s="16">
        <v>213</v>
      </c>
      <c r="W38" s="16">
        <v>144</v>
      </c>
      <c r="X38" s="16">
        <v>70</v>
      </c>
      <c r="Y38" s="16">
        <v>1369</v>
      </c>
      <c r="Z38" s="16">
        <v>182</v>
      </c>
      <c r="AA38" s="16">
        <v>232</v>
      </c>
      <c r="AB38" s="16">
        <v>128</v>
      </c>
      <c r="AC38" s="16">
        <v>53</v>
      </c>
      <c r="AD38" s="16">
        <v>3694</v>
      </c>
      <c r="AE38" s="16">
        <v>1245</v>
      </c>
      <c r="AF38" s="16">
        <v>504</v>
      </c>
      <c r="AG38" s="16">
        <v>1604</v>
      </c>
      <c r="AH38" s="16">
        <v>184</v>
      </c>
      <c r="AI38" s="16">
        <v>559</v>
      </c>
      <c r="AJ38" s="16">
        <v>4</v>
      </c>
      <c r="AK38" s="98">
        <v>422</v>
      </c>
      <c r="AL38" s="16">
        <v>70</v>
      </c>
      <c r="AM38" s="16">
        <v>46</v>
      </c>
      <c r="AN38" s="16">
        <v>689</v>
      </c>
      <c r="AO38" s="16">
        <v>90</v>
      </c>
      <c r="AP38" s="16">
        <v>28</v>
      </c>
      <c r="AQ38" s="16">
        <v>93</v>
      </c>
      <c r="AR38" s="16">
        <v>81</v>
      </c>
      <c r="AS38" s="16">
        <v>115</v>
      </c>
      <c r="AT38" s="16">
        <v>244</v>
      </c>
      <c r="AU38" s="16">
        <v>2571</v>
      </c>
      <c r="AV38" s="16">
        <v>520</v>
      </c>
      <c r="AW38" s="16">
        <v>21</v>
      </c>
      <c r="AX38" s="16">
        <v>918</v>
      </c>
      <c r="AY38" s="16">
        <v>9</v>
      </c>
      <c r="AZ38" s="16">
        <v>5</v>
      </c>
      <c r="BA38" s="26">
        <v>0</v>
      </c>
      <c r="BB38" s="16">
        <v>34</v>
      </c>
      <c r="BC38" s="26">
        <v>0</v>
      </c>
      <c r="BD38" s="16">
        <v>134</v>
      </c>
      <c r="BE38" s="16">
        <v>160</v>
      </c>
      <c r="BF38" s="16">
        <v>241</v>
      </c>
      <c r="BG38" s="16">
        <v>327</v>
      </c>
      <c r="BH38" s="16">
        <v>514</v>
      </c>
      <c r="BI38" s="16">
        <v>166</v>
      </c>
      <c r="BJ38" s="16">
        <v>573</v>
      </c>
      <c r="BK38" s="16">
        <v>423</v>
      </c>
      <c r="BL38" s="16">
        <v>639</v>
      </c>
      <c r="BM38" s="26">
        <v>0</v>
      </c>
      <c r="BN38" s="26">
        <v>0</v>
      </c>
      <c r="BO38" s="16">
        <v>202</v>
      </c>
    </row>
    <row r="39" spans="1:67" s="5" customFormat="1" ht="21.9" customHeight="1" x14ac:dyDescent="0.25">
      <c r="A39" s="125"/>
      <c r="B39" s="4"/>
      <c r="C39" s="47" t="s">
        <v>76</v>
      </c>
      <c r="D39" s="48"/>
      <c r="E39" s="16">
        <f t="shared" si="0"/>
        <v>336</v>
      </c>
      <c r="F39" s="26">
        <v>0</v>
      </c>
      <c r="G39" s="26">
        <v>0</v>
      </c>
      <c r="H39" s="26">
        <v>0</v>
      </c>
      <c r="I39" s="26">
        <v>0</v>
      </c>
      <c r="J39" s="26">
        <v>0</v>
      </c>
      <c r="K39" s="26">
        <v>0</v>
      </c>
      <c r="L39" s="26">
        <v>0</v>
      </c>
      <c r="M39" s="26">
        <v>0</v>
      </c>
      <c r="N39" s="26">
        <v>0</v>
      </c>
      <c r="O39" s="26">
        <v>0</v>
      </c>
      <c r="P39" s="26">
        <v>0</v>
      </c>
      <c r="Q39" s="26">
        <v>1</v>
      </c>
      <c r="R39" s="26">
        <v>4</v>
      </c>
      <c r="S39" s="26">
        <v>0</v>
      </c>
      <c r="T39" s="16">
        <v>0</v>
      </c>
      <c r="U39" s="16">
        <v>6</v>
      </c>
      <c r="V39" s="16">
        <v>0</v>
      </c>
      <c r="W39" s="16">
        <v>2</v>
      </c>
      <c r="X39" s="16">
        <v>7</v>
      </c>
      <c r="Y39" s="16">
        <v>4</v>
      </c>
      <c r="Z39" s="16">
        <v>5</v>
      </c>
      <c r="AA39" s="16">
        <v>0</v>
      </c>
      <c r="AB39" s="16">
        <v>6</v>
      </c>
      <c r="AC39" s="16">
        <v>7</v>
      </c>
      <c r="AD39" s="16">
        <v>16</v>
      </c>
      <c r="AE39" s="16">
        <v>10</v>
      </c>
      <c r="AF39" s="16">
        <v>0</v>
      </c>
      <c r="AG39" s="16">
        <v>13</v>
      </c>
      <c r="AH39" s="16">
        <v>25</v>
      </c>
      <c r="AI39" s="16">
        <v>1</v>
      </c>
      <c r="AJ39" s="16">
        <v>0</v>
      </c>
      <c r="AK39" s="98">
        <v>3</v>
      </c>
      <c r="AL39" s="16">
        <v>0</v>
      </c>
      <c r="AM39" s="16">
        <v>0</v>
      </c>
      <c r="AN39" s="16">
        <v>15</v>
      </c>
      <c r="AO39" s="26">
        <v>0</v>
      </c>
      <c r="AP39" s="26">
        <v>0</v>
      </c>
      <c r="AQ39" s="26">
        <v>0</v>
      </c>
      <c r="AR39" s="16">
        <v>6</v>
      </c>
      <c r="AS39" s="16">
        <v>2</v>
      </c>
      <c r="AT39" s="26">
        <v>0</v>
      </c>
      <c r="AU39" s="16">
        <v>1</v>
      </c>
      <c r="AV39" s="26">
        <v>0</v>
      </c>
      <c r="AW39" s="26">
        <v>0</v>
      </c>
      <c r="AX39" s="16">
        <v>1</v>
      </c>
      <c r="AY39" s="16">
        <v>2</v>
      </c>
      <c r="AZ39" s="26">
        <v>0</v>
      </c>
      <c r="BA39" s="26">
        <v>0</v>
      </c>
      <c r="BB39" s="26">
        <v>0</v>
      </c>
      <c r="BC39" s="26">
        <v>0</v>
      </c>
      <c r="BD39" s="26">
        <v>0</v>
      </c>
      <c r="BE39" s="16">
        <v>9</v>
      </c>
      <c r="BF39" s="16">
        <v>7</v>
      </c>
      <c r="BG39" s="16">
        <v>146</v>
      </c>
      <c r="BH39" s="16">
        <v>24</v>
      </c>
      <c r="BI39" s="16">
        <v>5</v>
      </c>
      <c r="BJ39" s="26">
        <v>0</v>
      </c>
      <c r="BK39" s="16">
        <v>2</v>
      </c>
      <c r="BL39" s="16">
        <v>6</v>
      </c>
      <c r="BM39" s="26">
        <v>0</v>
      </c>
      <c r="BN39" s="26">
        <v>0</v>
      </c>
      <c r="BO39" s="26">
        <v>0</v>
      </c>
    </row>
    <row r="40" spans="1:67" s="5" customFormat="1" ht="21.9" customHeight="1" x14ac:dyDescent="0.25">
      <c r="A40" s="125" t="s">
        <v>252</v>
      </c>
      <c r="C40" s="47" t="s">
        <v>75</v>
      </c>
      <c r="D40" s="48"/>
      <c r="E40" s="16">
        <f t="shared" si="0"/>
        <v>106787</v>
      </c>
      <c r="F40" s="16">
        <v>3607</v>
      </c>
      <c r="G40" s="16">
        <v>1922</v>
      </c>
      <c r="H40" s="16">
        <v>372</v>
      </c>
      <c r="I40" s="16">
        <v>864</v>
      </c>
      <c r="J40" s="16">
        <v>102</v>
      </c>
      <c r="K40" s="16">
        <v>2738</v>
      </c>
      <c r="L40" s="16">
        <v>853</v>
      </c>
      <c r="M40" s="16">
        <v>609</v>
      </c>
      <c r="N40" s="16">
        <v>811</v>
      </c>
      <c r="O40" s="16">
        <v>82</v>
      </c>
      <c r="P40" s="16">
        <v>3</v>
      </c>
      <c r="Q40" s="16">
        <v>384</v>
      </c>
      <c r="R40" s="16">
        <v>725</v>
      </c>
      <c r="S40" s="16">
        <v>1209</v>
      </c>
      <c r="T40" s="16">
        <v>1019</v>
      </c>
      <c r="U40" s="16">
        <v>1819</v>
      </c>
      <c r="V40" s="16">
        <v>309</v>
      </c>
      <c r="W40" s="16">
        <v>352</v>
      </c>
      <c r="X40" s="16">
        <v>44</v>
      </c>
      <c r="Y40" s="16">
        <v>6968</v>
      </c>
      <c r="Z40" s="16">
        <v>1493</v>
      </c>
      <c r="AA40" s="16">
        <v>672</v>
      </c>
      <c r="AB40" s="16">
        <v>269</v>
      </c>
      <c r="AC40" s="16">
        <v>533</v>
      </c>
      <c r="AD40" s="16">
        <v>11554</v>
      </c>
      <c r="AE40" s="16">
        <v>4558</v>
      </c>
      <c r="AF40" s="16">
        <v>866</v>
      </c>
      <c r="AG40" s="16">
        <v>1869</v>
      </c>
      <c r="AH40" s="16">
        <v>381</v>
      </c>
      <c r="AI40" s="16">
        <v>847</v>
      </c>
      <c r="AJ40" s="16">
        <v>36</v>
      </c>
      <c r="AK40" s="98">
        <v>301</v>
      </c>
      <c r="AL40" s="16">
        <v>629</v>
      </c>
      <c r="AM40" s="16">
        <v>11</v>
      </c>
      <c r="AN40" s="16">
        <v>603</v>
      </c>
      <c r="AO40" s="16">
        <v>18</v>
      </c>
      <c r="AP40" s="16">
        <v>22</v>
      </c>
      <c r="AQ40" s="16">
        <v>64</v>
      </c>
      <c r="AR40" s="16">
        <v>678</v>
      </c>
      <c r="AS40" s="16">
        <v>470</v>
      </c>
      <c r="AT40" s="16">
        <v>3893</v>
      </c>
      <c r="AU40" s="16">
        <v>18083</v>
      </c>
      <c r="AV40" s="16">
        <v>2653</v>
      </c>
      <c r="AW40" s="16">
        <v>39</v>
      </c>
      <c r="AX40" s="16">
        <v>3094</v>
      </c>
      <c r="AY40" s="16">
        <v>248</v>
      </c>
      <c r="AZ40" s="16">
        <v>26</v>
      </c>
      <c r="BA40" s="16">
        <v>1678</v>
      </c>
      <c r="BB40" s="16">
        <v>2421</v>
      </c>
      <c r="BC40" s="16">
        <v>978</v>
      </c>
      <c r="BD40" s="16">
        <v>2464</v>
      </c>
      <c r="BE40" s="16">
        <v>3656</v>
      </c>
      <c r="BF40" s="16">
        <v>2774</v>
      </c>
      <c r="BG40" s="16">
        <v>156</v>
      </c>
      <c r="BH40" s="16">
        <v>2484</v>
      </c>
      <c r="BI40" s="26">
        <v>0</v>
      </c>
      <c r="BJ40" s="16">
        <v>4543</v>
      </c>
      <c r="BK40" s="16">
        <v>281</v>
      </c>
      <c r="BL40" s="16">
        <v>2548</v>
      </c>
      <c r="BM40" s="16">
        <v>2611</v>
      </c>
      <c r="BN40" s="16">
        <v>6</v>
      </c>
      <c r="BO40" s="16">
        <v>1485</v>
      </c>
    </row>
    <row r="41" spans="1:67" s="5" customFormat="1" ht="21.9" customHeight="1" x14ac:dyDescent="0.25">
      <c r="A41" s="125"/>
      <c r="C41" s="47" t="s">
        <v>76</v>
      </c>
      <c r="D41" s="48"/>
      <c r="E41" s="16">
        <f t="shared" si="0"/>
        <v>43</v>
      </c>
      <c r="F41" s="26">
        <v>0</v>
      </c>
      <c r="G41" s="26">
        <v>0</v>
      </c>
      <c r="H41" s="26">
        <v>0</v>
      </c>
      <c r="I41" s="26">
        <v>0</v>
      </c>
      <c r="J41" s="26">
        <v>0</v>
      </c>
      <c r="K41" s="26">
        <v>0</v>
      </c>
      <c r="L41" s="26">
        <v>2</v>
      </c>
      <c r="M41" s="26">
        <v>1</v>
      </c>
      <c r="N41" s="26">
        <v>2</v>
      </c>
      <c r="O41" s="26">
        <v>0</v>
      </c>
      <c r="P41" s="26">
        <v>0</v>
      </c>
      <c r="Q41" s="26">
        <v>2</v>
      </c>
      <c r="R41" s="26">
        <v>4</v>
      </c>
      <c r="S41" s="26">
        <v>0</v>
      </c>
      <c r="T41" s="26">
        <v>0</v>
      </c>
      <c r="U41" s="16">
        <v>3</v>
      </c>
      <c r="V41" s="26">
        <v>0</v>
      </c>
      <c r="W41" s="26">
        <v>0</v>
      </c>
      <c r="X41" s="26">
        <v>0</v>
      </c>
      <c r="Y41" s="26">
        <v>0</v>
      </c>
      <c r="Z41" s="16">
        <v>4</v>
      </c>
      <c r="AA41" s="26">
        <v>0</v>
      </c>
      <c r="AB41" s="26">
        <v>0</v>
      </c>
      <c r="AC41" s="16">
        <v>2</v>
      </c>
      <c r="AD41" s="16">
        <v>1</v>
      </c>
      <c r="AE41" s="26">
        <v>0</v>
      </c>
      <c r="AF41" s="16">
        <v>3</v>
      </c>
      <c r="AG41" s="16">
        <v>6</v>
      </c>
      <c r="AH41" s="16">
        <v>2</v>
      </c>
      <c r="AI41" s="26">
        <v>0</v>
      </c>
      <c r="AJ41" s="26">
        <v>0</v>
      </c>
      <c r="AK41" s="98">
        <v>1</v>
      </c>
      <c r="AL41" s="26">
        <v>0</v>
      </c>
      <c r="AM41" s="26">
        <v>0</v>
      </c>
      <c r="AN41" s="16">
        <v>2</v>
      </c>
      <c r="AO41" s="26">
        <v>0</v>
      </c>
      <c r="AP41" s="26">
        <v>0</v>
      </c>
      <c r="AQ41" s="26">
        <v>0</v>
      </c>
      <c r="AR41" s="26">
        <v>0</v>
      </c>
      <c r="AS41" s="26">
        <v>0</v>
      </c>
      <c r="AT41" s="26">
        <v>0</v>
      </c>
      <c r="AU41" s="16">
        <v>1</v>
      </c>
      <c r="AV41" s="26">
        <v>0</v>
      </c>
      <c r="AW41" s="26">
        <v>0</v>
      </c>
      <c r="AX41" s="26">
        <v>0</v>
      </c>
      <c r="AY41" s="26">
        <v>0</v>
      </c>
      <c r="AZ41" s="26">
        <v>0</v>
      </c>
      <c r="BA41" s="26">
        <v>0</v>
      </c>
      <c r="BB41" s="26">
        <v>0</v>
      </c>
      <c r="BC41" s="26">
        <v>0</v>
      </c>
      <c r="BD41" s="26">
        <v>0</v>
      </c>
      <c r="BE41" s="26">
        <v>0</v>
      </c>
      <c r="BF41" s="16">
        <v>2</v>
      </c>
      <c r="BG41" s="26">
        <v>0</v>
      </c>
      <c r="BH41" s="26">
        <v>0</v>
      </c>
      <c r="BI41" s="26">
        <v>0</v>
      </c>
      <c r="BJ41" s="26">
        <v>0</v>
      </c>
      <c r="BK41" s="26">
        <v>0</v>
      </c>
      <c r="BL41" s="26">
        <v>0</v>
      </c>
      <c r="BM41" s="26">
        <v>0</v>
      </c>
      <c r="BN41" s="26">
        <v>0</v>
      </c>
      <c r="BO41" s="16">
        <v>5</v>
      </c>
    </row>
    <row r="42" spans="1:67" s="5" customFormat="1" ht="21.9" customHeight="1" x14ac:dyDescent="0.25">
      <c r="A42" s="125" t="s">
        <v>89</v>
      </c>
      <c r="B42" s="4"/>
      <c r="C42" s="47" t="s">
        <v>75</v>
      </c>
      <c r="D42" s="48"/>
      <c r="E42" s="16">
        <f t="shared" si="0"/>
        <v>42950</v>
      </c>
      <c r="F42" s="16">
        <v>595</v>
      </c>
      <c r="G42" s="16">
        <v>1210</v>
      </c>
      <c r="H42" s="16">
        <v>192</v>
      </c>
      <c r="I42" s="16">
        <v>92</v>
      </c>
      <c r="J42" s="16">
        <v>106</v>
      </c>
      <c r="K42" s="16">
        <v>1185</v>
      </c>
      <c r="L42" s="16">
        <v>596</v>
      </c>
      <c r="M42" s="16">
        <v>1106</v>
      </c>
      <c r="N42" s="16">
        <v>487</v>
      </c>
      <c r="O42" s="16">
        <v>218</v>
      </c>
      <c r="P42" s="16">
        <v>22</v>
      </c>
      <c r="Q42" s="16">
        <v>181</v>
      </c>
      <c r="R42" s="16">
        <v>244</v>
      </c>
      <c r="S42" s="16">
        <v>1566</v>
      </c>
      <c r="T42" s="16">
        <v>486</v>
      </c>
      <c r="U42" s="16">
        <v>820</v>
      </c>
      <c r="V42" s="16">
        <v>488</v>
      </c>
      <c r="W42" s="16">
        <v>173</v>
      </c>
      <c r="X42" s="16">
        <v>163</v>
      </c>
      <c r="Y42" s="16">
        <v>2581</v>
      </c>
      <c r="Z42" s="16">
        <v>390</v>
      </c>
      <c r="AA42" s="16">
        <v>157</v>
      </c>
      <c r="AB42" s="16">
        <v>165</v>
      </c>
      <c r="AC42" s="16">
        <v>514</v>
      </c>
      <c r="AD42" s="16">
        <v>3813</v>
      </c>
      <c r="AE42" s="16">
        <v>3164</v>
      </c>
      <c r="AF42" s="16">
        <v>597</v>
      </c>
      <c r="AG42" s="16">
        <v>509</v>
      </c>
      <c r="AH42" s="16">
        <v>335</v>
      </c>
      <c r="AI42" s="16">
        <v>1101</v>
      </c>
      <c r="AJ42" s="16">
        <v>32</v>
      </c>
      <c r="AK42" s="98">
        <v>332</v>
      </c>
      <c r="AL42" s="16">
        <v>174</v>
      </c>
      <c r="AM42" s="16">
        <v>44</v>
      </c>
      <c r="AN42" s="16">
        <v>632</v>
      </c>
      <c r="AO42" s="16">
        <v>193</v>
      </c>
      <c r="AP42" s="16">
        <v>35</v>
      </c>
      <c r="AQ42" s="16">
        <v>124</v>
      </c>
      <c r="AR42" s="16">
        <v>324</v>
      </c>
      <c r="AS42" s="16">
        <v>78</v>
      </c>
      <c r="AT42" s="16">
        <v>2621</v>
      </c>
      <c r="AU42" s="16">
        <v>4934</v>
      </c>
      <c r="AV42" s="16">
        <v>1208</v>
      </c>
      <c r="AW42" s="16">
        <v>43</v>
      </c>
      <c r="AX42" s="16">
        <v>1227</v>
      </c>
      <c r="AY42" s="16">
        <v>384</v>
      </c>
      <c r="AZ42" s="26">
        <v>0</v>
      </c>
      <c r="BA42" s="16">
        <v>56</v>
      </c>
      <c r="BB42" s="16">
        <v>35</v>
      </c>
      <c r="BC42" s="16">
        <v>146</v>
      </c>
      <c r="BD42" s="16">
        <v>1053</v>
      </c>
      <c r="BE42" s="16">
        <v>774</v>
      </c>
      <c r="BF42" s="16">
        <v>596</v>
      </c>
      <c r="BG42" s="16">
        <v>235</v>
      </c>
      <c r="BH42" s="16">
        <v>414</v>
      </c>
      <c r="BI42" s="16">
        <v>40</v>
      </c>
      <c r="BJ42" s="16">
        <v>355</v>
      </c>
      <c r="BK42" s="16">
        <v>757</v>
      </c>
      <c r="BL42" s="16">
        <v>1023</v>
      </c>
      <c r="BM42" s="16">
        <v>1419</v>
      </c>
      <c r="BN42" s="16">
        <v>4</v>
      </c>
      <c r="BO42" s="16">
        <v>402</v>
      </c>
    </row>
    <row r="43" spans="1:67" s="5" customFormat="1" ht="21.9" customHeight="1" x14ac:dyDescent="0.25">
      <c r="A43" s="125"/>
      <c r="B43" s="4"/>
      <c r="C43" s="47" t="s">
        <v>76</v>
      </c>
      <c r="D43" s="48"/>
      <c r="E43" s="16">
        <f t="shared" si="0"/>
        <v>144</v>
      </c>
      <c r="F43" s="26">
        <v>0</v>
      </c>
      <c r="G43" s="26">
        <v>0</v>
      </c>
      <c r="H43" s="26">
        <v>0</v>
      </c>
      <c r="I43" s="26">
        <v>0</v>
      </c>
      <c r="J43" s="26">
        <v>0</v>
      </c>
      <c r="K43" s="26">
        <v>0</v>
      </c>
      <c r="L43" s="26">
        <v>4</v>
      </c>
      <c r="M43" s="26">
        <v>0</v>
      </c>
      <c r="N43" s="26">
        <v>0</v>
      </c>
      <c r="O43" s="26">
        <v>0</v>
      </c>
      <c r="P43" s="26">
        <v>0</v>
      </c>
      <c r="Q43" s="26">
        <v>1</v>
      </c>
      <c r="R43" s="26">
        <v>1</v>
      </c>
      <c r="S43" s="26">
        <v>2</v>
      </c>
      <c r="T43" s="26">
        <v>0</v>
      </c>
      <c r="U43" s="16">
        <v>7</v>
      </c>
      <c r="V43" s="26">
        <v>0</v>
      </c>
      <c r="W43" s="16">
        <v>1</v>
      </c>
      <c r="X43" s="16">
        <v>3</v>
      </c>
      <c r="Y43" s="16">
        <v>3</v>
      </c>
      <c r="Z43" s="16">
        <v>3</v>
      </c>
      <c r="AA43" s="26">
        <v>0</v>
      </c>
      <c r="AB43" s="26">
        <v>0</v>
      </c>
      <c r="AC43" s="16">
        <v>2</v>
      </c>
      <c r="AD43" s="16">
        <v>11</v>
      </c>
      <c r="AE43" s="16">
        <v>10</v>
      </c>
      <c r="AF43" s="16">
        <v>2</v>
      </c>
      <c r="AG43" s="26">
        <v>0</v>
      </c>
      <c r="AH43" s="26">
        <v>0</v>
      </c>
      <c r="AI43" s="16">
        <v>17</v>
      </c>
      <c r="AJ43" s="26">
        <v>0</v>
      </c>
      <c r="AK43" s="98">
        <v>2</v>
      </c>
      <c r="AL43" s="26">
        <v>0</v>
      </c>
      <c r="AM43" s="26">
        <v>0</v>
      </c>
      <c r="AN43" s="16">
        <v>3</v>
      </c>
      <c r="AO43" s="16">
        <v>0</v>
      </c>
      <c r="AP43" s="26">
        <v>0</v>
      </c>
      <c r="AQ43" s="26">
        <v>0</v>
      </c>
      <c r="AR43" s="16">
        <v>2</v>
      </c>
      <c r="AS43" s="16">
        <v>2</v>
      </c>
      <c r="AT43" s="26">
        <v>0</v>
      </c>
      <c r="AU43" s="16">
        <v>3</v>
      </c>
      <c r="AV43" s="26">
        <v>0</v>
      </c>
      <c r="AW43" s="26">
        <v>0</v>
      </c>
      <c r="AX43" s="26">
        <v>0</v>
      </c>
      <c r="AY43" s="26">
        <v>0</v>
      </c>
      <c r="AZ43" s="26">
        <v>0</v>
      </c>
      <c r="BA43" s="26">
        <v>0</v>
      </c>
      <c r="BB43" s="26">
        <v>0</v>
      </c>
      <c r="BC43" s="26">
        <v>0</v>
      </c>
      <c r="BD43" s="26">
        <v>0</v>
      </c>
      <c r="BE43" s="16">
        <v>7</v>
      </c>
      <c r="BF43" s="16">
        <v>15</v>
      </c>
      <c r="BG43" s="16">
        <v>23</v>
      </c>
      <c r="BH43" s="16">
        <v>7</v>
      </c>
      <c r="BI43" s="26">
        <v>0</v>
      </c>
      <c r="BJ43" s="16">
        <v>3</v>
      </c>
      <c r="BK43" s="26">
        <v>0</v>
      </c>
      <c r="BL43" s="16">
        <v>5</v>
      </c>
      <c r="BM43" s="16">
        <v>4</v>
      </c>
      <c r="BN43" s="26">
        <v>0</v>
      </c>
      <c r="BO43" s="16">
        <v>1</v>
      </c>
    </row>
    <row r="44" spans="1:67" s="5" customFormat="1" ht="21.9" customHeight="1" x14ac:dyDescent="0.25">
      <c r="A44" s="125" t="s">
        <v>90</v>
      </c>
      <c r="B44" s="4"/>
      <c r="C44" s="47" t="s">
        <v>75</v>
      </c>
      <c r="D44" s="48"/>
      <c r="E44" s="16">
        <f t="shared" si="0"/>
        <v>9415</v>
      </c>
      <c r="F44" s="16">
        <v>47</v>
      </c>
      <c r="G44" s="16">
        <v>37</v>
      </c>
      <c r="H44" s="16">
        <v>1</v>
      </c>
      <c r="I44" s="16">
        <v>52</v>
      </c>
      <c r="J44" s="16">
        <v>11</v>
      </c>
      <c r="K44" s="16">
        <v>774</v>
      </c>
      <c r="L44" s="16">
        <v>173</v>
      </c>
      <c r="M44" s="16">
        <v>47</v>
      </c>
      <c r="N44" s="16">
        <v>63</v>
      </c>
      <c r="O44" s="16">
        <v>38</v>
      </c>
      <c r="P44" s="16">
        <v>15</v>
      </c>
      <c r="Q44" s="16">
        <v>52</v>
      </c>
      <c r="R44" s="16">
        <v>74</v>
      </c>
      <c r="S44" s="16">
        <v>142</v>
      </c>
      <c r="T44" s="16">
        <v>298</v>
      </c>
      <c r="U44" s="16">
        <v>209</v>
      </c>
      <c r="V44" s="16">
        <v>14</v>
      </c>
      <c r="W44" s="16">
        <v>101</v>
      </c>
      <c r="X44" s="16">
        <v>4</v>
      </c>
      <c r="Y44" s="16">
        <v>236</v>
      </c>
      <c r="Z44" s="16">
        <v>132</v>
      </c>
      <c r="AA44" s="16">
        <v>172</v>
      </c>
      <c r="AB44" s="16">
        <v>202</v>
      </c>
      <c r="AC44" s="16">
        <v>12</v>
      </c>
      <c r="AD44" s="16">
        <v>1159</v>
      </c>
      <c r="AE44" s="16">
        <v>384</v>
      </c>
      <c r="AF44" s="16">
        <v>308</v>
      </c>
      <c r="AG44" s="16">
        <v>1183</v>
      </c>
      <c r="AH44" s="16">
        <v>37</v>
      </c>
      <c r="AI44" s="16">
        <v>260</v>
      </c>
      <c r="AJ44" s="16">
        <v>1</v>
      </c>
      <c r="AK44" s="98">
        <v>141</v>
      </c>
      <c r="AL44" s="16">
        <v>22</v>
      </c>
      <c r="AM44" s="16">
        <v>3</v>
      </c>
      <c r="AN44" s="16">
        <v>40</v>
      </c>
      <c r="AO44" s="16">
        <v>13</v>
      </c>
      <c r="AP44" s="16">
        <v>13</v>
      </c>
      <c r="AQ44" s="16"/>
      <c r="AR44" s="16">
        <v>91</v>
      </c>
      <c r="AS44" s="16">
        <v>35</v>
      </c>
      <c r="AT44" s="16">
        <v>23</v>
      </c>
      <c r="AU44" s="16">
        <v>641</v>
      </c>
      <c r="AV44" s="16">
        <v>81</v>
      </c>
      <c r="AW44" s="16">
        <v>3</v>
      </c>
      <c r="AX44" s="16">
        <v>147</v>
      </c>
      <c r="AY44" s="16">
        <v>165</v>
      </c>
      <c r="AZ44" s="16">
        <v>114</v>
      </c>
      <c r="BA44" s="26">
        <v>0</v>
      </c>
      <c r="BB44" s="26">
        <v>0</v>
      </c>
      <c r="BC44" s="26">
        <v>0</v>
      </c>
      <c r="BD44" s="16">
        <v>36</v>
      </c>
      <c r="BE44" s="16">
        <v>85</v>
      </c>
      <c r="BF44" s="16">
        <v>130</v>
      </c>
      <c r="BG44" s="26">
        <v>0</v>
      </c>
      <c r="BH44" s="16">
        <v>293</v>
      </c>
      <c r="BI44" s="16">
        <v>70</v>
      </c>
      <c r="BJ44" s="16">
        <v>75</v>
      </c>
      <c r="BK44" s="16">
        <v>88</v>
      </c>
      <c r="BL44" s="16">
        <v>596</v>
      </c>
      <c r="BM44" s="16">
        <v>1</v>
      </c>
      <c r="BN44" s="26">
        <v>0</v>
      </c>
      <c r="BO44" s="16">
        <v>271</v>
      </c>
    </row>
    <row r="45" spans="1:67" s="5" customFormat="1" ht="21.9" customHeight="1" x14ac:dyDescent="0.25">
      <c r="A45" s="125"/>
      <c r="B45" s="4"/>
      <c r="C45" s="47" t="s">
        <v>76</v>
      </c>
      <c r="D45" s="48"/>
      <c r="E45" s="16">
        <f t="shared" si="0"/>
        <v>54</v>
      </c>
      <c r="F45" s="26">
        <v>0</v>
      </c>
      <c r="G45" s="26">
        <v>0</v>
      </c>
      <c r="H45" s="26">
        <v>0</v>
      </c>
      <c r="I45" s="26">
        <v>0</v>
      </c>
      <c r="J45" s="26">
        <v>0</v>
      </c>
      <c r="K45" s="26">
        <v>0</v>
      </c>
      <c r="L45" s="26">
        <v>2</v>
      </c>
      <c r="M45" s="26">
        <v>0</v>
      </c>
      <c r="N45" s="26">
        <v>0</v>
      </c>
      <c r="O45" s="26">
        <v>0</v>
      </c>
      <c r="P45" s="26">
        <v>0</v>
      </c>
      <c r="Q45" s="26">
        <v>0</v>
      </c>
      <c r="R45" s="26">
        <v>0</v>
      </c>
      <c r="S45" s="26">
        <v>0</v>
      </c>
      <c r="T45" s="26">
        <v>0</v>
      </c>
      <c r="U45" s="26">
        <v>0</v>
      </c>
      <c r="V45" s="26">
        <v>0</v>
      </c>
      <c r="W45" s="26">
        <v>3</v>
      </c>
      <c r="X45" s="26">
        <v>0</v>
      </c>
      <c r="Y45" s="26">
        <v>0</v>
      </c>
      <c r="Z45" s="26">
        <v>0</v>
      </c>
      <c r="AA45" s="26">
        <v>0</v>
      </c>
      <c r="AB45" s="26">
        <v>0</v>
      </c>
      <c r="AC45" s="26">
        <v>0</v>
      </c>
      <c r="AD45" s="26">
        <v>0</v>
      </c>
      <c r="AE45" s="26">
        <v>0</v>
      </c>
      <c r="AF45" s="26">
        <v>1</v>
      </c>
      <c r="AG45" s="26">
        <v>0</v>
      </c>
      <c r="AH45" s="26">
        <v>9</v>
      </c>
      <c r="AI45" s="26">
        <v>0</v>
      </c>
      <c r="AJ45" s="26">
        <v>0</v>
      </c>
      <c r="AK45" s="99">
        <v>13</v>
      </c>
      <c r="AL45" s="26">
        <v>0</v>
      </c>
      <c r="AM45" s="26">
        <v>0</v>
      </c>
      <c r="AN45" s="26">
        <v>0</v>
      </c>
      <c r="AO45" s="26">
        <v>0</v>
      </c>
      <c r="AP45" s="26">
        <v>0</v>
      </c>
      <c r="AQ45" s="26">
        <v>0</v>
      </c>
      <c r="AR45" s="26">
        <v>12</v>
      </c>
      <c r="AS45" s="26">
        <v>0</v>
      </c>
      <c r="AT45" s="26">
        <v>0</v>
      </c>
      <c r="AU45" s="26">
        <v>14</v>
      </c>
      <c r="AV45" s="26">
        <v>0</v>
      </c>
      <c r="AW45" s="26">
        <v>0</v>
      </c>
      <c r="AX45" s="26">
        <v>0</v>
      </c>
      <c r="AY45" s="26">
        <v>0</v>
      </c>
      <c r="AZ45" s="26">
        <v>0</v>
      </c>
      <c r="BA45" s="26">
        <v>0</v>
      </c>
      <c r="BB45" s="26">
        <v>0</v>
      </c>
      <c r="BC45" s="26">
        <v>0</v>
      </c>
      <c r="BD45" s="26">
        <v>0</v>
      </c>
      <c r="BE45" s="26">
        <v>0</v>
      </c>
      <c r="BF45" s="26">
        <v>0</v>
      </c>
      <c r="BG45" s="26">
        <v>0</v>
      </c>
      <c r="BH45" s="26">
        <v>0</v>
      </c>
      <c r="BI45" s="26">
        <v>0</v>
      </c>
      <c r="BJ45" s="26">
        <v>0</v>
      </c>
      <c r="BK45" s="26">
        <v>0</v>
      </c>
      <c r="BL45" s="26">
        <v>0</v>
      </c>
      <c r="BM45" s="26">
        <v>0</v>
      </c>
      <c r="BN45" s="26">
        <v>0</v>
      </c>
      <c r="BO45" s="26">
        <v>0</v>
      </c>
    </row>
    <row r="46" spans="1:67" s="5" customFormat="1" ht="21.9" customHeight="1" x14ac:dyDescent="0.25">
      <c r="A46" s="125" t="s">
        <v>253</v>
      </c>
      <c r="B46" s="4"/>
      <c r="C46" s="47" t="s">
        <v>75</v>
      </c>
      <c r="D46" s="48"/>
      <c r="E46" s="16">
        <f t="shared" si="0"/>
        <v>29546</v>
      </c>
      <c r="F46" s="16">
        <v>419</v>
      </c>
      <c r="G46" s="16">
        <v>521</v>
      </c>
      <c r="H46" s="16">
        <v>247</v>
      </c>
      <c r="I46" s="16">
        <v>64</v>
      </c>
      <c r="J46" s="16">
        <v>0</v>
      </c>
      <c r="K46" s="16">
        <v>529</v>
      </c>
      <c r="L46" s="16">
        <v>103</v>
      </c>
      <c r="M46" s="16">
        <v>572</v>
      </c>
      <c r="N46" s="16">
        <v>169</v>
      </c>
      <c r="O46" s="16">
        <v>27</v>
      </c>
      <c r="P46" s="16">
        <v>17</v>
      </c>
      <c r="Q46" s="16">
        <v>148</v>
      </c>
      <c r="R46" s="16">
        <v>520</v>
      </c>
      <c r="S46" s="16">
        <v>814</v>
      </c>
      <c r="T46" s="16">
        <v>181</v>
      </c>
      <c r="U46" s="16">
        <v>227</v>
      </c>
      <c r="V46" s="16">
        <v>225</v>
      </c>
      <c r="W46" s="16">
        <v>82</v>
      </c>
      <c r="X46" s="16">
        <v>7</v>
      </c>
      <c r="Y46" s="16">
        <v>1655</v>
      </c>
      <c r="Z46" s="16">
        <v>157</v>
      </c>
      <c r="AA46" s="16">
        <v>360</v>
      </c>
      <c r="AB46" s="16">
        <v>159</v>
      </c>
      <c r="AC46" s="16">
        <v>34</v>
      </c>
      <c r="AD46" s="16">
        <v>3433</v>
      </c>
      <c r="AE46" s="16">
        <v>1473</v>
      </c>
      <c r="AF46" s="16">
        <v>89</v>
      </c>
      <c r="AG46" s="16">
        <v>729</v>
      </c>
      <c r="AH46" s="16">
        <v>59</v>
      </c>
      <c r="AI46" s="16">
        <v>907</v>
      </c>
      <c r="AJ46" s="16">
        <v>19</v>
      </c>
      <c r="AK46" s="98">
        <v>43</v>
      </c>
      <c r="AL46" s="16">
        <v>117</v>
      </c>
      <c r="AM46" s="16">
        <v>131</v>
      </c>
      <c r="AN46" s="16">
        <v>1084</v>
      </c>
      <c r="AO46" s="16">
        <v>10</v>
      </c>
      <c r="AP46" s="16">
        <v>9</v>
      </c>
      <c r="AQ46" s="16">
        <v>51</v>
      </c>
      <c r="AR46" s="16">
        <v>58</v>
      </c>
      <c r="AS46" s="16">
        <v>186</v>
      </c>
      <c r="AT46" s="16">
        <v>2225</v>
      </c>
      <c r="AU46" s="16">
        <v>3348</v>
      </c>
      <c r="AV46" s="16">
        <v>1624</v>
      </c>
      <c r="AW46" s="16">
        <v>181</v>
      </c>
      <c r="AX46" s="16">
        <v>652</v>
      </c>
      <c r="AY46" s="16">
        <v>237</v>
      </c>
      <c r="AZ46" s="16">
        <v>32</v>
      </c>
      <c r="BA46" s="16">
        <v>24</v>
      </c>
      <c r="BB46" s="26">
        <v>0</v>
      </c>
      <c r="BC46" s="16">
        <v>191</v>
      </c>
      <c r="BD46" s="16">
        <v>674</v>
      </c>
      <c r="BE46" s="16">
        <v>894</v>
      </c>
      <c r="BF46" s="16">
        <v>343</v>
      </c>
      <c r="BG46" s="16">
        <v>309</v>
      </c>
      <c r="BH46" s="16">
        <v>402</v>
      </c>
      <c r="BI46" s="16">
        <v>214</v>
      </c>
      <c r="BJ46" s="16">
        <v>510</v>
      </c>
      <c r="BK46" s="16">
        <v>278</v>
      </c>
      <c r="BL46" s="16">
        <v>369</v>
      </c>
      <c r="BM46" s="16">
        <v>1126</v>
      </c>
      <c r="BN46" s="16">
        <v>147</v>
      </c>
      <c r="BO46" s="16">
        <v>131</v>
      </c>
    </row>
    <row r="47" spans="1:67" s="5" customFormat="1" ht="21.9" customHeight="1" x14ac:dyDescent="0.25">
      <c r="A47" s="125"/>
      <c r="B47" s="4"/>
      <c r="C47" s="47" t="s">
        <v>133</v>
      </c>
      <c r="D47" s="48"/>
      <c r="E47" s="16">
        <f t="shared" si="0"/>
        <v>513</v>
      </c>
      <c r="F47" s="26">
        <v>0</v>
      </c>
      <c r="G47" s="26">
        <v>0</v>
      </c>
      <c r="H47" s="26">
        <v>0</v>
      </c>
      <c r="I47" s="26">
        <v>0</v>
      </c>
      <c r="J47" s="26">
        <v>0</v>
      </c>
      <c r="K47" s="26">
        <v>0</v>
      </c>
      <c r="L47" s="26">
        <v>0</v>
      </c>
      <c r="M47" s="26">
        <v>0</v>
      </c>
      <c r="N47" s="26">
        <v>1</v>
      </c>
      <c r="O47" s="26">
        <v>0</v>
      </c>
      <c r="P47" s="26">
        <v>0</v>
      </c>
      <c r="Q47" s="26">
        <v>0</v>
      </c>
      <c r="R47" s="26">
        <v>149</v>
      </c>
      <c r="S47" s="26">
        <v>0</v>
      </c>
      <c r="T47" s="26">
        <v>0</v>
      </c>
      <c r="U47" s="16">
        <v>1</v>
      </c>
      <c r="V47" s="16">
        <v>1</v>
      </c>
      <c r="W47" s="26">
        <v>0</v>
      </c>
      <c r="X47" s="26">
        <v>0</v>
      </c>
      <c r="Y47" s="26">
        <v>0</v>
      </c>
      <c r="Z47" s="26">
        <v>0</v>
      </c>
      <c r="AA47" s="26">
        <v>0</v>
      </c>
      <c r="AB47" s="16">
        <v>18</v>
      </c>
      <c r="AC47" s="26">
        <v>0</v>
      </c>
      <c r="AD47" s="16">
        <v>15</v>
      </c>
      <c r="AE47" s="26">
        <v>0</v>
      </c>
      <c r="AF47" s="26">
        <v>0</v>
      </c>
      <c r="AG47" s="16">
        <v>3</v>
      </c>
      <c r="AH47" s="26">
        <v>0</v>
      </c>
      <c r="AI47" s="26">
        <v>0</v>
      </c>
      <c r="AJ47" s="26">
        <v>0</v>
      </c>
      <c r="AK47" s="98">
        <v>2</v>
      </c>
      <c r="AL47" s="26">
        <v>0</v>
      </c>
      <c r="AM47" s="26">
        <v>0</v>
      </c>
      <c r="AN47" s="26">
        <v>0</v>
      </c>
      <c r="AO47" s="16">
        <v>0</v>
      </c>
      <c r="AP47" s="26">
        <v>0</v>
      </c>
      <c r="AQ47" s="26">
        <v>0</v>
      </c>
      <c r="AR47" s="26">
        <v>0</v>
      </c>
      <c r="AS47" s="16">
        <v>2</v>
      </c>
      <c r="AT47" s="26">
        <v>0</v>
      </c>
      <c r="AU47" s="16">
        <v>3</v>
      </c>
      <c r="AV47" s="16">
        <v>1</v>
      </c>
      <c r="AW47" s="26">
        <v>0</v>
      </c>
      <c r="AX47" s="16">
        <v>1</v>
      </c>
      <c r="AY47" s="26">
        <v>0</v>
      </c>
      <c r="AZ47" s="26">
        <v>0</v>
      </c>
      <c r="BA47" s="26">
        <v>0</v>
      </c>
      <c r="BB47" s="26">
        <v>0</v>
      </c>
      <c r="BC47" s="26">
        <v>0</v>
      </c>
      <c r="BD47" s="26">
        <v>0</v>
      </c>
      <c r="BE47" s="26">
        <v>0</v>
      </c>
      <c r="BF47" s="26">
        <v>0</v>
      </c>
      <c r="BG47" s="16">
        <v>309</v>
      </c>
      <c r="BH47" s="26">
        <v>0</v>
      </c>
      <c r="BI47" s="16">
        <v>1</v>
      </c>
      <c r="BJ47" s="26">
        <v>0</v>
      </c>
      <c r="BK47" s="26">
        <v>0</v>
      </c>
      <c r="BL47" s="26">
        <v>0</v>
      </c>
      <c r="BM47" s="26">
        <v>0</v>
      </c>
      <c r="BN47" s="26">
        <v>0</v>
      </c>
      <c r="BO47" s="16">
        <v>6</v>
      </c>
    </row>
    <row r="48" spans="1:67" s="5" customFormat="1" ht="21.9" customHeight="1" x14ac:dyDescent="0.25">
      <c r="A48" s="125" t="s">
        <v>92</v>
      </c>
      <c r="B48" s="4"/>
      <c r="C48" s="47" t="s">
        <v>75</v>
      </c>
      <c r="D48" s="48"/>
      <c r="E48" s="16">
        <f t="shared" si="0"/>
        <v>13628</v>
      </c>
      <c r="F48" s="16">
        <v>29</v>
      </c>
      <c r="G48" s="16">
        <v>142</v>
      </c>
      <c r="H48" s="16">
        <v>16</v>
      </c>
      <c r="I48" s="16">
        <v>53</v>
      </c>
      <c r="J48" s="16">
        <v>5</v>
      </c>
      <c r="K48" s="16">
        <v>2302</v>
      </c>
      <c r="L48" s="16">
        <v>261</v>
      </c>
      <c r="M48" s="16">
        <v>18</v>
      </c>
      <c r="N48" s="16">
        <v>198</v>
      </c>
      <c r="O48" s="16">
        <v>56</v>
      </c>
      <c r="P48" s="16">
        <v>0</v>
      </c>
      <c r="Q48" s="16">
        <v>88</v>
      </c>
      <c r="R48" s="16">
        <v>210</v>
      </c>
      <c r="S48" s="16">
        <v>42</v>
      </c>
      <c r="T48" s="16">
        <v>185</v>
      </c>
      <c r="U48" s="16">
        <v>212</v>
      </c>
      <c r="V48" s="16">
        <v>19</v>
      </c>
      <c r="W48" s="16">
        <v>126</v>
      </c>
      <c r="X48" s="16">
        <v>44</v>
      </c>
      <c r="Y48" s="16">
        <v>148</v>
      </c>
      <c r="Z48" s="16">
        <v>810</v>
      </c>
      <c r="AA48" s="16">
        <v>33</v>
      </c>
      <c r="AB48" s="16">
        <v>74</v>
      </c>
      <c r="AC48" s="16">
        <v>108</v>
      </c>
      <c r="AD48" s="16">
        <v>1598</v>
      </c>
      <c r="AE48" s="16">
        <v>487</v>
      </c>
      <c r="AF48" s="16">
        <v>76</v>
      </c>
      <c r="AG48" s="16">
        <v>619</v>
      </c>
      <c r="AH48" s="16">
        <v>46</v>
      </c>
      <c r="AI48" s="16">
        <v>117</v>
      </c>
      <c r="AJ48" s="16">
        <v>1</v>
      </c>
      <c r="AK48" s="98">
        <v>118</v>
      </c>
      <c r="AL48" s="16">
        <v>16</v>
      </c>
      <c r="AM48" s="16">
        <v>4</v>
      </c>
      <c r="AN48" s="16">
        <v>231</v>
      </c>
      <c r="AO48" s="16">
        <v>10</v>
      </c>
      <c r="AP48" s="16">
        <v>9</v>
      </c>
      <c r="AQ48" s="16">
        <v>138</v>
      </c>
      <c r="AR48" s="16">
        <v>18</v>
      </c>
      <c r="AS48" s="16">
        <v>4</v>
      </c>
      <c r="AT48" s="16">
        <v>61</v>
      </c>
      <c r="AU48" s="16">
        <v>434</v>
      </c>
      <c r="AV48" s="16">
        <v>26</v>
      </c>
      <c r="AW48" s="16">
        <v>2</v>
      </c>
      <c r="AX48" s="16">
        <v>192</v>
      </c>
      <c r="AY48" s="16">
        <v>80</v>
      </c>
      <c r="AZ48" s="16">
        <v>11</v>
      </c>
      <c r="BA48" s="26">
        <v>0</v>
      </c>
      <c r="BB48" s="26">
        <v>0</v>
      </c>
      <c r="BC48" s="16">
        <v>8</v>
      </c>
      <c r="BD48" s="16">
        <v>50</v>
      </c>
      <c r="BE48" s="16">
        <v>74</v>
      </c>
      <c r="BF48" s="16">
        <v>133</v>
      </c>
      <c r="BG48" s="16">
        <v>1187</v>
      </c>
      <c r="BH48" s="16">
        <v>267</v>
      </c>
      <c r="BI48" s="16">
        <v>135</v>
      </c>
      <c r="BJ48" s="16">
        <v>713</v>
      </c>
      <c r="BK48" s="16">
        <v>81</v>
      </c>
      <c r="BL48" s="16">
        <v>1407</v>
      </c>
      <c r="BM48" s="16">
        <v>50</v>
      </c>
      <c r="BN48" s="16">
        <v>14</v>
      </c>
      <c r="BO48" s="16">
        <v>32</v>
      </c>
    </row>
    <row r="49" spans="1:68" s="5" customFormat="1" ht="21.9" customHeight="1" x14ac:dyDescent="0.25">
      <c r="A49" s="125"/>
      <c r="B49" s="4"/>
      <c r="C49" s="47" t="s">
        <v>76</v>
      </c>
      <c r="D49" s="48"/>
      <c r="E49" s="16">
        <f t="shared" si="0"/>
        <v>218</v>
      </c>
      <c r="F49" s="26">
        <v>0</v>
      </c>
      <c r="G49" s="26">
        <v>0</v>
      </c>
      <c r="H49" s="26">
        <v>0</v>
      </c>
      <c r="I49" s="26">
        <v>0</v>
      </c>
      <c r="J49" s="26">
        <v>1</v>
      </c>
      <c r="K49" s="26">
        <v>2</v>
      </c>
      <c r="L49" s="26">
        <v>1</v>
      </c>
      <c r="M49" s="26">
        <v>0</v>
      </c>
      <c r="N49" s="26">
        <v>0</v>
      </c>
      <c r="O49" s="26">
        <v>0</v>
      </c>
      <c r="P49" s="26">
        <v>0</v>
      </c>
      <c r="Q49" s="26">
        <v>2</v>
      </c>
      <c r="R49" s="26">
        <v>11</v>
      </c>
      <c r="S49" s="26">
        <v>0</v>
      </c>
      <c r="T49" s="16">
        <v>0</v>
      </c>
      <c r="U49" s="16">
        <v>18</v>
      </c>
      <c r="V49" s="16">
        <v>0</v>
      </c>
      <c r="W49" s="16">
        <v>13</v>
      </c>
      <c r="X49" s="16">
        <v>3</v>
      </c>
      <c r="Y49" s="16">
        <v>0</v>
      </c>
      <c r="Z49" s="16">
        <v>4</v>
      </c>
      <c r="AA49" s="16">
        <v>0</v>
      </c>
      <c r="AB49" s="16">
        <v>2</v>
      </c>
      <c r="AC49" s="16">
        <v>3</v>
      </c>
      <c r="AD49" s="16">
        <v>9</v>
      </c>
      <c r="AE49" s="16">
        <v>39</v>
      </c>
      <c r="AF49" s="16">
        <v>5</v>
      </c>
      <c r="AG49" s="16">
        <v>5</v>
      </c>
      <c r="AH49" s="16">
        <v>2</v>
      </c>
      <c r="AI49" s="16">
        <v>2</v>
      </c>
      <c r="AJ49" s="26">
        <v>0</v>
      </c>
      <c r="AK49" s="98">
        <v>11</v>
      </c>
      <c r="AL49" s="26">
        <v>0</v>
      </c>
      <c r="AM49" s="26">
        <v>0</v>
      </c>
      <c r="AN49" s="16">
        <v>28</v>
      </c>
      <c r="AO49" s="16">
        <v>0</v>
      </c>
      <c r="AP49" s="26">
        <v>0</v>
      </c>
      <c r="AQ49" s="16">
        <v>1</v>
      </c>
      <c r="AR49" s="16">
        <v>2</v>
      </c>
      <c r="AS49" s="16">
        <v>1</v>
      </c>
      <c r="AT49" s="26">
        <v>0</v>
      </c>
      <c r="AU49" s="16">
        <v>5</v>
      </c>
      <c r="AV49" s="26">
        <v>0</v>
      </c>
      <c r="AW49" s="26">
        <v>0</v>
      </c>
      <c r="AX49" s="16">
        <v>1</v>
      </c>
      <c r="AY49" s="26">
        <v>0</v>
      </c>
      <c r="AZ49" s="26">
        <v>0</v>
      </c>
      <c r="BA49" s="26">
        <v>0</v>
      </c>
      <c r="BB49" s="26">
        <v>0</v>
      </c>
      <c r="BC49" s="26">
        <v>0</v>
      </c>
      <c r="BD49" s="26">
        <v>0</v>
      </c>
      <c r="BE49" s="16">
        <v>5</v>
      </c>
      <c r="BF49" s="16">
        <v>4</v>
      </c>
      <c r="BG49" s="16">
        <v>30</v>
      </c>
      <c r="BH49" s="26">
        <v>0</v>
      </c>
      <c r="BI49" s="16">
        <v>5</v>
      </c>
      <c r="BJ49" s="26">
        <v>0</v>
      </c>
      <c r="BK49" s="26">
        <v>0</v>
      </c>
      <c r="BL49" s="16">
        <v>3</v>
      </c>
      <c r="BM49" s="26">
        <v>0</v>
      </c>
      <c r="BN49" s="26">
        <v>0</v>
      </c>
      <c r="BO49" s="26">
        <v>0</v>
      </c>
    </row>
    <row r="50" spans="1:68" s="5" customFormat="1" ht="21.9" customHeight="1" x14ac:dyDescent="0.25">
      <c r="A50" s="125" t="s">
        <v>93</v>
      </c>
      <c r="C50" s="47" t="s">
        <v>75</v>
      </c>
      <c r="D50" s="48"/>
      <c r="E50" s="16">
        <f t="shared" si="0"/>
        <v>42958</v>
      </c>
      <c r="F50" s="16">
        <v>2426</v>
      </c>
      <c r="G50" s="16">
        <v>872</v>
      </c>
      <c r="H50" s="16">
        <v>312</v>
      </c>
      <c r="I50" s="16">
        <v>215</v>
      </c>
      <c r="J50" s="16">
        <v>130</v>
      </c>
      <c r="K50" s="16">
        <v>625</v>
      </c>
      <c r="L50" s="16">
        <v>558</v>
      </c>
      <c r="M50" s="16">
        <v>539</v>
      </c>
      <c r="N50" s="16">
        <v>145</v>
      </c>
      <c r="O50" s="16">
        <v>130</v>
      </c>
      <c r="P50" s="16">
        <v>0</v>
      </c>
      <c r="Q50" s="16">
        <v>308</v>
      </c>
      <c r="R50" s="16">
        <v>368</v>
      </c>
      <c r="S50" s="16">
        <v>306</v>
      </c>
      <c r="T50" s="16">
        <v>158</v>
      </c>
      <c r="U50" s="16">
        <v>1261</v>
      </c>
      <c r="V50" s="16">
        <v>232</v>
      </c>
      <c r="W50" s="16">
        <v>326</v>
      </c>
      <c r="X50" s="16">
        <v>425</v>
      </c>
      <c r="Y50" s="16">
        <v>3270</v>
      </c>
      <c r="Z50" s="16">
        <v>1222</v>
      </c>
      <c r="AA50" s="16">
        <v>101</v>
      </c>
      <c r="AB50" s="16">
        <v>284</v>
      </c>
      <c r="AC50" s="16">
        <v>236</v>
      </c>
      <c r="AD50" s="16">
        <v>3711</v>
      </c>
      <c r="AE50" s="16">
        <v>4710</v>
      </c>
      <c r="AF50" s="16">
        <v>325</v>
      </c>
      <c r="AG50" s="16">
        <v>1902</v>
      </c>
      <c r="AH50" s="16">
        <v>612</v>
      </c>
      <c r="AI50" s="16">
        <v>1454</v>
      </c>
      <c r="AJ50" s="16">
        <v>86</v>
      </c>
      <c r="AK50" s="98">
        <v>210</v>
      </c>
      <c r="AL50" s="16">
        <v>233</v>
      </c>
      <c r="AM50" s="16">
        <v>236</v>
      </c>
      <c r="AN50" s="16">
        <v>1032</v>
      </c>
      <c r="AO50" s="16">
        <v>72</v>
      </c>
      <c r="AP50" s="16">
        <v>100</v>
      </c>
      <c r="AQ50" s="16">
        <v>116</v>
      </c>
      <c r="AR50" s="16">
        <v>86</v>
      </c>
      <c r="AS50" s="16">
        <v>278</v>
      </c>
      <c r="AT50" s="16">
        <v>956</v>
      </c>
      <c r="AU50" s="16">
        <v>3481</v>
      </c>
      <c r="AV50" s="16">
        <v>923</v>
      </c>
      <c r="AW50" s="16">
        <v>55</v>
      </c>
      <c r="AX50" s="16">
        <v>502</v>
      </c>
      <c r="AY50" s="16">
        <v>239</v>
      </c>
      <c r="AZ50" s="16">
        <v>0</v>
      </c>
      <c r="BA50" s="16">
        <v>40</v>
      </c>
      <c r="BB50" s="16">
        <v>103</v>
      </c>
      <c r="BC50" s="16">
        <v>145</v>
      </c>
      <c r="BD50" s="16">
        <v>400</v>
      </c>
      <c r="BE50" s="16">
        <v>498</v>
      </c>
      <c r="BF50" s="16">
        <v>785</v>
      </c>
      <c r="BG50" s="16">
        <v>415</v>
      </c>
      <c r="BH50" s="16">
        <v>122</v>
      </c>
      <c r="BI50" s="16">
        <v>90</v>
      </c>
      <c r="BJ50" s="16">
        <v>1540</v>
      </c>
      <c r="BK50" s="16">
        <v>1050</v>
      </c>
      <c r="BL50" s="16">
        <v>1176</v>
      </c>
      <c r="BM50" s="16">
        <v>164</v>
      </c>
      <c r="BN50" s="16">
        <v>347</v>
      </c>
      <c r="BO50" s="16">
        <v>315</v>
      </c>
      <c r="BP50" s="16"/>
    </row>
    <row r="51" spans="1:68" s="5" customFormat="1" ht="21.9" customHeight="1" x14ac:dyDescent="0.25">
      <c r="A51" s="125"/>
      <c r="C51" s="47" t="s">
        <v>76</v>
      </c>
      <c r="D51" s="48"/>
      <c r="E51" s="16">
        <f t="shared" si="0"/>
        <v>302</v>
      </c>
      <c r="F51" s="26">
        <v>0</v>
      </c>
      <c r="G51" s="26">
        <v>0</v>
      </c>
      <c r="H51" s="26">
        <v>1</v>
      </c>
      <c r="I51" s="26">
        <v>0</v>
      </c>
      <c r="J51" s="26">
        <v>0</v>
      </c>
      <c r="K51" s="26">
        <v>0</v>
      </c>
      <c r="L51" s="26">
        <v>4</v>
      </c>
      <c r="M51" s="26">
        <v>0</v>
      </c>
      <c r="N51" s="26">
        <v>0</v>
      </c>
      <c r="O51" s="26">
        <v>0</v>
      </c>
      <c r="P51" s="26">
        <v>0</v>
      </c>
      <c r="Q51" s="26">
        <v>0</v>
      </c>
      <c r="R51" s="26">
        <v>1</v>
      </c>
      <c r="S51" s="26">
        <v>2</v>
      </c>
      <c r="T51" s="16">
        <v>0</v>
      </c>
      <c r="U51" s="16">
        <v>1</v>
      </c>
      <c r="V51" s="16">
        <v>1</v>
      </c>
      <c r="W51" s="16">
        <v>3</v>
      </c>
      <c r="X51" s="16">
        <v>0</v>
      </c>
      <c r="Y51" s="16">
        <v>0</v>
      </c>
      <c r="Z51" s="16">
        <v>3</v>
      </c>
      <c r="AA51" s="16">
        <v>5</v>
      </c>
      <c r="AB51" s="16">
        <v>0</v>
      </c>
      <c r="AC51" s="16">
        <v>2</v>
      </c>
      <c r="AD51" s="16">
        <v>3</v>
      </c>
      <c r="AE51" s="16">
        <v>18</v>
      </c>
      <c r="AF51" s="16">
        <v>4</v>
      </c>
      <c r="AG51" s="16">
        <v>14</v>
      </c>
      <c r="AH51" s="16">
        <v>7</v>
      </c>
      <c r="AI51" s="16">
        <v>2</v>
      </c>
      <c r="AJ51" s="16">
        <v>0</v>
      </c>
      <c r="AK51" s="98">
        <v>2</v>
      </c>
      <c r="AL51" s="16">
        <v>0</v>
      </c>
      <c r="AM51" s="16">
        <v>0</v>
      </c>
      <c r="AN51" s="16">
        <v>4</v>
      </c>
      <c r="AO51" s="26">
        <v>0</v>
      </c>
      <c r="AP51" s="26">
        <v>0</v>
      </c>
      <c r="AQ51" s="16">
        <v>1</v>
      </c>
      <c r="AR51" s="26">
        <v>4</v>
      </c>
      <c r="AS51" s="26">
        <v>0</v>
      </c>
      <c r="AT51" s="26">
        <v>0</v>
      </c>
      <c r="AU51" s="16">
        <v>3</v>
      </c>
      <c r="AV51" s="26">
        <v>0</v>
      </c>
      <c r="AW51" s="26">
        <v>0</v>
      </c>
      <c r="AX51" s="26">
        <v>0</v>
      </c>
      <c r="AY51" s="16">
        <v>3</v>
      </c>
      <c r="AZ51" s="26">
        <v>0</v>
      </c>
      <c r="BA51" s="26">
        <v>0</v>
      </c>
      <c r="BB51" s="26">
        <v>0</v>
      </c>
      <c r="BC51" s="26">
        <v>0</v>
      </c>
      <c r="BD51" s="26">
        <v>0</v>
      </c>
      <c r="BE51" s="16">
        <v>2</v>
      </c>
      <c r="BF51" s="16">
        <v>4</v>
      </c>
      <c r="BG51" s="16">
        <v>164</v>
      </c>
      <c r="BH51" s="16">
        <v>16</v>
      </c>
      <c r="BI51" s="26">
        <v>0</v>
      </c>
      <c r="BJ51" s="26">
        <v>0</v>
      </c>
      <c r="BK51" s="26">
        <v>0</v>
      </c>
      <c r="BL51" s="26">
        <v>0</v>
      </c>
      <c r="BM51" s="26">
        <v>0</v>
      </c>
      <c r="BN51" s="26">
        <v>0</v>
      </c>
      <c r="BO51" s="16">
        <v>28</v>
      </c>
      <c r="BP51" s="16"/>
    </row>
    <row r="52" spans="1:68" s="5" customFormat="1" ht="21.9" customHeight="1" x14ac:dyDescent="0.25">
      <c r="A52" s="125" t="s">
        <v>94</v>
      </c>
      <c r="B52" s="4"/>
      <c r="C52" s="47" t="s">
        <v>75</v>
      </c>
      <c r="D52" s="48"/>
      <c r="E52" s="16">
        <f t="shared" si="0"/>
        <v>15041</v>
      </c>
      <c r="F52" s="16">
        <v>120</v>
      </c>
      <c r="G52" s="16">
        <v>390</v>
      </c>
      <c r="H52" s="16">
        <v>280</v>
      </c>
      <c r="I52" s="16">
        <v>470</v>
      </c>
      <c r="J52" s="16">
        <v>60</v>
      </c>
      <c r="K52" s="16">
        <v>2462</v>
      </c>
      <c r="L52" s="16">
        <v>1020</v>
      </c>
      <c r="M52" s="16">
        <v>125</v>
      </c>
      <c r="N52" s="16">
        <v>75</v>
      </c>
      <c r="O52" s="16">
        <v>300</v>
      </c>
      <c r="P52" s="16">
        <v>0</v>
      </c>
      <c r="Q52" s="16">
        <v>160</v>
      </c>
      <c r="R52" s="16">
        <v>503</v>
      </c>
      <c r="S52" s="16">
        <v>315</v>
      </c>
      <c r="T52" s="16">
        <v>154</v>
      </c>
      <c r="U52" s="16">
        <v>534</v>
      </c>
      <c r="V52" s="16">
        <v>76</v>
      </c>
      <c r="W52" s="16">
        <v>204</v>
      </c>
      <c r="X52" s="16">
        <v>59</v>
      </c>
      <c r="Y52" s="16">
        <v>231</v>
      </c>
      <c r="Z52" s="16">
        <v>361</v>
      </c>
      <c r="AA52" s="16">
        <v>45</v>
      </c>
      <c r="AB52" s="16">
        <v>115</v>
      </c>
      <c r="AC52" s="16">
        <v>40</v>
      </c>
      <c r="AD52" s="16">
        <v>275</v>
      </c>
      <c r="AE52" s="16">
        <v>508</v>
      </c>
      <c r="AF52" s="16">
        <v>182</v>
      </c>
      <c r="AG52" s="16">
        <v>297</v>
      </c>
      <c r="AH52" s="16">
        <v>230</v>
      </c>
      <c r="AI52" s="16">
        <v>235</v>
      </c>
      <c r="AJ52" s="16">
        <v>80</v>
      </c>
      <c r="AK52" s="98">
        <v>151</v>
      </c>
      <c r="AL52" s="16">
        <v>120</v>
      </c>
      <c r="AM52" s="16">
        <v>60</v>
      </c>
      <c r="AN52" s="16">
        <v>382</v>
      </c>
      <c r="AO52" s="16">
        <v>44</v>
      </c>
      <c r="AP52" s="16">
        <v>126</v>
      </c>
      <c r="AQ52" s="16">
        <v>36</v>
      </c>
      <c r="AR52" s="16">
        <v>148</v>
      </c>
      <c r="AS52" s="16">
        <v>230</v>
      </c>
      <c r="AT52" s="16">
        <v>220</v>
      </c>
      <c r="AU52" s="16">
        <v>684</v>
      </c>
      <c r="AV52" s="16">
        <v>431</v>
      </c>
      <c r="AW52" s="16">
        <v>50</v>
      </c>
      <c r="AX52" s="16">
        <v>95</v>
      </c>
      <c r="AY52" s="16">
        <v>121</v>
      </c>
      <c r="AZ52" s="26">
        <v>0</v>
      </c>
      <c r="BA52" s="26">
        <v>0</v>
      </c>
      <c r="BB52" s="26">
        <v>0</v>
      </c>
      <c r="BC52" s="16">
        <v>5</v>
      </c>
      <c r="BD52" s="16">
        <v>85</v>
      </c>
      <c r="BE52" s="16">
        <v>250</v>
      </c>
      <c r="BF52" s="16">
        <v>160</v>
      </c>
      <c r="BG52" s="16">
        <v>944</v>
      </c>
      <c r="BH52" s="16">
        <v>164</v>
      </c>
      <c r="BI52" s="16">
        <v>219</v>
      </c>
      <c r="BJ52" s="16">
        <v>131</v>
      </c>
      <c r="BK52" s="16">
        <v>135</v>
      </c>
      <c r="BL52" s="26">
        <v>0</v>
      </c>
      <c r="BM52" s="16">
        <v>85</v>
      </c>
      <c r="BN52" s="16">
        <v>45</v>
      </c>
      <c r="BO52" s="16">
        <v>14</v>
      </c>
    </row>
    <row r="53" spans="1:68" s="5" customFormat="1" ht="21.9" customHeight="1" x14ac:dyDescent="0.25">
      <c r="A53" s="125"/>
      <c r="B53" s="4"/>
      <c r="C53" s="47" t="s">
        <v>76</v>
      </c>
      <c r="D53" s="48"/>
      <c r="E53" s="16">
        <f t="shared" si="0"/>
        <v>434</v>
      </c>
      <c r="F53" s="26">
        <v>1</v>
      </c>
      <c r="G53" s="26">
        <v>0</v>
      </c>
      <c r="H53" s="26">
        <v>0</v>
      </c>
      <c r="I53" s="26">
        <v>3</v>
      </c>
      <c r="J53" s="26">
        <v>0</v>
      </c>
      <c r="K53" s="26">
        <v>11</v>
      </c>
      <c r="L53" s="26">
        <v>1</v>
      </c>
      <c r="M53" s="26">
        <v>1</v>
      </c>
      <c r="N53" s="26">
        <v>0</v>
      </c>
      <c r="O53" s="26">
        <v>1</v>
      </c>
      <c r="P53" s="26">
        <v>0</v>
      </c>
      <c r="Q53" s="26">
        <v>1</v>
      </c>
      <c r="R53" s="26">
        <v>1</v>
      </c>
      <c r="S53" s="26">
        <v>0</v>
      </c>
      <c r="T53" s="16">
        <v>0</v>
      </c>
      <c r="U53" s="16">
        <v>2</v>
      </c>
      <c r="V53" s="16">
        <v>2</v>
      </c>
      <c r="W53" s="16">
        <v>7</v>
      </c>
      <c r="X53" s="16">
        <v>0</v>
      </c>
      <c r="Y53" s="16">
        <v>1</v>
      </c>
      <c r="Z53" s="16">
        <v>4</v>
      </c>
      <c r="AA53" s="16">
        <v>1</v>
      </c>
      <c r="AB53" s="16">
        <v>0</v>
      </c>
      <c r="AC53" s="16">
        <v>0</v>
      </c>
      <c r="AD53" s="16">
        <v>4</v>
      </c>
      <c r="AE53" s="16">
        <v>33</v>
      </c>
      <c r="AF53" s="16">
        <v>1</v>
      </c>
      <c r="AG53" s="16">
        <v>12</v>
      </c>
      <c r="AH53" s="16">
        <v>0</v>
      </c>
      <c r="AI53" s="16">
        <v>2</v>
      </c>
      <c r="AJ53" s="16">
        <v>0</v>
      </c>
      <c r="AK53" s="98">
        <v>5</v>
      </c>
      <c r="AL53" s="16">
        <v>0</v>
      </c>
      <c r="AM53" s="16">
        <v>0</v>
      </c>
      <c r="AN53" s="16">
        <v>6</v>
      </c>
      <c r="AO53" s="26">
        <v>0</v>
      </c>
      <c r="AP53" s="26">
        <v>0</v>
      </c>
      <c r="AQ53" s="26">
        <v>0</v>
      </c>
      <c r="AR53" s="16">
        <v>14</v>
      </c>
      <c r="AS53" s="16">
        <v>3</v>
      </c>
      <c r="AT53" s="26">
        <v>0</v>
      </c>
      <c r="AU53" s="16">
        <v>32</v>
      </c>
      <c r="AV53" s="16">
        <v>4</v>
      </c>
      <c r="AW53" s="26">
        <v>0</v>
      </c>
      <c r="AX53" s="16">
        <v>1</v>
      </c>
      <c r="AY53" s="16">
        <v>2</v>
      </c>
      <c r="AZ53" s="26">
        <v>0</v>
      </c>
      <c r="BA53" s="26">
        <v>0</v>
      </c>
      <c r="BB53" s="26">
        <v>0</v>
      </c>
      <c r="BC53" s="26">
        <v>0</v>
      </c>
      <c r="BD53" s="26">
        <v>0</v>
      </c>
      <c r="BE53" s="16">
        <v>2</v>
      </c>
      <c r="BF53" s="26">
        <v>0</v>
      </c>
      <c r="BG53" s="16">
        <v>231</v>
      </c>
      <c r="BH53" s="26">
        <v>0</v>
      </c>
      <c r="BI53" s="16">
        <v>38</v>
      </c>
      <c r="BJ53" s="16">
        <v>6</v>
      </c>
      <c r="BK53" s="16">
        <v>1</v>
      </c>
      <c r="BL53" s="26">
        <v>0</v>
      </c>
      <c r="BM53" s="26">
        <v>0</v>
      </c>
      <c r="BN53" s="26">
        <v>0</v>
      </c>
      <c r="BO53" s="26">
        <v>0</v>
      </c>
    </row>
    <row r="54" spans="1:68" s="5" customFormat="1" ht="21.9" customHeight="1" x14ac:dyDescent="0.25">
      <c r="A54" s="125" t="s">
        <v>95</v>
      </c>
      <c r="B54" s="4"/>
      <c r="C54" s="47" t="s">
        <v>75</v>
      </c>
      <c r="D54" s="48"/>
      <c r="E54" s="16">
        <f t="shared" si="0"/>
        <v>14230</v>
      </c>
      <c r="F54" s="16">
        <v>24</v>
      </c>
      <c r="G54" s="16">
        <v>0</v>
      </c>
      <c r="H54" s="16">
        <v>0</v>
      </c>
      <c r="I54" s="16">
        <v>35</v>
      </c>
      <c r="J54" s="16">
        <v>0</v>
      </c>
      <c r="K54" s="16">
        <v>1304</v>
      </c>
      <c r="L54" s="16">
        <v>1214</v>
      </c>
      <c r="M54" s="16">
        <v>0</v>
      </c>
      <c r="N54" s="16">
        <v>55</v>
      </c>
      <c r="O54" s="16">
        <v>0</v>
      </c>
      <c r="P54" s="16">
        <v>0</v>
      </c>
      <c r="Q54" s="16">
        <v>1065</v>
      </c>
      <c r="R54" s="16">
        <v>147</v>
      </c>
      <c r="S54" s="16">
        <v>0</v>
      </c>
      <c r="T54" s="16">
        <v>170</v>
      </c>
      <c r="U54" s="16">
        <v>123</v>
      </c>
      <c r="V54" s="26">
        <v>0</v>
      </c>
      <c r="W54" s="16">
        <v>146</v>
      </c>
      <c r="X54" s="16">
        <v>15</v>
      </c>
      <c r="Y54" s="16">
        <v>6</v>
      </c>
      <c r="Z54" s="16">
        <v>10</v>
      </c>
      <c r="AA54" s="26">
        <v>0</v>
      </c>
      <c r="AB54" s="16">
        <v>1121</v>
      </c>
      <c r="AC54" s="26">
        <v>0</v>
      </c>
      <c r="AD54" s="16">
        <v>3079</v>
      </c>
      <c r="AE54" s="26">
        <v>0</v>
      </c>
      <c r="AF54" s="26">
        <v>0</v>
      </c>
      <c r="AG54" s="16">
        <v>1992</v>
      </c>
      <c r="AH54" s="16">
        <v>156</v>
      </c>
      <c r="AI54" s="26">
        <v>0</v>
      </c>
      <c r="AJ54" s="26">
        <v>0</v>
      </c>
      <c r="AK54" s="98">
        <v>197</v>
      </c>
      <c r="AL54" s="16">
        <v>88</v>
      </c>
      <c r="AM54" s="26">
        <v>0</v>
      </c>
      <c r="AN54" s="26">
        <v>0</v>
      </c>
      <c r="AO54" s="26">
        <v>0</v>
      </c>
      <c r="AP54" s="26">
        <v>0</v>
      </c>
      <c r="AQ54" s="26">
        <v>0</v>
      </c>
      <c r="AR54" s="16">
        <v>198</v>
      </c>
      <c r="AS54" s="16">
        <v>372</v>
      </c>
      <c r="AT54" s="16">
        <v>1</v>
      </c>
      <c r="AU54" s="16">
        <v>399</v>
      </c>
      <c r="AV54" s="16">
        <v>664</v>
      </c>
      <c r="AW54" s="26">
        <v>0</v>
      </c>
      <c r="AX54" s="16">
        <v>218</v>
      </c>
      <c r="AY54" s="26">
        <v>0</v>
      </c>
      <c r="AZ54" s="26">
        <v>0</v>
      </c>
      <c r="BA54" s="26">
        <v>0</v>
      </c>
      <c r="BB54" s="26">
        <v>0</v>
      </c>
      <c r="BC54" s="26">
        <v>0</v>
      </c>
      <c r="BD54" s="26">
        <v>0</v>
      </c>
      <c r="BE54" s="16">
        <v>275</v>
      </c>
      <c r="BF54" s="16">
        <v>104</v>
      </c>
      <c r="BG54" s="26">
        <v>0</v>
      </c>
      <c r="BH54" s="26">
        <v>0</v>
      </c>
      <c r="BI54" s="16">
        <v>62</v>
      </c>
      <c r="BJ54" s="26">
        <v>0</v>
      </c>
      <c r="BK54" s="26">
        <v>0</v>
      </c>
      <c r="BL54" s="16">
        <v>806</v>
      </c>
      <c r="BM54" s="16">
        <v>140</v>
      </c>
      <c r="BN54" s="26">
        <v>0</v>
      </c>
      <c r="BO54" s="16">
        <v>44</v>
      </c>
    </row>
    <row r="55" spans="1:68" s="5" customFormat="1" ht="21.9" customHeight="1" x14ac:dyDescent="0.25">
      <c r="A55" s="125"/>
      <c r="B55" s="4"/>
      <c r="C55" s="47" t="s">
        <v>76</v>
      </c>
      <c r="D55" s="48"/>
      <c r="E55" s="16">
        <f t="shared" si="0"/>
        <v>44</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4</v>
      </c>
      <c r="AE55" s="26">
        <v>0</v>
      </c>
      <c r="AF55" s="26">
        <v>0</v>
      </c>
      <c r="AG55" s="26">
        <v>12</v>
      </c>
      <c r="AH55" s="26">
        <v>0</v>
      </c>
      <c r="AI55" s="26">
        <v>0</v>
      </c>
      <c r="AJ55" s="26">
        <v>0</v>
      </c>
      <c r="AK55" s="99">
        <v>0</v>
      </c>
      <c r="AL55" s="26">
        <v>0</v>
      </c>
      <c r="AM55" s="26">
        <v>0</v>
      </c>
      <c r="AN55" s="26">
        <v>0</v>
      </c>
      <c r="AO55" s="26">
        <v>0</v>
      </c>
      <c r="AP55" s="26">
        <v>0</v>
      </c>
      <c r="AQ55" s="26">
        <v>0</v>
      </c>
      <c r="AR55" s="26">
        <v>0</v>
      </c>
      <c r="AS55" s="26">
        <v>3</v>
      </c>
      <c r="AT55" s="26">
        <v>0</v>
      </c>
      <c r="AU55" s="26">
        <v>21</v>
      </c>
      <c r="AV55" s="26">
        <v>0</v>
      </c>
      <c r="AW55" s="26">
        <v>0</v>
      </c>
      <c r="AX55" s="26">
        <v>0</v>
      </c>
      <c r="AY55" s="26">
        <v>0</v>
      </c>
      <c r="AZ55" s="26">
        <v>0</v>
      </c>
      <c r="BA55" s="26">
        <v>0</v>
      </c>
      <c r="BB55" s="26">
        <v>0</v>
      </c>
      <c r="BC55" s="26">
        <v>0</v>
      </c>
      <c r="BD55" s="26">
        <v>0</v>
      </c>
      <c r="BE55" s="26">
        <v>0</v>
      </c>
      <c r="BF55" s="16">
        <v>1</v>
      </c>
      <c r="BG55" s="26">
        <v>0</v>
      </c>
      <c r="BH55" s="26">
        <v>0</v>
      </c>
      <c r="BI55" s="26">
        <v>0</v>
      </c>
      <c r="BJ55" s="26">
        <v>0</v>
      </c>
      <c r="BK55" s="26">
        <v>0</v>
      </c>
      <c r="BL55" s="26">
        <v>3</v>
      </c>
      <c r="BM55" s="26">
        <v>0</v>
      </c>
      <c r="BN55" s="26">
        <v>0</v>
      </c>
      <c r="BO55" s="26">
        <v>0</v>
      </c>
    </row>
    <row r="56" spans="1:68" s="5" customFormat="1" ht="21.9" customHeight="1" x14ac:dyDescent="0.25">
      <c r="A56" s="125" t="s">
        <v>96</v>
      </c>
      <c r="B56" s="4"/>
      <c r="C56" s="47" t="s">
        <v>75</v>
      </c>
      <c r="D56" s="48"/>
      <c r="E56" s="16">
        <f t="shared" si="0"/>
        <v>1171</v>
      </c>
      <c r="F56" s="16">
        <v>0</v>
      </c>
      <c r="G56" s="16">
        <v>10</v>
      </c>
      <c r="H56" s="16">
        <v>0</v>
      </c>
      <c r="I56" s="16">
        <v>5</v>
      </c>
      <c r="J56" s="16">
        <v>0</v>
      </c>
      <c r="K56" s="16">
        <v>96</v>
      </c>
      <c r="L56" s="16">
        <v>64</v>
      </c>
      <c r="M56" s="16">
        <v>35</v>
      </c>
      <c r="N56" s="16">
        <v>23</v>
      </c>
      <c r="O56" s="16">
        <v>23</v>
      </c>
      <c r="P56" s="16">
        <v>0</v>
      </c>
      <c r="Q56" s="16">
        <v>13</v>
      </c>
      <c r="R56" s="16">
        <v>52</v>
      </c>
      <c r="S56" s="16">
        <v>0</v>
      </c>
      <c r="T56" s="16">
        <v>8</v>
      </c>
      <c r="U56" s="16">
        <v>16</v>
      </c>
      <c r="V56" s="16">
        <v>15</v>
      </c>
      <c r="W56" s="16">
        <v>26</v>
      </c>
      <c r="X56" s="16">
        <v>30</v>
      </c>
      <c r="Y56" s="16">
        <v>11</v>
      </c>
      <c r="Z56" s="16">
        <v>16</v>
      </c>
      <c r="AA56" s="16">
        <v>22</v>
      </c>
      <c r="AB56" s="16">
        <v>29</v>
      </c>
      <c r="AC56" s="16">
        <v>29</v>
      </c>
      <c r="AD56" s="16">
        <v>12</v>
      </c>
      <c r="AE56" s="26">
        <v>0</v>
      </c>
      <c r="AF56" s="16">
        <v>14</v>
      </c>
      <c r="AG56" s="16">
        <v>342</v>
      </c>
      <c r="AH56" s="16">
        <v>11</v>
      </c>
      <c r="AI56" s="16">
        <v>36</v>
      </c>
      <c r="AJ56" s="26">
        <v>0</v>
      </c>
      <c r="AK56" s="98">
        <v>6</v>
      </c>
      <c r="AL56" s="16">
        <v>0</v>
      </c>
      <c r="AM56" s="16">
        <v>20</v>
      </c>
      <c r="AN56" s="16">
        <v>26</v>
      </c>
      <c r="AO56" s="26">
        <v>0</v>
      </c>
      <c r="AP56" s="26">
        <v>0</v>
      </c>
      <c r="AQ56" s="26">
        <v>0</v>
      </c>
      <c r="AR56" s="16">
        <v>8</v>
      </c>
      <c r="AS56" s="16">
        <v>1</v>
      </c>
      <c r="AT56" s="26">
        <v>0</v>
      </c>
      <c r="AU56" s="16">
        <v>6</v>
      </c>
      <c r="AV56" s="16">
        <v>4</v>
      </c>
      <c r="AW56" s="26">
        <v>0</v>
      </c>
      <c r="AX56" s="16">
        <v>15</v>
      </c>
      <c r="AY56" s="26">
        <v>0</v>
      </c>
      <c r="AZ56" s="26">
        <v>0</v>
      </c>
      <c r="BA56" s="26">
        <v>0</v>
      </c>
      <c r="BB56" s="26">
        <v>0</v>
      </c>
      <c r="BC56" s="26">
        <v>0</v>
      </c>
      <c r="BD56" s="26">
        <v>0</v>
      </c>
      <c r="BE56" s="16">
        <v>20</v>
      </c>
      <c r="BF56" s="16">
        <v>35</v>
      </c>
      <c r="BG56" s="26">
        <v>0</v>
      </c>
      <c r="BH56" s="26">
        <v>0</v>
      </c>
      <c r="BI56" s="26">
        <v>0</v>
      </c>
      <c r="BJ56" s="26">
        <v>0</v>
      </c>
      <c r="BK56" s="16">
        <v>12</v>
      </c>
      <c r="BL56" s="16">
        <v>56</v>
      </c>
      <c r="BM56" s="26">
        <v>0</v>
      </c>
      <c r="BN56" s="26">
        <v>0</v>
      </c>
      <c r="BO56" s="16">
        <v>24</v>
      </c>
    </row>
    <row r="57" spans="1:68" s="5" customFormat="1" ht="21.9" customHeight="1" x14ac:dyDescent="0.25">
      <c r="A57" s="134"/>
      <c r="B57" s="6"/>
      <c r="C57" s="49" t="s">
        <v>76</v>
      </c>
      <c r="D57" s="50"/>
      <c r="E57" s="55">
        <f t="shared" si="0"/>
        <v>22</v>
      </c>
      <c r="F57" s="56">
        <v>0</v>
      </c>
      <c r="G57" s="56">
        <v>0</v>
      </c>
      <c r="H57" s="56">
        <v>0</v>
      </c>
      <c r="I57" s="56">
        <v>1</v>
      </c>
      <c r="J57" s="56">
        <v>0</v>
      </c>
      <c r="K57" s="56">
        <v>2</v>
      </c>
      <c r="L57" s="56">
        <v>0</v>
      </c>
      <c r="M57" s="56">
        <v>0</v>
      </c>
      <c r="N57" s="56">
        <v>0</v>
      </c>
      <c r="O57" s="56">
        <v>0</v>
      </c>
      <c r="P57" s="56">
        <v>0</v>
      </c>
      <c r="Q57" s="56">
        <v>1</v>
      </c>
      <c r="R57" s="56">
        <v>0</v>
      </c>
      <c r="S57" s="56">
        <v>0</v>
      </c>
      <c r="T57" s="56">
        <v>0</v>
      </c>
      <c r="U57" s="56">
        <v>0</v>
      </c>
      <c r="V57" s="56">
        <v>0</v>
      </c>
      <c r="W57" s="57">
        <v>1</v>
      </c>
      <c r="X57" s="56">
        <v>0</v>
      </c>
      <c r="Y57" s="56">
        <v>0</v>
      </c>
      <c r="Z57" s="56">
        <v>0</v>
      </c>
      <c r="AA57" s="56">
        <v>0</v>
      </c>
      <c r="AB57" s="56">
        <v>0</v>
      </c>
      <c r="AC57" s="57">
        <v>1</v>
      </c>
      <c r="AD57" s="56">
        <v>0</v>
      </c>
      <c r="AE57" s="56">
        <v>0</v>
      </c>
      <c r="AF57" s="56">
        <v>0</v>
      </c>
      <c r="AG57" s="57">
        <v>12</v>
      </c>
      <c r="AH57" s="56">
        <v>0</v>
      </c>
      <c r="AI57" s="56">
        <v>0</v>
      </c>
      <c r="AJ57" s="56">
        <v>0</v>
      </c>
      <c r="AK57" s="55">
        <v>3</v>
      </c>
      <c r="AL57" s="56">
        <v>0</v>
      </c>
      <c r="AM57" s="56">
        <v>0</v>
      </c>
      <c r="AN57" s="56">
        <v>0</v>
      </c>
      <c r="AO57" s="56">
        <v>0</v>
      </c>
      <c r="AP57" s="56">
        <v>0</v>
      </c>
      <c r="AQ57" s="56">
        <v>0</v>
      </c>
      <c r="AR57" s="56">
        <v>0</v>
      </c>
      <c r="AS57" s="56">
        <v>0</v>
      </c>
      <c r="AT57" s="56">
        <v>0</v>
      </c>
      <c r="AU57" s="56">
        <v>0</v>
      </c>
      <c r="AV57" s="56">
        <v>0</v>
      </c>
      <c r="AW57" s="56">
        <v>0</v>
      </c>
      <c r="AX57" s="56">
        <v>0</v>
      </c>
      <c r="AY57" s="56">
        <v>0</v>
      </c>
      <c r="AZ57" s="56">
        <v>0</v>
      </c>
      <c r="BA57" s="56">
        <v>0</v>
      </c>
      <c r="BB57" s="56">
        <v>0</v>
      </c>
      <c r="BC57" s="56">
        <v>0</v>
      </c>
      <c r="BD57" s="56">
        <v>0</v>
      </c>
      <c r="BE57" s="56">
        <v>0</v>
      </c>
      <c r="BF57" s="56">
        <v>0</v>
      </c>
      <c r="BG57" s="56">
        <v>0</v>
      </c>
      <c r="BH57" s="56">
        <v>0</v>
      </c>
      <c r="BI57" s="56">
        <v>0</v>
      </c>
      <c r="BJ57" s="56">
        <v>0</v>
      </c>
      <c r="BK57" s="56">
        <v>0</v>
      </c>
      <c r="BL57" s="56">
        <v>0</v>
      </c>
      <c r="BM57" s="56">
        <v>0</v>
      </c>
      <c r="BN57" s="56">
        <v>0</v>
      </c>
      <c r="BO57" s="57">
        <v>1</v>
      </c>
    </row>
    <row r="58" spans="1:68" s="5" customFormat="1" ht="21.9" customHeight="1" x14ac:dyDescent="0.3">
      <c r="A58" s="76" t="s">
        <v>190</v>
      </c>
      <c r="AK58" s="63" t="s">
        <v>191</v>
      </c>
      <c r="AL58" s="63"/>
      <c r="AM58" s="63"/>
      <c r="AN58" s="64"/>
      <c r="AO58" s="64"/>
      <c r="AP58" s="63" t="s">
        <v>178</v>
      </c>
      <c r="AQ58" s="63"/>
      <c r="AS58" s="63"/>
      <c r="AU58" s="58"/>
      <c r="AV58" s="63"/>
      <c r="AW58" s="5" t="s">
        <v>179</v>
      </c>
      <c r="AX58" s="64"/>
      <c r="AY58" s="64"/>
      <c r="BA58" s="58"/>
      <c r="BB58" s="63"/>
      <c r="BD58" s="65"/>
      <c r="BE58" s="64"/>
      <c r="BF58" s="5" t="s">
        <v>180</v>
      </c>
      <c r="BG58" s="58"/>
      <c r="BH58" s="76"/>
      <c r="BI58" s="62"/>
      <c r="BJ58" s="62"/>
      <c r="BK58" s="62"/>
    </row>
    <row r="59" spans="1:68" s="5" customFormat="1" ht="21.9" customHeight="1" x14ac:dyDescent="0.3">
      <c r="AK59" s="63"/>
      <c r="AL59" s="63"/>
      <c r="AM59" s="63"/>
      <c r="AN59" s="64"/>
      <c r="AO59" s="64"/>
      <c r="AP59" s="64"/>
      <c r="AQ59" s="65"/>
      <c r="AR59" s="63"/>
      <c r="AS59" s="63"/>
      <c r="AT59" s="63"/>
      <c r="AU59" s="58"/>
      <c r="AV59" s="63"/>
      <c r="AW59" s="65" t="s">
        <v>181</v>
      </c>
      <c r="AX59" s="63"/>
      <c r="AY59" s="63"/>
      <c r="BA59" s="63"/>
      <c r="BB59" s="63"/>
      <c r="BD59" s="65"/>
      <c r="BE59" s="63"/>
      <c r="BG59" s="59"/>
      <c r="BH59" s="58"/>
      <c r="BI59" s="62"/>
      <c r="BJ59" s="62"/>
      <c r="BK59" s="62"/>
    </row>
    <row r="60" spans="1:68" s="5" customFormat="1" ht="21.9" customHeight="1" x14ac:dyDescent="0.3">
      <c r="AK60" s="76" t="s">
        <v>192</v>
      </c>
      <c r="AL60" s="62"/>
      <c r="AM60" s="58"/>
      <c r="AN60" s="76"/>
      <c r="AO60" s="76"/>
      <c r="AP60" s="77"/>
      <c r="AQ60" s="76"/>
      <c r="AR60" s="104"/>
      <c r="AS60" s="76"/>
      <c r="AT60" s="76"/>
      <c r="AU60" s="76"/>
      <c r="AV60" s="76"/>
      <c r="AW60" s="76"/>
      <c r="AX60" s="77"/>
      <c r="AY60" s="76"/>
      <c r="AZ60" s="76"/>
      <c r="BA60" s="76"/>
      <c r="BB60" s="76"/>
      <c r="BC60" s="59"/>
      <c r="BD60" s="59"/>
      <c r="BE60" s="59"/>
      <c r="BF60" s="75"/>
      <c r="BG60" s="59"/>
      <c r="BH60" s="58"/>
      <c r="BI60" s="62"/>
      <c r="BJ60" s="62"/>
      <c r="BK60" s="62"/>
    </row>
    <row r="61" spans="1:68" s="5" customFormat="1" ht="21.9" customHeight="1" x14ac:dyDescent="0.3">
      <c r="E61" s="16"/>
      <c r="AK61" s="5" t="s">
        <v>195</v>
      </c>
      <c r="AL61" s="62"/>
      <c r="AM61" s="58"/>
      <c r="AN61" s="76"/>
      <c r="AO61" s="76"/>
      <c r="AP61" s="77"/>
      <c r="AQ61" s="76"/>
      <c r="AR61" s="104"/>
      <c r="AS61" s="76"/>
      <c r="AT61" s="76"/>
      <c r="AU61" s="76"/>
      <c r="AV61" s="76"/>
      <c r="AW61" s="76"/>
      <c r="AX61" s="77"/>
      <c r="AY61" s="76"/>
      <c r="AZ61" s="76"/>
      <c r="BA61" s="76"/>
      <c r="BB61" s="76"/>
      <c r="BC61" s="59"/>
      <c r="BD61" s="59"/>
      <c r="BE61" s="59"/>
      <c r="BF61" s="75"/>
      <c r="BG61" s="78"/>
      <c r="BH61" s="78"/>
      <c r="BI61" s="62"/>
      <c r="BJ61" s="62"/>
      <c r="BK61" s="62"/>
    </row>
    <row r="62" spans="1:68" s="5" customFormat="1" ht="21.9" customHeight="1" x14ac:dyDescent="0.3">
      <c r="E62" s="16"/>
      <c r="AK62" s="76" t="s">
        <v>193</v>
      </c>
      <c r="AL62" s="76"/>
      <c r="AM62" s="76"/>
      <c r="AN62" s="77"/>
      <c r="AO62" s="76"/>
      <c r="AP62" s="74"/>
      <c r="AQ62" s="74"/>
      <c r="AR62" s="74"/>
      <c r="AS62" s="76"/>
      <c r="AT62" s="76"/>
      <c r="AU62" s="76"/>
      <c r="AV62" s="76"/>
      <c r="AW62" s="76"/>
      <c r="AX62" s="77"/>
      <c r="AY62" s="76"/>
      <c r="AZ62" s="76"/>
      <c r="BA62" s="76"/>
      <c r="BB62" s="76"/>
      <c r="BC62" s="59"/>
      <c r="BD62" s="59"/>
      <c r="BE62" s="59"/>
      <c r="BF62" s="75"/>
      <c r="BG62" s="78"/>
      <c r="BH62" s="78"/>
      <c r="BI62" s="62"/>
      <c r="BJ62" s="62"/>
      <c r="BK62" s="62"/>
    </row>
    <row r="63" spans="1:68" s="5" customFormat="1" ht="21.9" customHeight="1" x14ac:dyDescent="0.25"/>
    <row r="64" spans="1:68" s="5" customFormat="1" ht="21.9" customHeight="1" x14ac:dyDescent="0.25"/>
    <row r="65" s="5" customFormat="1" ht="21.9" customHeight="1" x14ac:dyDescent="0.25"/>
  </sheetData>
  <mergeCells count="119">
    <mergeCell ref="F7:F11"/>
    <mergeCell ref="I7:I11"/>
    <mergeCell ref="J7:J11"/>
    <mergeCell ref="AO6:AQ6"/>
    <mergeCell ref="AQ7:AQ11"/>
    <mergeCell ref="AG7:AG11"/>
    <mergeCell ref="AH7:AH11"/>
    <mergeCell ref="AW6:AX6"/>
    <mergeCell ref="AJ7:AJ11"/>
    <mergeCell ref="AK7:AK11"/>
    <mergeCell ref="AL7:AL11"/>
    <mergeCell ref="K7:K11"/>
    <mergeCell ref="AF1:AG1"/>
    <mergeCell ref="AH1:AJ1"/>
    <mergeCell ref="BK1:BL1"/>
    <mergeCell ref="BM1:BO1"/>
    <mergeCell ref="AF2:AG2"/>
    <mergeCell ref="AH2:AJ2"/>
    <mergeCell ref="BK2:BL2"/>
    <mergeCell ref="BM2:BO2"/>
    <mergeCell ref="AK1:AL1"/>
    <mergeCell ref="AK2:AL2"/>
    <mergeCell ref="A3:AJ3"/>
    <mergeCell ref="AK3:BO3"/>
    <mergeCell ref="A4:AJ4"/>
    <mergeCell ref="AK4:BO4"/>
    <mergeCell ref="AG6:AJ6"/>
    <mergeCell ref="AK6:AN6"/>
    <mergeCell ref="K6:M6"/>
    <mergeCell ref="N6:P6"/>
    <mergeCell ref="Q6:S6"/>
    <mergeCell ref="AR6:AS6"/>
    <mergeCell ref="A6:D11"/>
    <mergeCell ref="F6:J6"/>
    <mergeCell ref="E6:E11"/>
    <mergeCell ref="BN7:BN11"/>
    <mergeCell ref="BO7:BO11"/>
    <mergeCell ref="AR7:AR11"/>
    <mergeCell ref="AS7:AS11"/>
    <mergeCell ref="AT7:AT11"/>
    <mergeCell ref="AU7:AU11"/>
    <mergeCell ref="BC6:BC11"/>
    <mergeCell ref="AV7:AV11"/>
    <mergeCell ref="AX7:AX11"/>
    <mergeCell ref="AY6:AZ6"/>
    <mergeCell ref="BM6:BO6"/>
    <mergeCell ref="A48:A49"/>
    <mergeCell ref="A50:A51"/>
    <mergeCell ref="A18:A19"/>
    <mergeCell ref="A16:A17"/>
    <mergeCell ref="A20:A21"/>
    <mergeCell ref="A52:A53"/>
    <mergeCell ref="A42:A43"/>
    <mergeCell ref="A44:A45"/>
    <mergeCell ref="A46:A47"/>
    <mergeCell ref="A34:A35"/>
    <mergeCell ref="A32:A33"/>
    <mergeCell ref="A30:A31"/>
    <mergeCell ref="A26:A27"/>
    <mergeCell ref="A28:A29"/>
    <mergeCell ref="A22:A23"/>
    <mergeCell ref="A24:A25"/>
    <mergeCell ref="A12:A13"/>
    <mergeCell ref="A14:A15"/>
    <mergeCell ref="A1:B1"/>
    <mergeCell ref="A2:B2"/>
    <mergeCell ref="T6:AF6"/>
    <mergeCell ref="T7:T11"/>
    <mergeCell ref="U7:U11"/>
    <mergeCell ref="G7:G11"/>
    <mergeCell ref="H7:H11"/>
    <mergeCell ref="V7:V11"/>
    <mergeCell ref="W7:W11"/>
    <mergeCell ref="X7:X11"/>
    <mergeCell ref="Y7:Y11"/>
    <mergeCell ref="AD7:AD11"/>
    <mergeCell ref="AE7:AE11"/>
    <mergeCell ref="AF7:AF11"/>
    <mergeCell ref="Q7:Q11"/>
    <mergeCell ref="M7:M11"/>
    <mergeCell ref="N7:N11"/>
    <mergeCell ref="O7:O11"/>
    <mergeCell ref="R7:R11"/>
    <mergeCell ref="S7:S11"/>
    <mergeCell ref="P7:P11"/>
    <mergeCell ref="L7:L11"/>
    <mergeCell ref="AY7:AY11"/>
    <mergeCell ref="AZ7:AZ11"/>
    <mergeCell ref="BA7:BA11"/>
    <mergeCell ref="BB7:BB11"/>
    <mergeCell ref="BM7:BM11"/>
    <mergeCell ref="BI7:BI11"/>
    <mergeCell ref="BJ7:BJ11"/>
    <mergeCell ref="BK7:BK11"/>
    <mergeCell ref="BL7:BL11"/>
    <mergeCell ref="BI6:BL6"/>
    <mergeCell ref="A54:A55"/>
    <mergeCell ref="A56:A57"/>
    <mergeCell ref="A36:A37"/>
    <mergeCell ref="A38:A39"/>
    <mergeCell ref="AC7:AC11"/>
    <mergeCell ref="A40:A41"/>
    <mergeCell ref="BD6:BF6"/>
    <mergeCell ref="BD7:BD11"/>
    <mergeCell ref="BE7:BE11"/>
    <mergeCell ref="AI7:AI11"/>
    <mergeCell ref="Z7:Z11"/>
    <mergeCell ref="AA7:AA11"/>
    <mergeCell ref="AB7:AB11"/>
    <mergeCell ref="BH6:BH11"/>
    <mergeCell ref="BG6:BG11"/>
    <mergeCell ref="BF7:BF11"/>
    <mergeCell ref="BA6:BB6"/>
    <mergeCell ref="AW7:AW11"/>
    <mergeCell ref="AT6:AV6"/>
    <mergeCell ref="AM7:AM11"/>
    <mergeCell ref="AN7:AN11"/>
    <mergeCell ref="AO7:AO11"/>
    <mergeCell ref="AP7:AP11"/>
  </mergeCells>
  <phoneticPr fontId="5" type="noConversion"/>
  <printOptions horizontalCentered="1"/>
  <pageMargins left="0.74803149606299213" right="0.74803149606299213" top="1.1811023622047245" bottom="0.78740157480314965" header="0" footer="0"/>
  <pageSetup paperSize="8" scale="6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65"/>
  <sheetViews>
    <sheetView zoomScale="80" zoomScaleNormal="80" workbookViewId="0">
      <selection activeCell="H7" sqref="H7:H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68" width="10.6640625" style="1" bestFit="1" customWidth="1"/>
    <col min="69"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E1" s="70"/>
      <c r="AF1" s="183" t="s">
        <v>45</v>
      </c>
      <c r="AG1" s="171"/>
      <c r="AH1" s="133" t="s">
        <v>334</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J1" s="69"/>
      <c r="BK1" s="170" t="s">
        <v>45</v>
      </c>
      <c r="BL1" s="171"/>
      <c r="BM1" s="133" t="s">
        <v>334</v>
      </c>
      <c r="BN1" s="173"/>
      <c r="BO1" s="174"/>
      <c r="BP1" s="38"/>
      <c r="BQ1" s="38"/>
    </row>
    <row r="2" spans="1:69"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41"/>
      <c r="AE2" s="71"/>
      <c r="AF2" s="184" t="s">
        <v>187</v>
      </c>
      <c r="AG2" s="166"/>
      <c r="AH2" s="167" t="s">
        <v>337</v>
      </c>
      <c r="AI2" s="168"/>
      <c r="AJ2" s="169"/>
      <c r="AK2" s="163" t="s">
        <v>279</v>
      </c>
      <c r="AL2" s="164"/>
      <c r="AM2" s="7" t="s">
        <v>290</v>
      </c>
      <c r="AN2" s="33"/>
      <c r="AO2" s="33"/>
      <c r="AP2" s="33"/>
      <c r="AQ2" s="33"/>
      <c r="AR2" s="33"/>
      <c r="AS2" s="33"/>
      <c r="AT2" s="33"/>
      <c r="AU2" s="33"/>
      <c r="AV2" s="33"/>
      <c r="AW2" s="33"/>
      <c r="AX2" s="33"/>
      <c r="AY2" s="33"/>
      <c r="AZ2" s="33"/>
      <c r="BA2" s="33"/>
      <c r="BB2" s="33"/>
      <c r="BC2" s="33"/>
      <c r="BD2" s="33"/>
      <c r="BE2" s="33"/>
      <c r="BF2" s="33"/>
      <c r="BG2" s="33"/>
      <c r="BH2" s="42"/>
      <c r="BI2" s="41"/>
      <c r="BJ2" s="72"/>
      <c r="BK2" s="165" t="s">
        <v>187</v>
      </c>
      <c r="BL2" s="166"/>
      <c r="BM2" s="167" t="s">
        <v>5</v>
      </c>
      <c r="BN2" s="168"/>
      <c r="BO2" s="169"/>
      <c r="BP2" s="43"/>
      <c r="BQ2" s="43"/>
    </row>
    <row r="3" spans="1:69" s="53" customFormat="1" ht="30" customHeight="1" x14ac:dyDescent="0.25">
      <c r="A3" s="159" t="s">
        <v>385</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388</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row>
    <row r="4" spans="1:69" s="37" customFormat="1" ht="26.1" customHeight="1" x14ac:dyDescent="0.25">
      <c r="A4" s="160" t="s">
        <v>351</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204" t="s">
        <v>351</v>
      </c>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row>
    <row r="5" spans="1:69" s="37" customFormat="1" ht="20.100000000000001" customHeight="1" x14ac:dyDescent="0.25">
      <c r="A5" s="40"/>
      <c r="B5" s="41"/>
      <c r="C5" s="41"/>
      <c r="D5" s="67"/>
      <c r="E5" s="67"/>
      <c r="F5" s="67"/>
      <c r="G5" s="67"/>
      <c r="H5" s="67"/>
      <c r="I5" s="67"/>
      <c r="J5" s="41"/>
      <c r="K5" s="67"/>
      <c r="L5" s="67"/>
      <c r="M5" s="67"/>
      <c r="N5" s="41"/>
      <c r="O5" s="67"/>
      <c r="P5" s="41"/>
      <c r="Q5" s="67"/>
      <c r="R5" s="44"/>
      <c r="S5" s="67"/>
      <c r="T5" s="33"/>
      <c r="U5" s="33"/>
      <c r="V5" s="33"/>
      <c r="W5" s="68"/>
      <c r="X5" s="5"/>
      <c r="Y5" s="33"/>
      <c r="Z5" s="33"/>
      <c r="AA5" s="33"/>
      <c r="AB5" s="33"/>
      <c r="AC5" s="33"/>
      <c r="AD5" s="33"/>
      <c r="AE5" s="33"/>
      <c r="AG5" s="33"/>
      <c r="AH5" s="33"/>
      <c r="AJ5" s="45" t="s">
        <v>48</v>
      </c>
      <c r="AK5" s="33"/>
      <c r="AL5" s="33"/>
      <c r="AM5" s="33"/>
      <c r="AN5" s="5"/>
      <c r="AO5" s="33"/>
      <c r="AP5" s="33"/>
      <c r="AQ5" s="33"/>
      <c r="AR5" s="33"/>
      <c r="AS5" s="33"/>
      <c r="AT5" s="33"/>
      <c r="AU5" s="33"/>
      <c r="AV5" s="33"/>
      <c r="AW5" s="44"/>
      <c r="AX5" s="45"/>
      <c r="AY5" s="45"/>
      <c r="AZ5" s="45"/>
      <c r="BA5" s="45"/>
      <c r="BB5" s="5"/>
      <c r="BC5" s="33"/>
      <c r="BD5" s="33"/>
      <c r="BE5" s="33"/>
      <c r="BF5" s="33"/>
      <c r="BG5" s="33"/>
      <c r="BH5" s="33"/>
      <c r="BI5" s="5"/>
      <c r="BJ5" s="5"/>
      <c r="BK5" s="5"/>
      <c r="BL5" s="5"/>
      <c r="BM5" s="5"/>
      <c r="BN5" s="5"/>
      <c r="BO5" s="46" t="s">
        <v>49</v>
      </c>
    </row>
    <row r="6" spans="1:69" s="5" customFormat="1" ht="27.9" customHeight="1" x14ac:dyDescent="0.25">
      <c r="A6" s="125" t="s">
        <v>144</v>
      </c>
      <c r="B6" s="125"/>
      <c r="C6" s="125"/>
      <c r="D6" s="125"/>
      <c r="E6" s="136" t="s">
        <v>50</v>
      </c>
      <c r="F6" s="187" t="s">
        <v>254</v>
      </c>
      <c r="G6" s="188"/>
      <c r="H6" s="188"/>
      <c r="I6" s="188"/>
      <c r="J6" s="189"/>
      <c r="K6" s="190" t="s">
        <v>52</v>
      </c>
      <c r="L6" s="191"/>
      <c r="M6" s="192"/>
      <c r="N6" s="193" t="s">
        <v>53</v>
      </c>
      <c r="O6" s="194"/>
      <c r="P6" s="195"/>
      <c r="Q6" s="193" t="s">
        <v>54</v>
      </c>
      <c r="R6" s="194"/>
      <c r="S6" s="195"/>
      <c r="T6" s="187" t="s">
        <v>55</v>
      </c>
      <c r="U6" s="188"/>
      <c r="V6" s="188"/>
      <c r="W6" s="188"/>
      <c r="X6" s="188"/>
      <c r="Y6" s="188"/>
      <c r="Z6" s="188"/>
      <c r="AA6" s="188"/>
      <c r="AB6" s="188"/>
      <c r="AC6" s="188"/>
      <c r="AD6" s="188"/>
      <c r="AE6" s="188"/>
      <c r="AF6" s="189"/>
      <c r="AG6" s="187" t="s">
        <v>121</v>
      </c>
      <c r="AH6" s="188"/>
      <c r="AI6" s="188"/>
      <c r="AJ6" s="189"/>
      <c r="AK6" s="187" t="s">
        <v>217</v>
      </c>
      <c r="AL6" s="188"/>
      <c r="AM6" s="188"/>
      <c r="AN6" s="188"/>
      <c r="AO6" s="187" t="s">
        <v>56</v>
      </c>
      <c r="AP6" s="188"/>
      <c r="AQ6" s="189"/>
      <c r="AR6" s="187" t="s">
        <v>57</v>
      </c>
      <c r="AS6" s="189"/>
      <c r="AT6" s="187" t="s">
        <v>58</v>
      </c>
      <c r="AU6" s="188"/>
      <c r="AV6" s="189"/>
      <c r="AW6" s="187" t="s">
        <v>59</v>
      </c>
      <c r="AX6" s="189"/>
      <c r="AY6" s="196" t="s">
        <v>60</v>
      </c>
      <c r="AZ6" s="197"/>
      <c r="BA6" s="196" t="s">
        <v>61</v>
      </c>
      <c r="BB6" s="197"/>
      <c r="BC6" s="180" t="s">
        <v>62</v>
      </c>
      <c r="BD6" s="196" t="s">
        <v>63</v>
      </c>
      <c r="BE6" s="201"/>
      <c r="BF6" s="197"/>
      <c r="BG6" s="176" t="s">
        <v>36</v>
      </c>
      <c r="BH6" s="180" t="s">
        <v>64</v>
      </c>
      <c r="BI6" s="187" t="s">
        <v>97</v>
      </c>
      <c r="BJ6" s="188"/>
      <c r="BK6" s="188"/>
      <c r="BL6" s="189"/>
      <c r="BM6" s="187" t="s">
        <v>65</v>
      </c>
      <c r="BN6" s="188"/>
      <c r="BO6" s="189"/>
    </row>
    <row r="7" spans="1:69" s="5" customFormat="1" ht="30" customHeight="1" x14ac:dyDescent="0.25">
      <c r="A7" s="125"/>
      <c r="B7" s="125"/>
      <c r="C7" s="125"/>
      <c r="D7" s="125"/>
      <c r="E7" s="136"/>
      <c r="F7" s="139" t="s">
        <v>221</v>
      </c>
      <c r="G7" s="139" t="s">
        <v>291</v>
      </c>
      <c r="H7" s="139" t="s">
        <v>66</v>
      </c>
      <c r="I7" s="130" t="s">
        <v>330</v>
      </c>
      <c r="J7" s="130" t="s">
        <v>331</v>
      </c>
      <c r="K7" s="139" t="s">
        <v>67</v>
      </c>
      <c r="L7" s="130" t="s">
        <v>333</v>
      </c>
      <c r="M7" s="139" t="s">
        <v>68</v>
      </c>
      <c r="N7" s="139" t="s">
        <v>293</v>
      </c>
      <c r="O7" s="139" t="s">
        <v>70</v>
      </c>
      <c r="P7" s="139" t="s">
        <v>71</v>
      </c>
      <c r="Q7" s="139" t="s">
        <v>294</v>
      </c>
      <c r="R7" s="130" t="s">
        <v>332</v>
      </c>
      <c r="S7" s="139" t="s">
        <v>72</v>
      </c>
      <c r="T7" s="139" t="s">
        <v>328</v>
      </c>
      <c r="U7" s="139" t="s">
        <v>296</v>
      </c>
      <c r="V7" s="139" t="s">
        <v>182</v>
      </c>
      <c r="W7" s="139" t="s">
        <v>118</v>
      </c>
      <c r="X7" s="139" t="s">
        <v>107</v>
      </c>
      <c r="Y7" s="139" t="s">
        <v>98</v>
      </c>
      <c r="Z7" s="139" t="s">
        <v>108</v>
      </c>
      <c r="AA7" s="130" t="s">
        <v>319</v>
      </c>
      <c r="AB7" s="139" t="s">
        <v>99</v>
      </c>
      <c r="AC7" s="139" t="s">
        <v>329</v>
      </c>
      <c r="AD7" s="139" t="s">
        <v>136</v>
      </c>
      <c r="AE7" s="139" t="s">
        <v>206</v>
      </c>
      <c r="AF7" s="139" t="s">
        <v>128</v>
      </c>
      <c r="AG7" s="139" t="s">
        <v>122</v>
      </c>
      <c r="AH7" s="139" t="s">
        <v>207</v>
      </c>
      <c r="AI7" s="139" t="s">
        <v>139</v>
      </c>
      <c r="AJ7" s="139" t="s">
        <v>211</v>
      </c>
      <c r="AK7" s="139" t="s">
        <v>129</v>
      </c>
      <c r="AL7" s="139" t="s">
        <v>102</v>
      </c>
      <c r="AM7" s="139" t="s">
        <v>130</v>
      </c>
      <c r="AN7" s="139" t="s">
        <v>208</v>
      </c>
      <c r="AO7" s="130" t="s">
        <v>274</v>
      </c>
      <c r="AP7" s="157" t="s">
        <v>233</v>
      </c>
      <c r="AQ7" s="139" t="s">
        <v>183</v>
      </c>
      <c r="AR7" s="139" t="s">
        <v>308</v>
      </c>
      <c r="AS7" s="139" t="s">
        <v>309</v>
      </c>
      <c r="AT7" s="130" t="s">
        <v>318</v>
      </c>
      <c r="AU7" s="139" t="s">
        <v>310</v>
      </c>
      <c r="AV7" s="139" t="s">
        <v>311</v>
      </c>
      <c r="AW7" s="139" t="s">
        <v>312</v>
      </c>
      <c r="AX7" s="139" t="s">
        <v>313</v>
      </c>
      <c r="AY7" s="139" t="s">
        <v>314</v>
      </c>
      <c r="AZ7" s="139" t="s">
        <v>315</v>
      </c>
      <c r="BA7" s="139" t="s">
        <v>316</v>
      </c>
      <c r="BB7" s="139" t="s">
        <v>317</v>
      </c>
      <c r="BC7" s="177"/>
      <c r="BD7" s="139" t="s">
        <v>116</v>
      </c>
      <c r="BE7" s="139" t="s">
        <v>73</v>
      </c>
      <c r="BF7" s="139" t="s">
        <v>138</v>
      </c>
      <c r="BG7" s="177"/>
      <c r="BH7" s="177"/>
      <c r="BI7" s="139" t="s">
        <v>119</v>
      </c>
      <c r="BJ7" s="139" t="s">
        <v>74</v>
      </c>
      <c r="BK7" s="132" t="s">
        <v>272</v>
      </c>
      <c r="BL7" s="139" t="s">
        <v>126</v>
      </c>
      <c r="BM7" s="139" t="s">
        <v>112</v>
      </c>
      <c r="BN7" s="139" t="s">
        <v>117</v>
      </c>
      <c r="BO7" s="139" t="s">
        <v>65</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58"/>
      <c r="AQ8" s="139"/>
      <c r="AR8" s="139"/>
      <c r="AS8" s="139"/>
      <c r="AT8" s="139"/>
      <c r="AU8" s="139"/>
      <c r="AV8" s="139"/>
      <c r="AW8" s="139"/>
      <c r="AX8" s="139"/>
      <c r="AY8" s="139"/>
      <c r="AZ8" s="139"/>
      <c r="BA8" s="139"/>
      <c r="BB8" s="139"/>
      <c r="BC8" s="177"/>
      <c r="BD8" s="139"/>
      <c r="BE8" s="139"/>
      <c r="BF8" s="139"/>
      <c r="BG8" s="177"/>
      <c r="BH8" s="177"/>
      <c r="BI8" s="139"/>
      <c r="BJ8" s="139"/>
      <c r="BK8" s="139"/>
      <c r="BL8" s="139"/>
      <c r="BM8" s="139"/>
      <c r="BN8" s="139"/>
      <c r="BO8" s="139"/>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58"/>
      <c r="AQ9" s="139"/>
      <c r="AR9" s="139"/>
      <c r="AS9" s="139"/>
      <c r="AT9" s="139"/>
      <c r="AU9" s="139"/>
      <c r="AV9" s="139"/>
      <c r="AW9" s="139"/>
      <c r="AX9" s="139"/>
      <c r="AY9" s="139"/>
      <c r="AZ9" s="139"/>
      <c r="BA9" s="139"/>
      <c r="BB9" s="139"/>
      <c r="BC9" s="177"/>
      <c r="BD9" s="139"/>
      <c r="BE9" s="139"/>
      <c r="BF9" s="139"/>
      <c r="BG9" s="177"/>
      <c r="BH9" s="177"/>
      <c r="BI9" s="139"/>
      <c r="BJ9" s="139"/>
      <c r="BK9" s="139"/>
      <c r="BL9" s="139"/>
      <c r="BM9" s="139"/>
      <c r="BN9" s="139"/>
      <c r="BO9" s="139"/>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58"/>
      <c r="AQ10" s="139"/>
      <c r="AR10" s="139"/>
      <c r="AS10" s="139"/>
      <c r="AT10" s="139"/>
      <c r="AU10" s="139"/>
      <c r="AV10" s="139"/>
      <c r="AW10" s="139"/>
      <c r="AX10" s="139"/>
      <c r="AY10" s="139"/>
      <c r="AZ10" s="139"/>
      <c r="BA10" s="139"/>
      <c r="BB10" s="139"/>
      <c r="BC10" s="177"/>
      <c r="BD10" s="139"/>
      <c r="BE10" s="139"/>
      <c r="BF10" s="139"/>
      <c r="BG10" s="177"/>
      <c r="BH10" s="177"/>
      <c r="BI10" s="139"/>
      <c r="BJ10" s="139"/>
      <c r="BK10" s="139"/>
      <c r="BL10" s="139"/>
      <c r="BM10" s="139"/>
      <c r="BN10" s="139"/>
      <c r="BO10" s="139"/>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58"/>
      <c r="AQ11" s="139"/>
      <c r="AR11" s="139"/>
      <c r="AS11" s="139"/>
      <c r="AT11" s="139"/>
      <c r="AU11" s="139"/>
      <c r="AV11" s="139"/>
      <c r="AW11" s="139"/>
      <c r="AX11" s="139"/>
      <c r="AY11" s="139"/>
      <c r="AZ11" s="139"/>
      <c r="BA11" s="139"/>
      <c r="BB11" s="139"/>
      <c r="BC11" s="178"/>
      <c r="BD11" s="139"/>
      <c r="BE11" s="139"/>
      <c r="BF11" s="139"/>
      <c r="BG11" s="178"/>
      <c r="BH11" s="178"/>
      <c r="BI11" s="139"/>
      <c r="BJ11" s="139"/>
      <c r="BK11" s="139"/>
      <c r="BL11" s="139"/>
      <c r="BM11" s="139"/>
      <c r="BN11" s="139"/>
      <c r="BO11" s="139"/>
    </row>
    <row r="12" spans="1:69" s="3" customFormat="1" ht="21.9" customHeight="1" x14ac:dyDescent="0.25">
      <c r="A12" s="125" t="s">
        <v>343</v>
      </c>
      <c r="B12" s="32"/>
      <c r="C12" s="51" t="s">
        <v>75</v>
      </c>
      <c r="D12" s="52"/>
      <c r="E12" s="16">
        <v>848696</v>
      </c>
      <c r="F12" s="16">
        <v>15960</v>
      </c>
      <c r="G12" s="16">
        <v>13767</v>
      </c>
      <c r="H12" s="16">
        <v>4540</v>
      </c>
      <c r="I12" s="16">
        <v>5502</v>
      </c>
      <c r="J12" s="16">
        <v>1569</v>
      </c>
      <c r="K12" s="16">
        <v>23991</v>
      </c>
      <c r="L12" s="16">
        <v>12351</v>
      </c>
      <c r="M12" s="16">
        <v>6095</v>
      </c>
      <c r="N12" s="16">
        <v>3659</v>
      </c>
      <c r="O12" s="16">
        <v>2746</v>
      </c>
      <c r="P12" s="16">
        <v>297</v>
      </c>
      <c r="Q12" s="16">
        <v>5996</v>
      </c>
      <c r="R12" s="16">
        <v>9003</v>
      </c>
      <c r="S12" s="16">
        <v>7334</v>
      </c>
      <c r="T12" s="16">
        <v>9194</v>
      </c>
      <c r="U12" s="16">
        <v>16460</v>
      </c>
      <c r="V12" s="16">
        <v>5152</v>
      </c>
      <c r="W12" s="16">
        <v>9533</v>
      </c>
      <c r="X12" s="16">
        <v>3922</v>
      </c>
      <c r="Y12" s="16">
        <v>30454</v>
      </c>
      <c r="Z12" s="16">
        <v>13445</v>
      </c>
      <c r="AA12" s="16">
        <v>4363</v>
      </c>
      <c r="AB12" s="16">
        <v>5972</v>
      </c>
      <c r="AC12" s="16">
        <v>4021</v>
      </c>
      <c r="AD12" s="16">
        <v>83332</v>
      </c>
      <c r="AE12" s="16">
        <v>44004</v>
      </c>
      <c r="AF12" s="16">
        <v>8791</v>
      </c>
      <c r="AG12" s="16">
        <v>25984</v>
      </c>
      <c r="AH12" s="16">
        <v>5403</v>
      </c>
      <c r="AI12" s="16">
        <v>10040</v>
      </c>
      <c r="AJ12" s="16">
        <v>1731</v>
      </c>
      <c r="AK12" s="103">
        <v>5170</v>
      </c>
      <c r="AL12" s="16">
        <v>9913</v>
      </c>
      <c r="AM12" s="16">
        <v>2818</v>
      </c>
      <c r="AN12" s="16">
        <v>13371</v>
      </c>
      <c r="AO12" s="16">
        <v>1345</v>
      </c>
      <c r="AP12" s="16">
        <v>1945</v>
      </c>
      <c r="AQ12" s="16">
        <v>2919</v>
      </c>
      <c r="AR12" s="16">
        <v>5097</v>
      </c>
      <c r="AS12" s="16">
        <v>9243</v>
      </c>
      <c r="AT12" s="16">
        <v>20159</v>
      </c>
      <c r="AU12" s="16">
        <v>188907</v>
      </c>
      <c r="AV12" s="16">
        <v>14932</v>
      </c>
      <c r="AW12" s="16">
        <v>2347</v>
      </c>
      <c r="AX12" s="16">
        <v>18853</v>
      </c>
      <c r="AY12" s="16">
        <v>4383</v>
      </c>
      <c r="AZ12" s="16">
        <v>339</v>
      </c>
      <c r="BA12" s="16">
        <v>1580</v>
      </c>
      <c r="BB12" s="16">
        <v>1341</v>
      </c>
      <c r="BC12" s="16">
        <v>1730</v>
      </c>
      <c r="BD12" s="16">
        <v>10117</v>
      </c>
      <c r="BE12" s="16">
        <v>13250</v>
      </c>
      <c r="BF12" s="16">
        <v>11059</v>
      </c>
      <c r="BG12" s="16">
        <v>18585</v>
      </c>
      <c r="BH12" s="16">
        <v>15601</v>
      </c>
      <c r="BI12" s="16">
        <v>3209</v>
      </c>
      <c r="BJ12" s="16">
        <v>13892</v>
      </c>
      <c r="BK12" s="16">
        <v>7495</v>
      </c>
      <c r="BL12" s="16">
        <v>17344</v>
      </c>
      <c r="BM12" s="16">
        <v>8317</v>
      </c>
      <c r="BN12" s="16">
        <v>1101</v>
      </c>
      <c r="BO12" s="16">
        <v>27723</v>
      </c>
    </row>
    <row r="13" spans="1:69" s="3" customFormat="1" ht="21.9" customHeight="1" x14ac:dyDescent="0.25">
      <c r="A13" s="125"/>
      <c r="B13" s="5"/>
      <c r="C13" s="47" t="s">
        <v>76</v>
      </c>
      <c r="D13" s="48"/>
      <c r="E13" s="16">
        <v>11769</v>
      </c>
      <c r="F13" s="26">
        <v>4</v>
      </c>
      <c r="G13" s="26">
        <v>11</v>
      </c>
      <c r="H13" s="26">
        <v>5</v>
      </c>
      <c r="I13" s="26">
        <v>19</v>
      </c>
      <c r="J13" s="26">
        <v>0</v>
      </c>
      <c r="K13" s="26">
        <v>48</v>
      </c>
      <c r="L13" s="26">
        <v>56</v>
      </c>
      <c r="M13" s="26">
        <v>1</v>
      </c>
      <c r="N13" s="26">
        <v>9</v>
      </c>
      <c r="O13" s="26">
        <v>6</v>
      </c>
      <c r="P13" s="26">
        <v>0</v>
      </c>
      <c r="Q13" s="26">
        <v>47</v>
      </c>
      <c r="R13" s="26">
        <v>175</v>
      </c>
      <c r="S13" s="26">
        <v>6</v>
      </c>
      <c r="T13" s="26">
        <v>66</v>
      </c>
      <c r="U13" s="26">
        <v>336</v>
      </c>
      <c r="V13" s="26">
        <v>23</v>
      </c>
      <c r="W13" s="26">
        <v>123</v>
      </c>
      <c r="X13" s="26">
        <v>32</v>
      </c>
      <c r="Y13" s="26">
        <v>63</v>
      </c>
      <c r="Z13" s="26">
        <v>183</v>
      </c>
      <c r="AA13" s="26">
        <v>8</v>
      </c>
      <c r="AB13" s="26">
        <v>41</v>
      </c>
      <c r="AC13" s="26">
        <v>41</v>
      </c>
      <c r="AD13" s="26">
        <v>255</v>
      </c>
      <c r="AE13" s="26">
        <v>183</v>
      </c>
      <c r="AF13" s="26">
        <v>29</v>
      </c>
      <c r="AG13" s="26">
        <v>425</v>
      </c>
      <c r="AH13" s="26">
        <v>125</v>
      </c>
      <c r="AI13" s="26">
        <v>34</v>
      </c>
      <c r="AJ13" s="26">
        <v>8</v>
      </c>
      <c r="AK13" s="99">
        <v>195</v>
      </c>
      <c r="AL13" s="26">
        <v>95</v>
      </c>
      <c r="AM13" s="26">
        <v>4</v>
      </c>
      <c r="AN13" s="26">
        <v>295</v>
      </c>
      <c r="AO13" s="26">
        <v>0</v>
      </c>
      <c r="AP13" s="26">
        <v>0</v>
      </c>
      <c r="AQ13" s="26">
        <v>15</v>
      </c>
      <c r="AR13" s="26">
        <v>119</v>
      </c>
      <c r="AS13" s="26">
        <v>63</v>
      </c>
      <c r="AT13" s="26">
        <v>6</v>
      </c>
      <c r="AU13" s="26">
        <v>652</v>
      </c>
      <c r="AV13" s="26">
        <v>63</v>
      </c>
      <c r="AW13" s="26">
        <v>2</v>
      </c>
      <c r="AX13" s="26">
        <v>24</v>
      </c>
      <c r="AY13" s="26">
        <v>11</v>
      </c>
      <c r="AZ13" s="26">
        <v>1</v>
      </c>
      <c r="BA13" s="26">
        <v>0</v>
      </c>
      <c r="BB13" s="26">
        <v>6</v>
      </c>
      <c r="BC13" s="26">
        <v>7</v>
      </c>
      <c r="BD13" s="26">
        <v>23</v>
      </c>
      <c r="BE13" s="26">
        <v>74</v>
      </c>
      <c r="BF13" s="26">
        <v>118</v>
      </c>
      <c r="BG13" s="26">
        <v>6230</v>
      </c>
      <c r="BH13" s="26">
        <v>547</v>
      </c>
      <c r="BI13" s="26">
        <v>54</v>
      </c>
      <c r="BJ13" s="26">
        <v>133</v>
      </c>
      <c r="BK13" s="26">
        <v>53</v>
      </c>
      <c r="BL13" s="26">
        <v>29</v>
      </c>
      <c r="BM13" s="26">
        <v>7</v>
      </c>
      <c r="BN13" s="26">
        <v>0</v>
      </c>
      <c r="BO13" s="26">
        <v>581</v>
      </c>
    </row>
    <row r="14" spans="1:69" s="5" customFormat="1" ht="21.9" customHeight="1" x14ac:dyDescent="0.25">
      <c r="A14" s="125" t="s">
        <v>281</v>
      </c>
      <c r="B14" s="4"/>
      <c r="C14" s="47" t="s">
        <v>75</v>
      </c>
      <c r="D14" s="48"/>
      <c r="E14" s="16">
        <v>47864</v>
      </c>
      <c r="F14" s="16">
        <v>545</v>
      </c>
      <c r="G14" s="16">
        <v>1307</v>
      </c>
      <c r="H14" s="16">
        <v>271</v>
      </c>
      <c r="I14" s="16">
        <v>920</v>
      </c>
      <c r="J14" s="16">
        <v>1</v>
      </c>
      <c r="K14" s="16">
        <v>1820</v>
      </c>
      <c r="L14" s="16">
        <v>746</v>
      </c>
      <c r="M14" s="16">
        <v>270</v>
      </c>
      <c r="N14" s="16">
        <v>132</v>
      </c>
      <c r="O14" s="16">
        <v>40</v>
      </c>
      <c r="P14" s="16">
        <v>20</v>
      </c>
      <c r="Q14" s="16">
        <v>596</v>
      </c>
      <c r="R14" s="16">
        <v>564</v>
      </c>
      <c r="S14" s="16">
        <v>459</v>
      </c>
      <c r="T14" s="16">
        <v>2304</v>
      </c>
      <c r="U14" s="16">
        <v>740</v>
      </c>
      <c r="V14" s="16">
        <v>350</v>
      </c>
      <c r="W14" s="16">
        <v>471</v>
      </c>
      <c r="X14" s="16">
        <v>453</v>
      </c>
      <c r="Y14" s="16">
        <v>3846</v>
      </c>
      <c r="Z14" s="16">
        <v>1071</v>
      </c>
      <c r="AA14" s="16">
        <v>348</v>
      </c>
      <c r="AB14" s="16">
        <v>75</v>
      </c>
      <c r="AC14" s="16">
        <v>187</v>
      </c>
      <c r="AD14" s="16">
        <v>7652</v>
      </c>
      <c r="AE14" s="16">
        <v>2650</v>
      </c>
      <c r="AF14" s="16">
        <v>1149</v>
      </c>
      <c r="AG14" s="16">
        <v>3111</v>
      </c>
      <c r="AH14" s="16">
        <v>244</v>
      </c>
      <c r="AI14" s="16">
        <v>551</v>
      </c>
      <c r="AJ14" s="16">
        <v>7</v>
      </c>
      <c r="AK14" s="98">
        <v>157</v>
      </c>
      <c r="AL14" s="16">
        <v>116</v>
      </c>
      <c r="AM14" s="16">
        <v>0</v>
      </c>
      <c r="AN14" s="16">
        <v>393</v>
      </c>
      <c r="AO14" s="16">
        <v>0</v>
      </c>
      <c r="AP14" s="16">
        <v>0</v>
      </c>
      <c r="AQ14" s="16">
        <v>69</v>
      </c>
      <c r="AR14" s="16">
        <v>71</v>
      </c>
      <c r="AS14" s="16">
        <v>114</v>
      </c>
      <c r="AT14" s="16">
        <v>314</v>
      </c>
      <c r="AU14" s="16">
        <v>5507</v>
      </c>
      <c r="AV14" s="16">
        <v>93</v>
      </c>
      <c r="AW14" s="16">
        <v>2</v>
      </c>
      <c r="AX14" s="16">
        <v>1804</v>
      </c>
      <c r="AY14" s="16">
        <v>0</v>
      </c>
      <c r="AZ14" s="16">
        <v>18</v>
      </c>
      <c r="BA14" s="16">
        <v>2</v>
      </c>
      <c r="BB14" s="16">
        <v>20</v>
      </c>
      <c r="BC14" s="16">
        <v>3</v>
      </c>
      <c r="BD14" s="16">
        <v>263</v>
      </c>
      <c r="BE14" s="16">
        <v>704</v>
      </c>
      <c r="BF14" s="16">
        <v>254</v>
      </c>
      <c r="BG14" s="16">
        <v>74</v>
      </c>
      <c r="BH14" s="16">
        <v>3043</v>
      </c>
      <c r="BI14" s="16">
        <v>254</v>
      </c>
      <c r="BJ14" s="16">
        <v>364</v>
      </c>
      <c r="BK14" s="16">
        <v>162</v>
      </c>
      <c r="BL14" s="16">
        <v>73</v>
      </c>
      <c r="BM14" s="16">
        <v>14</v>
      </c>
      <c r="BN14" s="16">
        <v>16</v>
      </c>
      <c r="BO14" s="16">
        <v>1060</v>
      </c>
    </row>
    <row r="15" spans="1:69" s="5" customFormat="1" ht="21.9" customHeight="1" x14ac:dyDescent="0.25">
      <c r="A15" s="125"/>
      <c r="B15" s="4"/>
      <c r="C15" s="47" t="s">
        <v>76</v>
      </c>
      <c r="D15" s="48"/>
      <c r="E15" s="16">
        <v>214</v>
      </c>
      <c r="F15" s="26">
        <v>0</v>
      </c>
      <c r="G15" s="26">
        <v>0</v>
      </c>
      <c r="H15" s="26">
        <v>3</v>
      </c>
      <c r="I15" s="26">
        <v>1</v>
      </c>
      <c r="J15" s="26">
        <v>0</v>
      </c>
      <c r="K15" s="26">
        <v>1</v>
      </c>
      <c r="L15" s="26">
        <v>1</v>
      </c>
      <c r="M15" s="26">
        <v>0</v>
      </c>
      <c r="N15" s="26">
        <v>0</v>
      </c>
      <c r="O15" s="26">
        <v>0</v>
      </c>
      <c r="P15" s="26">
        <v>0</v>
      </c>
      <c r="Q15" s="26">
        <v>2</v>
      </c>
      <c r="R15" s="26">
        <v>1</v>
      </c>
      <c r="S15" s="26">
        <v>0</v>
      </c>
      <c r="T15" s="16">
        <v>1</v>
      </c>
      <c r="U15" s="16">
        <v>6</v>
      </c>
      <c r="V15" s="16">
        <v>0</v>
      </c>
      <c r="W15" s="16">
        <v>3</v>
      </c>
      <c r="X15" s="16">
        <v>0</v>
      </c>
      <c r="Y15" s="16">
        <v>0</v>
      </c>
      <c r="Z15" s="16">
        <v>4</v>
      </c>
      <c r="AA15" s="16">
        <v>2</v>
      </c>
      <c r="AB15" s="16">
        <v>1</v>
      </c>
      <c r="AC15" s="16">
        <v>0</v>
      </c>
      <c r="AD15" s="16">
        <v>12</v>
      </c>
      <c r="AE15" s="16">
        <v>9</v>
      </c>
      <c r="AF15" s="16">
        <v>0</v>
      </c>
      <c r="AG15" s="16">
        <v>5</v>
      </c>
      <c r="AH15" s="16">
        <v>0</v>
      </c>
      <c r="AI15" s="16">
        <v>2</v>
      </c>
      <c r="AJ15" s="16">
        <v>0</v>
      </c>
      <c r="AK15" s="98">
        <v>0</v>
      </c>
      <c r="AL15" s="16">
        <v>0</v>
      </c>
      <c r="AM15" s="16">
        <v>0</v>
      </c>
      <c r="AN15" s="16">
        <v>2</v>
      </c>
      <c r="AO15" s="26">
        <v>0</v>
      </c>
      <c r="AP15" s="26">
        <v>0</v>
      </c>
      <c r="AQ15" s="26">
        <v>0</v>
      </c>
      <c r="AR15" s="26">
        <v>15</v>
      </c>
      <c r="AS15" s="26">
        <v>3</v>
      </c>
      <c r="AT15" s="26">
        <v>0</v>
      </c>
      <c r="AU15" s="26">
        <v>2</v>
      </c>
      <c r="AV15" s="26">
        <v>0</v>
      </c>
      <c r="AW15" s="26">
        <v>0</v>
      </c>
      <c r="AX15" s="26">
        <v>2</v>
      </c>
      <c r="AY15" s="16">
        <v>0</v>
      </c>
      <c r="AZ15" s="16">
        <v>0</v>
      </c>
      <c r="BA15" s="16">
        <v>0</v>
      </c>
      <c r="BB15" s="16">
        <v>0</v>
      </c>
      <c r="BC15" s="16">
        <v>0</v>
      </c>
      <c r="BD15" s="16">
        <v>3</v>
      </c>
      <c r="BE15" s="16">
        <v>4</v>
      </c>
      <c r="BF15" s="16">
        <v>8</v>
      </c>
      <c r="BG15" s="16">
        <v>17</v>
      </c>
      <c r="BH15" s="16">
        <v>53</v>
      </c>
      <c r="BI15" s="16">
        <v>0</v>
      </c>
      <c r="BJ15" s="16">
        <v>0</v>
      </c>
      <c r="BK15" s="16">
        <v>1</v>
      </c>
      <c r="BL15" s="16">
        <v>0</v>
      </c>
      <c r="BM15" s="16">
        <v>0</v>
      </c>
      <c r="BN15" s="16">
        <v>0</v>
      </c>
      <c r="BO15" s="16">
        <v>50</v>
      </c>
    </row>
    <row r="16" spans="1:69" s="5" customFormat="1" ht="21.9" customHeight="1" x14ac:dyDescent="0.25">
      <c r="A16" s="125" t="s">
        <v>282</v>
      </c>
      <c r="B16" s="4"/>
      <c r="C16" s="47" t="s">
        <v>120</v>
      </c>
      <c r="D16" s="48"/>
      <c r="E16" s="16">
        <v>108757</v>
      </c>
      <c r="F16" s="16">
        <v>4120</v>
      </c>
      <c r="G16" s="16">
        <v>3664</v>
      </c>
      <c r="H16" s="16">
        <v>1643</v>
      </c>
      <c r="I16" s="16">
        <v>1276</v>
      </c>
      <c r="J16" s="16">
        <v>709</v>
      </c>
      <c r="K16" s="16">
        <v>2059</v>
      </c>
      <c r="L16" s="16">
        <v>2160</v>
      </c>
      <c r="M16" s="16">
        <v>1433</v>
      </c>
      <c r="N16" s="16">
        <v>1200</v>
      </c>
      <c r="O16" s="16">
        <v>613</v>
      </c>
      <c r="P16" s="16">
        <v>184</v>
      </c>
      <c r="Q16" s="16">
        <v>1328</v>
      </c>
      <c r="R16" s="16">
        <v>1401</v>
      </c>
      <c r="S16" s="16">
        <v>1074</v>
      </c>
      <c r="T16" s="16">
        <v>1579</v>
      </c>
      <c r="U16" s="16">
        <v>2724</v>
      </c>
      <c r="V16" s="16">
        <v>1987</v>
      </c>
      <c r="W16" s="16">
        <v>2633</v>
      </c>
      <c r="X16" s="16">
        <v>1497</v>
      </c>
      <c r="Y16" s="16">
        <v>2222</v>
      </c>
      <c r="Z16" s="16">
        <v>2630</v>
      </c>
      <c r="AA16" s="16">
        <v>1029</v>
      </c>
      <c r="AB16" s="16">
        <v>1578</v>
      </c>
      <c r="AC16" s="16">
        <v>346</v>
      </c>
      <c r="AD16" s="16">
        <v>5985</v>
      </c>
      <c r="AE16" s="16">
        <v>5116</v>
      </c>
      <c r="AF16" s="16">
        <v>2268</v>
      </c>
      <c r="AG16" s="16">
        <v>2459</v>
      </c>
      <c r="AH16" s="16">
        <v>957</v>
      </c>
      <c r="AI16" s="16">
        <v>1791</v>
      </c>
      <c r="AJ16" s="16">
        <v>766</v>
      </c>
      <c r="AK16" s="98">
        <v>1560</v>
      </c>
      <c r="AL16" s="16">
        <v>2527</v>
      </c>
      <c r="AM16" s="16">
        <v>1793</v>
      </c>
      <c r="AN16" s="16">
        <v>2057</v>
      </c>
      <c r="AO16" s="16">
        <v>476</v>
      </c>
      <c r="AP16" s="16">
        <v>493</v>
      </c>
      <c r="AQ16" s="16">
        <v>659</v>
      </c>
      <c r="AR16" s="16">
        <v>1374</v>
      </c>
      <c r="AS16" s="16">
        <v>981</v>
      </c>
      <c r="AT16" s="16">
        <v>3476</v>
      </c>
      <c r="AU16" s="16">
        <v>5696</v>
      </c>
      <c r="AV16" s="16">
        <v>2657</v>
      </c>
      <c r="AW16" s="16">
        <v>659</v>
      </c>
      <c r="AX16" s="16">
        <v>2093</v>
      </c>
      <c r="AY16" s="16">
        <v>331</v>
      </c>
      <c r="AZ16" s="16">
        <v>3</v>
      </c>
      <c r="BA16" s="16">
        <v>1142</v>
      </c>
      <c r="BB16" s="16">
        <v>237</v>
      </c>
      <c r="BC16" s="16">
        <v>534</v>
      </c>
      <c r="BD16" s="16">
        <v>2387</v>
      </c>
      <c r="BE16" s="16">
        <v>2640</v>
      </c>
      <c r="BF16" s="16">
        <v>2055</v>
      </c>
      <c r="BG16" s="16">
        <v>2491</v>
      </c>
      <c r="BH16" s="16">
        <v>1593</v>
      </c>
      <c r="BI16" s="16">
        <v>163</v>
      </c>
      <c r="BJ16" s="16">
        <v>1328</v>
      </c>
      <c r="BK16" s="16">
        <v>1430</v>
      </c>
      <c r="BL16" s="16">
        <v>2829</v>
      </c>
      <c r="BM16" s="16">
        <v>1519</v>
      </c>
      <c r="BN16" s="16">
        <v>223</v>
      </c>
      <c r="BO16" s="16">
        <v>920</v>
      </c>
    </row>
    <row r="17" spans="1:67" s="5" customFormat="1" ht="21.9" customHeight="1" x14ac:dyDescent="0.25">
      <c r="A17" s="125"/>
      <c r="B17" s="4"/>
      <c r="C17" s="47" t="s">
        <v>76</v>
      </c>
      <c r="D17" s="48"/>
      <c r="E17" s="16">
        <v>1180</v>
      </c>
      <c r="F17" s="26">
        <v>1</v>
      </c>
      <c r="G17" s="26">
        <v>0</v>
      </c>
      <c r="H17" s="26">
        <v>0</v>
      </c>
      <c r="I17" s="26">
        <v>1</v>
      </c>
      <c r="J17" s="26">
        <v>0</v>
      </c>
      <c r="K17" s="26">
        <v>4</v>
      </c>
      <c r="L17" s="26">
        <v>5</v>
      </c>
      <c r="M17" s="26">
        <v>0</v>
      </c>
      <c r="N17" s="26">
        <v>0</v>
      </c>
      <c r="O17" s="26">
        <v>1</v>
      </c>
      <c r="P17" s="26">
        <v>0</v>
      </c>
      <c r="Q17" s="26">
        <v>3</v>
      </c>
      <c r="R17" s="26">
        <v>4</v>
      </c>
      <c r="S17" s="26">
        <v>0</v>
      </c>
      <c r="T17" s="16">
        <v>0</v>
      </c>
      <c r="U17" s="16">
        <v>57</v>
      </c>
      <c r="V17" s="16">
        <v>0</v>
      </c>
      <c r="W17" s="16">
        <v>13</v>
      </c>
      <c r="X17" s="16">
        <v>1</v>
      </c>
      <c r="Y17" s="16">
        <v>0</v>
      </c>
      <c r="Z17" s="16">
        <v>112</v>
      </c>
      <c r="AA17" s="16">
        <v>0</v>
      </c>
      <c r="AB17" s="16">
        <v>3</v>
      </c>
      <c r="AC17" s="16">
        <v>0</v>
      </c>
      <c r="AD17" s="16">
        <v>13</v>
      </c>
      <c r="AE17" s="16">
        <v>4</v>
      </c>
      <c r="AF17" s="16">
        <v>0</v>
      </c>
      <c r="AG17" s="16">
        <v>76</v>
      </c>
      <c r="AH17" s="16">
        <v>32</v>
      </c>
      <c r="AI17" s="16">
        <v>0</v>
      </c>
      <c r="AJ17" s="16">
        <v>0</v>
      </c>
      <c r="AK17" s="98">
        <v>60</v>
      </c>
      <c r="AL17" s="16">
        <v>0</v>
      </c>
      <c r="AM17" s="16">
        <v>0</v>
      </c>
      <c r="AN17" s="16">
        <v>8</v>
      </c>
      <c r="AO17" s="26">
        <v>0</v>
      </c>
      <c r="AP17" s="26">
        <v>0</v>
      </c>
      <c r="AQ17" s="26">
        <v>0</v>
      </c>
      <c r="AR17" s="26">
        <v>56</v>
      </c>
      <c r="AS17" s="26">
        <v>36</v>
      </c>
      <c r="AT17" s="26">
        <v>1</v>
      </c>
      <c r="AU17" s="26">
        <v>62</v>
      </c>
      <c r="AV17" s="26">
        <v>2</v>
      </c>
      <c r="AW17" s="26">
        <v>0</v>
      </c>
      <c r="AX17" s="26">
        <v>1</v>
      </c>
      <c r="AY17" s="16">
        <v>0</v>
      </c>
      <c r="AZ17" s="16">
        <v>0</v>
      </c>
      <c r="BA17" s="16">
        <v>0</v>
      </c>
      <c r="BB17" s="16">
        <v>1</v>
      </c>
      <c r="BC17" s="16">
        <v>0</v>
      </c>
      <c r="BD17" s="16">
        <v>0</v>
      </c>
      <c r="BE17" s="16">
        <v>3</v>
      </c>
      <c r="BF17" s="16">
        <v>10</v>
      </c>
      <c r="BG17" s="16">
        <v>497</v>
      </c>
      <c r="BH17" s="16">
        <v>0</v>
      </c>
      <c r="BI17" s="16">
        <v>0</v>
      </c>
      <c r="BJ17" s="16">
        <v>9</v>
      </c>
      <c r="BK17" s="16">
        <v>14</v>
      </c>
      <c r="BL17" s="16">
        <v>2</v>
      </c>
      <c r="BM17" s="16">
        <v>0</v>
      </c>
      <c r="BN17" s="16">
        <v>0</v>
      </c>
      <c r="BO17" s="16">
        <v>88</v>
      </c>
    </row>
    <row r="18" spans="1:67" s="5" customFormat="1" ht="21.9" customHeight="1" x14ac:dyDescent="0.25">
      <c r="A18" s="125" t="s">
        <v>250</v>
      </c>
      <c r="B18" s="4"/>
      <c r="C18" s="47" t="s">
        <v>75</v>
      </c>
      <c r="D18" s="48"/>
      <c r="E18" s="16">
        <v>46027</v>
      </c>
      <c r="F18" s="16">
        <v>1003</v>
      </c>
      <c r="G18" s="16">
        <v>1077</v>
      </c>
      <c r="H18" s="16">
        <v>220</v>
      </c>
      <c r="I18" s="16">
        <v>262</v>
      </c>
      <c r="J18" s="16">
        <v>32</v>
      </c>
      <c r="K18" s="16">
        <v>2070</v>
      </c>
      <c r="L18" s="16">
        <v>532</v>
      </c>
      <c r="M18" s="16">
        <v>178</v>
      </c>
      <c r="N18" s="16">
        <v>72</v>
      </c>
      <c r="O18" s="16">
        <v>77</v>
      </c>
      <c r="P18" s="16">
        <v>0</v>
      </c>
      <c r="Q18" s="16">
        <v>75</v>
      </c>
      <c r="R18" s="16">
        <v>390</v>
      </c>
      <c r="S18" s="16">
        <v>626</v>
      </c>
      <c r="T18" s="16">
        <v>76</v>
      </c>
      <c r="U18" s="16">
        <v>1019</v>
      </c>
      <c r="V18" s="16">
        <v>167</v>
      </c>
      <c r="W18" s="16">
        <v>331</v>
      </c>
      <c r="X18" s="16">
        <v>124</v>
      </c>
      <c r="Y18" s="16">
        <v>3454</v>
      </c>
      <c r="Z18" s="16">
        <v>675</v>
      </c>
      <c r="AA18" s="16">
        <v>92</v>
      </c>
      <c r="AB18" s="16">
        <v>264</v>
      </c>
      <c r="AC18" s="16">
        <v>38</v>
      </c>
      <c r="AD18" s="16">
        <v>7846</v>
      </c>
      <c r="AE18" s="16">
        <v>3578</v>
      </c>
      <c r="AF18" s="16">
        <v>135</v>
      </c>
      <c r="AG18" s="16">
        <v>826</v>
      </c>
      <c r="AH18" s="16">
        <v>47</v>
      </c>
      <c r="AI18" s="16">
        <v>781</v>
      </c>
      <c r="AJ18" s="16">
        <v>0</v>
      </c>
      <c r="AK18" s="98">
        <v>337</v>
      </c>
      <c r="AL18" s="16">
        <v>279</v>
      </c>
      <c r="AM18" s="16">
        <v>100</v>
      </c>
      <c r="AN18" s="16">
        <v>815</v>
      </c>
      <c r="AO18" s="16">
        <v>28</v>
      </c>
      <c r="AP18" s="16">
        <v>30</v>
      </c>
      <c r="AQ18" s="16">
        <v>20</v>
      </c>
      <c r="AR18" s="16">
        <v>32</v>
      </c>
      <c r="AS18" s="16">
        <v>12</v>
      </c>
      <c r="AT18" s="16">
        <v>906</v>
      </c>
      <c r="AU18" s="16">
        <v>8211</v>
      </c>
      <c r="AV18" s="16">
        <v>301</v>
      </c>
      <c r="AW18" s="16">
        <v>57</v>
      </c>
      <c r="AX18" s="16">
        <v>1569</v>
      </c>
      <c r="AY18" s="16">
        <v>61</v>
      </c>
      <c r="AZ18" s="16">
        <v>0</v>
      </c>
      <c r="BA18" s="16">
        <v>32</v>
      </c>
      <c r="BB18" s="16">
        <v>40</v>
      </c>
      <c r="BC18" s="16">
        <v>8</v>
      </c>
      <c r="BD18" s="16">
        <v>405</v>
      </c>
      <c r="BE18" s="16">
        <v>273</v>
      </c>
      <c r="BF18" s="16">
        <v>446</v>
      </c>
      <c r="BG18" s="16">
        <v>2515</v>
      </c>
      <c r="BH18" s="16">
        <v>541</v>
      </c>
      <c r="BI18" s="16">
        <v>29</v>
      </c>
      <c r="BJ18" s="16">
        <v>824</v>
      </c>
      <c r="BK18" s="16">
        <v>551</v>
      </c>
      <c r="BL18" s="16">
        <v>348</v>
      </c>
      <c r="BM18" s="16">
        <v>140</v>
      </c>
      <c r="BN18" s="16">
        <v>0</v>
      </c>
      <c r="BO18" s="16">
        <v>1050</v>
      </c>
    </row>
    <row r="19" spans="1:67" s="5" customFormat="1" ht="21.9" customHeight="1" x14ac:dyDescent="0.25">
      <c r="A19" s="125"/>
      <c r="B19" s="4"/>
      <c r="C19" s="47" t="s">
        <v>76</v>
      </c>
      <c r="D19" s="48"/>
      <c r="E19" s="16">
        <v>2098</v>
      </c>
      <c r="F19" s="16">
        <v>0</v>
      </c>
      <c r="G19" s="16">
        <v>4</v>
      </c>
      <c r="H19" s="16">
        <v>0</v>
      </c>
      <c r="I19" s="16">
        <v>1</v>
      </c>
      <c r="J19" s="16">
        <v>0</v>
      </c>
      <c r="K19" s="16">
        <v>0</v>
      </c>
      <c r="L19" s="16">
        <v>7</v>
      </c>
      <c r="M19" s="16">
        <v>0</v>
      </c>
      <c r="N19" s="16">
        <v>0</v>
      </c>
      <c r="O19" s="16">
        <v>2</v>
      </c>
      <c r="P19" s="16">
        <v>0</v>
      </c>
      <c r="Q19" s="16">
        <v>4</v>
      </c>
      <c r="R19" s="16">
        <v>23</v>
      </c>
      <c r="S19" s="16">
        <v>0</v>
      </c>
      <c r="T19" s="16">
        <v>2</v>
      </c>
      <c r="U19" s="16">
        <v>67</v>
      </c>
      <c r="V19" s="16">
        <v>3</v>
      </c>
      <c r="W19" s="16">
        <v>12</v>
      </c>
      <c r="X19" s="16">
        <v>4</v>
      </c>
      <c r="Y19" s="16">
        <v>7</v>
      </c>
      <c r="Z19" s="16">
        <v>15</v>
      </c>
      <c r="AA19" s="16">
        <v>2</v>
      </c>
      <c r="AB19" s="16">
        <v>7</v>
      </c>
      <c r="AC19" s="16">
        <v>3</v>
      </c>
      <c r="AD19" s="16">
        <v>37</v>
      </c>
      <c r="AE19" s="16">
        <v>28</v>
      </c>
      <c r="AF19" s="16">
        <v>4</v>
      </c>
      <c r="AG19" s="16">
        <v>39</v>
      </c>
      <c r="AH19" s="16">
        <v>13</v>
      </c>
      <c r="AI19" s="16">
        <v>2</v>
      </c>
      <c r="AJ19" s="16">
        <v>0</v>
      </c>
      <c r="AK19" s="98">
        <v>17</v>
      </c>
      <c r="AL19" s="16">
        <v>1</v>
      </c>
      <c r="AM19" s="16">
        <v>2</v>
      </c>
      <c r="AN19" s="16">
        <v>36</v>
      </c>
      <c r="AO19" s="16">
        <v>0</v>
      </c>
      <c r="AP19" s="16">
        <v>0</v>
      </c>
      <c r="AQ19" s="16">
        <v>0</v>
      </c>
      <c r="AR19" s="16">
        <v>4</v>
      </c>
      <c r="AS19" s="16">
        <v>3</v>
      </c>
      <c r="AT19" s="16">
        <v>0</v>
      </c>
      <c r="AU19" s="16">
        <v>30</v>
      </c>
      <c r="AV19" s="16">
        <v>32</v>
      </c>
      <c r="AW19" s="16">
        <v>0</v>
      </c>
      <c r="AX19" s="16">
        <v>3</v>
      </c>
      <c r="AY19" s="16">
        <v>0</v>
      </c>
      <c r="AZ19" s="16">
        <v>0</v>
      </c>
      <c r="BA19" s="16">
        <v>0</v>
      </c>
      <c r="BB19" s="16">
        <v>4</v>
      </c>
      <c r="BC19" s="16">
        <v>2</v>
      </c>
      <c r="BD19" s="16">
        <v>0</v>
      </c>
      <c r="BE19" s="16">
        <v>5</v>
      </c>
      <c r="BF19" s="16">
        <v>10</v>
      </c>
      <c r="BG19" s="16">
        <v>1521</v>
      </c>
      <c r="BH19" s="16">
        <v>16</v>
      </c>
      <c r="BI19" s="16">
        <v>10</v>
      </c>
      <c r="BJ19" s="16">
        <v>12</v>
      </c>
      <c r="BK19" s="16">
        <v>6</v>
      </c>
      <c r="BL19" s="16">
        <v>1</v>
      </c>
      <c r="BM19" s="16">
        <v>0</v>
      </c>
      <c r="BN19" s="16">
        <v>0</v>
      </c>
      <c r="BO19" s="16">
        <v>97</v>
      </c>
    </row>
    <row r="20" spans="1:67" s="5" customFormat="1" ht="21.9" customHeight="1" x14ac:dyDescent="0.25">
      <c r="A20" s="125" t="s">
        <v>213</v>
      </c>
      <c r="B20" s="4"/>
      <c r="C20" s="47" t="s">
        <v>75</v>
      </c>
      <c r="D20" s="48"/>
      <c r="E20" s="16">
        <v>30169</v>
      </c>
      <c r="F20" s="16">
        <v>228</v>
      </c>
      <c r="G20" s="16">
        <v>182</v>
      </c>
      <c r="H20" s="16">
        <v>58</v>
      </c>
      <c r="I20" s="16">
        <v>120</v>
      </c>
      <c r="J20" s="16">
        <v>6</v>
      </c>
      <c r="K20" s="16">
        <v>1391</v>
      </c>
      <c r="L20" s="16">
        <v>323</v>
      </c>
      <c r="M20" s="16">
        <v>21</v>
      </c>
      <c r="N20" s="16">
        <v>65</v>
      </c>
      <c r="O20" s="16">
        <v>33</v>
      </c>
      <c r="P20" s="16">
        <v>0</v>
      </c>
      <c r="Q20" s="16">
        <v>203</v>
      </c>
      <c r="R20" s="16">
        <v>430</v>
      </c>
      <c r="S20" s="16">
        <v>115</v>
      </c>
      <c r="T20" s="16">
        <v>350</v>
      </c>
      <c r="U20" s="16">
        <v>587</v>
      </c>
      <c r="V20" s="16">
        <v>100</v>
      </c>
      <c r="W20" s="16">
        <v>364</v>
      </c>
      <c r="X20" s="16">
        <v>71</v>
      </c>
      <c r="Y20" s="16">
        <v>742</v>
      </c>
      <c r="Z20" s="16">
        <v>503</v>
      </c>
      <c r="AA20" s="16">
        <v>113</v>
      </c>
      <c r="AB20" s="16">
        <v>32</v>
      </c>
      <c r="AC20" s="16">
        <v>80</v>
      </c>
      <c r="AD20" s="16">
        <v>3299</v>
      </c>
      <c r="AE20" s="16">
        <v>1155</v>
      </c>
      <c r="AF20" s="16">
        <v>382</v>
      </c>
      <c r="AG20" s="16">
        <v>822</v>
      </c>
      <c r="AH20" s="16">
        <v>102</v>
      </c>
      <c r="AI20" s="16">
        <v>250</v>
      </c>
      <c r="AJ20" s="16">
        <v>19</v>
      </c>
      <c r="AK20" s="98">
        <v>200</v>
      </c>
      <c r="AL20" s="16">
        <v>908</v>
      </c>
      <c r="AM20" s="16">
        <v>25</v>
      </c>
      <c r="AN20" s="16">
        <v>714</v>
      </c>
      <c r="AO20" s="16">
        <v>12</v>
      </c>
      <c r="AP20" s="16">
        <v>1</v>
      </c>
      <c r="AQ20" s="16">
        <v>145</v>
      </c>
      <c r="AR20" s="16">
        <v>290</v>
      </c>
      <c r="AS20" s="16">
        <v>136</v>
      </c>
      <c r="AT20" s="16">
        <v>359</v>
      </c>
      <c r="AU20" s="16">
        <v>8532</v>
      </c>
      <c r="AV20" s="16">
        <v>235</v>
      </c>
      <c r="AW20" s="16">
        <v>46</v>
      </c>
      <c r="AX20" s="16">
        <v>868</v>
      </c>
      <c r="AY20" s="16">
        <v>141</v>
      </c>
      <c r="AZ20" s="16">
        <v>30</v>
      </c>
      <c r="BA20" s="16">
        <v>16</v>
      </c>
      <c r="BB20" s="16">
        <v>10</v>
      </c>
      <c r="BC20" s="16">
        <v>34</v>
      </c>
      <c r="BD20" s="16">
        <v>213</v>
      </c>
      <c r="BE20" s="16">
        <v>220</v>
      </c>
      <c r="BF20" s="16">
        <v>484</v>
      </c>
      <c r="BG20" s="16">
        <v>2219</v>
      </c>
      <c r="BH20" s="16">
        <v>355</v>
      </c>
      <c r="BI20" s="16">
        <v>50</v>
      </c>
      <c r="BJ20" s="16">
        <v>414</v>
      </c>
      <c r="BK20" s="16">
        <v>223</v>
      </c>
      <c r="BL20" s="16">
        <v>654</v>
      </c>
      <c r="BM20" s="16">
        <v>85</v>
      </c>
      <c r="BN20" s="16">
        <v>3</v>
      </c>
      <c r="BO20" s="16">
        <v>401</v>
      </c>
    </row>
    <row r="21" spans="1:67" s="5" customFormat="1" ht="21.9" customHeight="1" x14ac:dyDescent="0.25">
      <c r="A21" s="125"/>
      <c r="B21" s="4"/>
      <c r="C21" s="47" t="s">
        <v>76</v>
      </c>
      <c r="D21" s="48"/>
      <c r="E21" s="16">
        <v>826</v>
      </c>
      <c r="F21" s="16">
        <v>2</v>
      </c>
      <c r="G21" s="16">
        <v>2</v>
      </c>
      <c r="H21" s="16">
        <v>0</v>
      </c>
      <c r="I21" s="16">
        <v>1</v>
      </c>
      <c r="J21" s="16">
        <v>0</v>
      </c>
      <c r="K21" s="16">
        <v>2</v>
      </c>
      <c r="L21" s="16">
        <v>2</v>
      </c>
      <c r="M21" s="16">
        <v>0</v>
      </c>
      <c r="N21" s="16">
        <v>0</v>
      </c>
      <c r="O21" s="16">
        <v>0</v>
      </c>
      <c r="P21" s="16">
        <v>0</v>
      </c>
      <c r="Q21" s="16">
        <v>1</v>
      </c>
      <c r="R21" s="16">
        <v>8</v>
      </c>
      <c r="S21" s="16">
        <v>0</v>
      </c>
      <c r="T21" s="16">
        <v>7</v>
      </c>
      <c r="U21" s="16">
        <v>10</v>
      </c>
      <c r="V21" s="16">
        <v>2</v>
      </c>
      <c r="W21" s="16">
        <v>10</v>
      </c>
      <c r="X21" s="16">
        <v>0</v>
      </c>
      <c r="Y21" s="16">
        <v>5</v>
      </c>
      <c r="Z21" s="16">
        <v>6</v>
      </c>
      <c r="AA21" s="16">
        <v>0</v>
      </c>
      <c r="AB21" s="16">
        <v>1</v>
      </c>
      <c r="AC21" s="16">
        <v>2</v>
      </c>
      <c r="AD21" s="16">
        <v>19</v>
      </c>
      <c r="AE21" s="16">
        <v>12</v>
      </c>
      <c r="AF21" s="16">
        <v>4</v>
      </c>
      <c r="AG21" s="16">
        <v>28</v>
      </c>
      <c r="AH21" s="16">
        <v>4</v>
      </c>
      <c r="AI21" s="16">
        <v>2</v>
      </c>
      <c r="AJ21" s="16">
        <v>6</v>
      </c>
      <c r="AK21" s="98">
        <v>8</v>
      </c>
      <c r="AL21" s="16">
        <v>84</v>
      </c>
      <c r="AM21" s="16">
        <v>0</v>
      </c>
      <c r="AN21" s="16">
        <v>13</v>
      </c>
      <c r="AO21" s="16">
        <v>0</v>
      </c>
      <c r="AP21" s="16">
        <v>0</v>
      </c>
      <c r="AQ21" s="16">
        <v>6</v>
      </c>
      <c r="AR21" s="16">
        <v>4</v>
      </c>
      <c r="AS21" s="16">
        <v>5</v>
      </c>
      <c r="AT21" s="16">
        <v>2</v>
      </c>
      <c r="AU21" s="16">
        <v>353</v>
      </c>
      <c r="AV21" s="16">
        <v>4</v>
      </c>
      <c r="AW21" s="16">
        <v>0</v>
      </c>
      <c r="AX21" s="16">
        <v>3</v>
      </c>
      <c r="AY21" s="16">
        <v>2</v>
      </c>
      <c r="AZ21" s="16">
        <v>0</v>
      </c>
      <c r="BA21" s="16">
        <v>0</v>
      </c>
      <c r="BB21" s="16">
        <v>0</v>
      </c>
      <c r="BC21" s="16">
        <v>0</v>
      </c>
      <c r="BD21" s="16">
        <v>0</v>
      </c>
      <c r="BE21" s="16">
        <v>7</v>
      </c>
      <c r="BF21" s="16">
        <v>13</v>
      </c>
      <c r="BG21" s="16">
        <v>152</v>
      </c>
      <c r="BH21" s="16">
        <v>7</v>
      </c>
      <c r="BI21" s="16">
        <v>0</v>
      </c>
      <c r="BJ21" s="16">
        <v>5</v>
      </c>
      <c r="BK21" s="16">
        <v>2</v>
      </c>
      <c r="BL21" s="16">
        <v>0</v>
      </c>
      <c r="BM21" s="16">
        <v>0</v>
      </c>
      <c r="BN21" s="16">
        <v>0</v>
      </c>
      <c r="BO21" s="16">
        <v>20</v>
      </c>
    </row>
    <row r="22" spans="1:67" s="5" customFormat="1" ht="21.9" customHeight="1" x14ac:dyDescent="0.25">
      <c r="A22" s="125" t="s">
        <v>280</v>
      </c>
      <c r="B22" s="4"/>
      <c r="C22" s="47" t="s">
        <v>75</v>
      </c>
      <c r="D22" s="48"/>
      <c r="E22" s="16">
        <v>58971</v>
      </c>
      <c r="F22" s="16">
        <v>1448</v>
      </c>
      <c r="G22" s="16">
        <v>680</v>
      </c>
      <c r="H22" s="16">
        <v>174</v>
      </c>
      <c r="I22" s="16">
        <v>515</v>
      </c>
      <c r="J22" s="16">
        <v>48</v>
      </c>
      <c r="K22" s="16">
        <v>3104</v>
      </c>
      <c r="L22" s="16">
        <v>683</v>
      </c>
      <c r="M22" s="16">
        <v>126</v>
      </c>
      <c r="N22" s="16">
        <v>500</v>
      </c>
      <c r="O22" s="16">
        <v>149</v>
      </c>
      <c r="P22" s="16">
        <v>36</v>
      </c>
      <c r="Q22" s="16">
        <v>1093</v>
      </c>
      <c r="R22" s="16">
        <v>699</v>
      </c>
      <c r="S22" s="16">
        <v>58</v>
      </c>
      <c r="T22" s="16">
        <v>960</v>
      </c>
      <c r="U22" s="16">
        <v>2071</v>
      </c>
      <c r="V22" s="16">
        <v>270</v>
      </c>
      <c r="W22" s="16">
        <v>870</v>
      </c>
      <c r="X22" s="16">
        <v>301</v>
      </c>
      <c r="Y22" s="16">
        <v>1548</v>
      </c>
      <c r="Z22" s="16">
        <v>643</v>
      </c>
      <c r="AA22" s="16">
        <v>682</v>
      </c>
      <c r="AB22" s="16">
        <v>187</v>
      </c>
      <c r="AC22" s="16">
        <v>956</v>
      </c>
      <c r="AD22" s="16">
        <v>4663</v>
      </c>
      <c r="AE22" s="16">
        <v>1249</v>
      </c>
      <c r="AF22" s="16">
        <v>454</v>
      </c>
      <c r="AG22" s="16">
        <v>3776</v>
      </c>
      <c r="AH22" s="16">
        <v>281</v>
      </c>
      <c r="AI22" s="16">
        <v>350</v>
      </c>
      <c r="AJ22" s="16">
        <v>103</v>
      </c>
      <c r="AK22" s="98">
        <v>365</v>
      </c>
      <c r="AL22" s="16">
        <v>346</v>
      </c>
      <c r="AM22" s="16">
        <v>31</v>
      </c>
      <c r="AN22" s="16">
        <v>757</v>
      </c>
      <c r="AO22" s="16">
        <v>39</v>
      </c>
      <c r="AP22" s="16">
        <v>47</v>
      </c>
      <c r="AQ22" s="16">
        <v>88</v>
      </c>
      <c r="AR22" s="16">
        <v>823</v>
      </c>
      <c r="AS22" s="16">
        <v>293</v>
      </c>
      <c r="AT22" s="16">
        <v>2139</v>
      </c>
      <c r="AU22" s="16">
        <v>5593</v>
      </c>
      <c r="AV22" s="16">
        <v>1717</v>
      </c>
      <c r="AW22" s="16">
        <v>292</v>
      </c>
      <c r="AX22" s="16">
        <v>2109</v>
      </c>
      <c r="AY22" s="16">
        <v>65</v>
      </c>
      <c r="AZ22" s="16">
        <v>19</v>
      </c>
      <c r="BA22" s="16">
        <v>125</v>
      </c>
      <c r="BB22" s="16">
        <v>84</v>
      </c>
      <c r="BC22" s="16">
        <v>94</v>
      </c>
      <c r="BD22" s="16">
        <v>1189</v>
      </c>
      <c r="BE22" s="16">
        <v>1777</v>
      </c>
      <c r="BF22" s="16">
        <v>1183</v>
      </c>
      <c r="BG22" s="16">
        <v>2131</v>
      </c>
      <c r="BH22" s="16">
        <v>1568</v>
      </c>
      <c r="BI22" s="16">
        <v>307</v>
      </c>
      <c r="BJ22" s="16">
        <v>939</v>
      </c>
      <c r="BK22" s="16">
        <v>236</v>
      </c>
      <c r="BL22" s="16">
        <v>849</v>
      </c>
      <c r="BM22" s="16">
        <v>123</v>
      </c>
      <c r="BN22" s="16">
        <v>182</v>
      </c>
      <c r="BO22" s="16">
        <v>4784</v>
      </c>
    </row>
    <row r="23" spans="1:67" s="5" customFormat="1" ht="21.9" customHeight="1" x14ac:dyDescent="0.25">
      <c r="A23" s="125"/>
      <c r="B23" s="4"/>
      <c r="C23" s="47" t="s">
        <v>228</v>
      </c>
      <c r="D23" s="48"/>
      <c r="E23" s="16">
        <v>2640</v>
      </c>
      <c r="F23" s="16">
        <v>0</v>
      </c>
      <c r="G23" s="16">
        <v>0</v>
      </c>
      <c r="H23" s="16">
        <v>0</v>
      </c>
      <c r="I23" s="16">
        <v>0</v>
      </c>
      <c r="J23" s="16">
        <v>0</v>
      </c>
      <c r="K23" s="16">
        <v>6</v>
      </c>
      <c r="L23" s="16">
        <v>8</v>
      </c>
      <c r="M23" s="16">
        <v>0</v>
      </c>
      <c r="N23" s="16">
        <v>6</v>
      </c>
      <c r="O23" s="16">
        <v>0</v>
      </c>
      <c r="P23" s="16">
        <v>0</v>
      </c>
      <c r="Q23" s="16">
        <v>10</v>
      </c>
      <c r="R23" s="16">
        <v>3</v>
      </c>
      <c r="S23" s="16">
        <v>0</v>
      </c>
      <c r="T23" s="16">
        <v>1</v>
      </c>
      <c r="U23" s="16">
        <v>21</v>
      </c>
      <c r="V23" s="16">
        <v>2</v>
      </c>
      <c r="W23" s="16">
        <v>36</v>
      </c>
      <c r="X23" s="16">
        <v>6</v>
      </c>
      <c r="Y23" s="16">
        <v>2</v>
      </c>
      <c r="Z23" s="16">
        <v>17</v>
      </c>
      <c r="AA23" s="16">
        <v>0</v>
      </c>
      <c r="AB23" s="16">
        <v>1</v>
      </c>
      <c r="AC23" s="16">
        <v>21</v>
      </c>
      <c r="AD23" s="16">
        <v>9</v>
      </c>
      <c r="AE23" s="16">
        <v>13</v>
      </c>
      <c r="AF23" s="16">
        <v>3</v>
      </c>
      <c r="AG23" s="16">
        <v>35</v>
      </c>
      <c r="AH23" s="16">
        <v>12</v>
      </c>
      <c r="AI23" s="16">
        <v>2</v>
      </c>
      <c r="AJ23" s="16">
        <v>0</v>
      </c>
      <c r="AK23" s="98">
        <v>8</v>
      </c>
      <c r="AL23" s="16">
        <v>2</v>
      </c>
      <c r="AM23" s="16">
        <v>0</v>
      </c>
      <c r="AN23" s="16">
        <v>5</v>
      </c>
      <c r="AO23" s="16">
        <v>0</v>
      </c>
      <c r="AP23" s="16">
        <v>0</v>
      </c>
      <c r="AQ23" s="16">
        <v>0</v>
      </c>
      <c r="AR23" s="16">
        <v>8</v>
      </c>
      <c r="AS23" s="16">
        <v>5</v>
      </c>
      <c r="AT23" s="16">
        <v>0</v>
      </c>
      <c r="AU23" s="16">
        <v>26</v>
      </c>
      <c r="AV23" s="16">
        <v>1</v>
      </c>
      <c r="AW23" s="16">
        <v>0</v>
      </c>
      <c r="AX23" s="16">
        <v>0</v>
      </c>
      <c r="AY23" s="16">
        <v>0</v>
      </c>
      <c r="AZ23" s="16">
        <v>0</v>
      </c>
      <c r="BA23" s="16">
        <v>0</v>
      </c>
      <c r="BB23" s="16">
        <v>0</v>
      </c>
      <c r="BC23" s="16">
        <v>0</v>
      </c>
      <c r="BD23" s="16">
        <v>1</v>
      </c>
      <c r="BE23" s="16">
        <v>21</v>
      </c>
      <c r="BF23" s="16">
        <v>14</v>
      </c>
      <c r="BG23" s="16">
        <v>2064</v>
      </c>
      <c r="BH23" s="16">
        <v>0</v>
      </c>
      <c r="BI23" s="16">
        <v>15</v>
      </c>
      <c r="BJ23" s="16">
        <v>70</v>
      </c>
      <c r="BK23" s="16">
        <v>13</v>
      </c>
      <c r="BL23" s="16">
        <v>1</v>
      </c>
      <c r="BM23" s="16">
        <v>0</v>
      </c>
      <c r="BN23" s="16">
        <v>0</v>
      </c>
      <c r="BO23" s="16">
        <v>172</v>
      </c>
    </row>
    <row r="24" spans="1:67" s="5" customFormat="1" ht="21.9" customHeight="1" x14ac:dyDescent="0.25">
      <c r="A24" s="125" t="s">
        <v>194</v>
      </c>
      <c r="B24" s="4"/>
      <c r="C24" s="47" t="s">
        <v>142</v>
      </c>
      <c r="D24" s="48"/>
      <c r="E24" s="16">
        <v>12496</v>
      </c>
      <c r="F24" s="16">
        <v>289</v>
      </c>
      <c r="G24" s="16">
        <v>104</v>
      </c>
      <c r="H24" s="16">
        <v>23</v>
      </c>
      <c r="I24" s="16">
        <v>97</v>
      </c>
      <c r="J24" s="16">
        <v>0</v>
      </c>
      <c r="K24" s="16">
        <v>838</v>
      </c>
      <c r="L24" s="16">
        <v>414</v>
      </c>
      <c r="M24" s="16">
        <v>5</v>
      </c>
      <c r="N24" s="16">
        <v>99</v>
      </c>
      <c r="O24" s="16">
        <v>77</v>
      </c>
      <c r="P24" s="16">
        <v>0</v>
      </c>
      <c r="Q24" s="16">
        <v>102</v>
      </c>
      <c r="R24" s="16">
        <v>158</v>
      </c>
      <c r="S24" s="16">
        <v>39</v>
      </c>
      <c r="T24" s="16">
        <v>135</v>
      </c>
      <c r="U24" s="16">
        <v>273</v>
      </c>
      <c r="V24" s="16">
        <v>73</v>
      </c>
      <c r="W24" s="16">
        <v>101</v>
      </c>
      <c r="X24" s="16">
        <v>108</v>
      </c>
      <c r="Y24" s="16">
        <v>478</v>
      </c>
      <c r="Z24" s="16">
        <v>92</v>
      </c>
      <c r="AA24" s="16">
        <v>25</v>
      </c>
      <c r="AB24" s="16">
        <v>68</v>
      </c>
      <c r="AC24" s="16">
        <v>49</v>
      </c>
      <c r="AD24" s="16">
        <v>1832</v>
      </c>
      <c r="AE24" s="16">
        <v>369</v>
      </c>
      <c r="AF24" s="16">
        <v>138</v>
      </c>
      <c r="AG24" s="16">
        <v>587</v>
      </c>
      <c r="AH24" s="16">
        <v>153</v>
      </c>
      <c r="AI24" s="16">
        <v>57</v>
      </c>
      <c r="AJ24" s="16">
        <v>0</v>
      </c>
      <c r="AK24" s="98">
        <v>108</v>
      </c>
      <c r="AL24" s="16">
        <v>96</v>
      </c>
      <c r="AM24" s="16">
        <v>7</v>
      </c>
      <c r="AN24" s="16">
        <v>478</v>
      </c>
      <c r="AO24" s="16">
        <v>0</v>
      </c>
      <c r="AP24" s="16">
        <v>0</v>
      </c>
      <c r="AQ24" s="16">
        <v>2</v>
      </c>
      <c r="AR24" s="16">
        <v>81</v>
      </c>
      <c r="AS24" s="16">
        <v>66</v>
      </c>
      <c r="AT24" s="16">
        <v>164</v>
      </c>
      <c r="AU24" s="16">
        <v>3000</v>
      </c>
      <c r="AV24" s="16">
        <v>86</v>
      </c>
      <c r="AW24" s="16">
        <v>1</v>
      </c>
      <c r="AX24" s="16">
        <v>314</v>
      </c>
      <c r="AY24" s="16">
        <v>92</v>
      </c>
      <c r="AZ24" s="16">
        <v>1</v>
      </c>
      <c r="BA24" s="16">
        <v>0</v>
      </c>
      <c r="BB24" s="16">
        <v>8</v>
      </c>
      <c r="BC24" s="16">
        <v>0</v>
      </c>
      <c r="BD24" s="16">
        <v>42</v>
      </c>
      <c r="BE24" s="16">
        <v>108</v>
      </c>
      <c r="BF24" s="16">
        <v>152</v>
      </c>
      <c r="BG24" s="16">
        <v>346</v>
      </c>
      <c r="BH24" s="16">
        <v>191</v>
      </c>
      <c r="BI24" s="16">
        <v>35</v>
      </c>
      <c r="BJ24" s="16">
        <v>104</v>
      </c>
      <c r="BK24" s="16">
        <v>48</v>
      </c>
      <c r="BL24" s="16">
        <v>121</v>
      </c>
      <c r="BM24" s="16">
        <v>19</v>
      </c>
      <c r="BN24" s="16">
        <v>0</v>
      </c>
      <c r="BO24" s="16">
        <v>43</v>
      </c>
    </row>
    <row r="25" spans="1:67" s="5" customFormat="1" ht="21.9" customHeight="1" x14ac:dyDescent="0.25">
      <c r="A25" s="125"/>
      <c r="B25" s="4"/>
      <c r="C25" s="47" t="s">
        <v>76</v>
      </c>
      <c r="D25" s="48"/>
      <c r="E25" s="16">
        <v>461</v>
      </c>
      <c r="F25" s="26">
        <v>0</v>
      </c>
      <c r="G25" s="26">
        <v>0</v>
      </c>
      <c r="H25" s="26">
        <v>0</v>
      </c>
      <c r="I25" s="26">
        <v>0</v>
      </c>
      <c r="J25" s="26">
        <v>0</v>
      </c>
      <c r="K25" s="26">
        <v>10</v>
      </c>
      <c r="L25" s="26">
        <v>7</v>
      </c>
      <c r="M25" s="26">
        <v>0</v>
      </c>
      <c r="N25" s="26">
        <v>1</v>
      </c>
      <c r="O25" s="26">
        <v>0</v>
      </c>
      <c r="P25" s="26">
        <v>0</v>
      </c>
      <c r="Q25" s="26">
        <v>7</v>
      </c>
      <c r="R25" s="26">
        <v>6</v>
      </c>
      <c r="S25" s="26">
        <v>0</v>
      </c>
      <c r="T25" s="16">
        <v>3</v>
      </c>
      <c r="U25" s="16">
        <v>10</v>
      </c>
      <c r="V25" s="16">
        <v>1</v>
      </c>
      <c r="W25" s="16">
        <v>3</v>
      </c>
      <c r="X25" s="16">
        <v>0</v>
      </c>
      <c r="Y25" s="16">
        <v>0</v>
      </c>
      <c r="Z25" s="16">
        <v>1</v>
      </c>
      <c r="AA25" s="16">
        <v>0</v>
      </c>
      <c r="AB25" s="16">
        <v>2</v>
      </c>
      <c r="AC25" s="16">
        <v>1</v>
      </c>
      <c r="AD25" s="16">
        <v>21</v>
      </c>
      <c r="AE25" s="16">
        <v>6</v>
      </c>
      <c r="AF25" s="16">
        <v>0</v>
      </c>
      <c r="AG25" s="16">
        <v>16</v>
      </c>
      <c r="AH25" s="16">
        <v>14</v>
      </c>
      <c r="AI25" s="16">
        <v>0</v>
      </c>
      <c r="AJ25" s="16">
        <v>0</v>
      </c>
      <c r="AK25" s="98">
        <v>2</v>
      </c>
      <c r="AL25" s="16">
        <v>0</v>
      </c>
      <c r="AM25" s="16">
        <v>0</v>
      </c>
      <c r="AN25" s="16">
        <v>77</v>
      </c>
      <c r="AO25" s="26">
        <v>0</v>
      </c>
      <c r="AP25" s="26">
        <v>0</v>
      </c>
      <c r="AQ25" s="26">
        <v>0</v>
      </c>
      <c r="AR25" s="26">
        <v>2</v>
      </c>
      <c r="AS25" s="26">
        <v>0</v>
      </c>
      <c r="AT25" s="26">
        <v>0</v>
      </c>
      <c r="AU25" s="26">
        <v>0</v>
      </c>
      <c r="AV25" s="26">
        <v>0</v>
      </c>
      <c r="AW25" s="26">
        <v>0</v>
      </c>
      <c r="AX25" s="26">
        <v>1</v>
      </c>
      <c r="AY25" s="16">
        <v>1</v>
      </c>
      <c r="AZ25" s="16">
        <v>0</v>
      </c>
      <c r="BA25" s="16">
        <v>0</v>
      </c>
      <c r="BB25" s="16">
        <v>0</v>
      </c>
      <c r="BC25" s="16">
        <v>0</v>
      </c>
      <c r="BD25" s="16">
        <v>1</v>
      </c>
      <c r="BE25" s="16">
        <v>1</v>
      </c>
      <c r="BF25" s="16">
        <v>4</v>
      </c>
      <c r="BG25" s="16">
        <v>262</v>
      </c>
      <c r="BH25" s="16">
        <v>0</v>
      </c>
      <c r="BI25" s="16">
        <v>0</v>
      </c>
      <c r="BJ25" s="16">
        <v>0</v>
      </c>
      <c r="BK25" s="16">
        <v>0</v>
      </c>
      <c r="BL25" s="16">
        <v>0</v>
      </c>
      <c r="BM25" s="16">
        <v>0</v>
      </c>
      <c r="BN25" s="16">
        <v>0</v>
      </c>
      <c r="BO25" s="16">
        <v>1</v>
      </c>
    </row>
    <row r="26" spans="1:67" s="5" customFormat="1" ht="21.9" customHeight="1" x14ac:dyDescent="0.25">
      <c r="A26" s="125" t="s">
        <v>81</v>
      </c>
      <c r="C26" s="47" t="s">
        <v>75</v>
      </c>
      <c r="D26" s="48"/>
      <c r="E26" s="16">
        <v>36239</v>
      </c>
      <c r="F26" s="16">
        <v>919</v>
      </c>
      <c r="G26" s="16">
        <v>1043</v>
      </c>
      <c r="H26" s="16">
        <v>175</v>
      </c>
      <c r="I26" s="16">
        <v>217</v>
      </c>
      <c r="J26" s="16">
        <v>240</v>
      </c>
      <c r="K26" s="16">
        <v>1124</v>
      </c>
      <c r="L26" s="16">
        <v>118</v>
      </c>
      <c r="M26" s="16">
        <v>118</v>
      </c>
      <c r="N26" s="16">
        <v>101</v>
      </c>
      <c r="O26" s="16">
        <v>60</v>
      </c>
      <c r="P26" s="16">
        <v>15</v>
      </c>
      <c r="Q26" s="16">
        <v>276</v>
      </c>
      <c r="R26" s="16">
        <v>38</v>
      </c>
      <c r="S26" s="16">
        <v>37</v>
      </c>
      <c r="T26" s="16">
        <v>306</v>
      </c>
      <c r="U26" s="16">
        <v>491</v>
      </c>
      <c r="V26" s="16">
        <v>132</v>
      </c>
      <c r="W26" s="16">
        <v>238</v>
      </c>
      <c r="X26" s="16">
        <v>11</v>
      </c>
      <c r="Y26" s="16">
        <v>2143</v>
      </c>
      <c r="Z26" s="16">
        <v>371</v>
      </c>
      <c r="AA26" s="16">
        <v>70</v>
      </c>
      <c r="AB26" s="16">
        <v>211</v>
      </c>
      <c r="AC26" s="16">
        <v>107</v>
      </c>
      <c r="AD26" s="16">
        <v>4003</v>
      </c>
      <c r="AE26" s="16">
        <v>1755</v>
      </c>
      <c r="AF26" s="16">
        <v>313</v>
      </c>
      <c r="AG26" s="16">
        <v>1736</v>
      </c>
      <c r="AH26" s="16">
        <v>199</v>
      </c>
      <c r="AI26" s="16">
        <v>182</v>
      </c>
      <c r="AJ26" s="16">
        <v>306</v>
      </c>
      <c r="AK26" s="98">
        <v>191</v>
      </c>
      <c r="AL26" s="16">
        <v>180</v>
      </c>
      <c r="AM26" s="16">
        <v>5</v>
      </c>
      <c r="AN26" s="16">
        <v>604</v>
      </c>
      <c r="AO26" s="16">
        <v>10</v>
      </c>
      <c r="AP26" s="16">
        <v>0</v>
      </c>
      <c r="AQ26" s="16">
        <v>1041</v>
      </c>
      <c r="AR26" s="16">
        <v>91</v>
      </c>
      <c r="AS26" s="16">
        <v>85</v>
      </c>
      <c r="AT26" s="16">
        <v>216</v>
      </c>
      <c r="AU26" s="16">
        <v>3428</v>
      </c>
      <c r="AV26" s="16">
        <v>239</v>
      </c>
      <c r="AW26" s="16">
        <v>80</v>
      </c>
      <c r="AX26" s="16">
        <v>1944</v>
      </c>
      <c r="AY26" s="16">
        <v>0</v>
      </c>
      <c r="AZ26" s="16">
        <v>1</v>
      </c>
      <c r="BA26" s="16">
        <v>0</v>
      </c>
      <c r="BB26" s="16">
        <v>0</v>
      </c>
      <c r="BC26" s="16">
        <v>2</v>
      </c>
      <c r="BD26" s="16">
        <v>102</v>
      </c>
      <c r="BE26" s="16">
        <v>184</v>
      </c>
      <c r="BF26" s="16">
        <v>364</v>
      </c>
      <c r="BG26" s="16">
        <v>510</v>
      </c>
      <c r="BH26" s="16">
        <v>1698</v>
      </c>
      <c r="BI26" s="16">
        <v>398</v>
      </c>
      <c r="BJ26" s="16">
        <v>1240</v>
      </c>
      <c r="BK26" s="16">
        <v>518</v>
      </c>
      <c r="BL26" s="16">
        <v>1227</v>
      </c>
      <c r="BM26" s="16">
        <v>0</v>
      </c>
      <c r="BN26" s="16">
        <v>37</v>
      </c>
      <c r="BO26" s="16">
        <v>4789</v>
      </c>
    </row>
    <row r="27" spans="1:67" s="5" customFormat="1" ht="21.9" customHeight="1" x14ac:dyDescent="0.25">
      <c r="A27" s="125"/>
      <c r="C27" s="47" t="s">
        <v>76</v>
      </c>
      <c r="D27" s="48"/>
      <c r="E27" s="16">
        <v>297</v>
      </c>
      <c r="F27" s="26">
        <v>0</v>
      </c>
      <c r="G27" s="26">
        <v>1</v>
      </c>
      <c r="H27" s="26">
        <v>1</v>
      </c>
      <c r="I27" s="26">
        <v>3</v>
      </c>
      <c r="J27" s="26">
        <v>0</v>
      </c>
      <c r="K27" s="26">
        <v>4</v>
      </c>
      <c r="L27" s="26">
        <v>2</v>
      </c>
      <c r="M27" s="26">
        <v>0</v>
      </c>
      <c r="N27" s="26">
        <v>1</v>
      </c>
      <c r="O27" s="26">
        <v>0</v>
      </c>
      <c r="P27" s="26">
        <v>0</v>
      </c>
      <c r="Q27" s="26">
        <v>5</v>
      </c>
      <c r="R27" s="26">
        <v>11</v>
      </c>
      <c r="S27" s="26">
        <v>1</v>
      </c>
      <c r="T27" s="16">
        <v>7</v>
      </c>
      <c r="U27" s="16">
        <v>18</v>
      </c>
      <c r="V27" s="16">
        <v>2</v>
      </c>
      <c r="W27" s="16">
        <v>4</v>
      </c>
      <c r="X27" s="16">
        <v>0</v>
      </c>
      <c r="Y27" s="16">
        <v>7</v>
      </c>
      <c r="Z27" s="16">
        <v>1</v>
      </c>
      <c r="AA27" s="16">
        <v>0</v>
      </c>
      <c r="AB27" s="16">
        <v>0</v>
      </c>
      <c r="AC27" s="16">
        <v>2</v>
      </c>
      <c r="AD27" s="16">
        <v>23</v>
      </c>
      <c r="AE27" s="16">
        <v>15</v>
      </c>
      <c r="AF27" s="16">
        <v>4</v>
      </c>
      <c r="AG27" s="16">
        <v>12</v>
      </c>
      <c r="AH27" s="16">
        <v>6</v>
      </c>
      <c r="AI27" s="16">
        <v>1</v>
      </c>
      <c r="AJ27" s="16">
        <v>0</v>
      </c>
      <c r="AK27" s="98">
        <v>8</v>
      </c>
      <c r="AL27" s="16">
        <v>2</v>
      </c>
      <c r="AM27" s="16">
        <v>0</v>
      </c>
      <c r="AN27" s="16">
        <v>22</v>
      </c>
      <c r="AO27" s="26">
        <v>0</v>
      </c>
      <c r="AP27" s="26">
        <v>0</v>
      </c>
      <c r="AQ27" s="26">
        <v>0</v>
      </c>
      <c r="AR27" s="26">
        <v>5</v>
      </c>
      <c r="AS27" s="26">
        <v>0</v>
      </c>
      <c r="AT27" s="26">
        <v>0</v>
      </c>
      <c r="AU27" s="26">
        <v>13</v>
      </c>
      <c r="AV27" s="26">
        <v>13</v>
      </c>
      <c r="AW27" s="26">
        <v>0</v>
      </c>
      <c r="AX27" s="26">
        <v>3</v>
      </c>
      <c r="AY27" s="16">
        <v>0</v>
      </c>
      <c r="AZ27" s="16">
        <v>1</v>
      </c>
      <c r="BA27" s="16">
        <v>0</v>
      </c>
      <c r="BB27" s="16">
        <v>0</v>
      </c>
      <c r="BC27" s="16">
        <v>2</v>
      </c>
      <c r="BD27" s="16">
        <v>0</v>
      </c>
      <c r="BE27" s="16">
        <v>2</v>
      </c>
      <c r="BF27" s="16">
        <v>5</v>
      </c>
      <c r="BG27" s="16">
        <v>42</v>
      </c>
      <c r="BH27" s="16">
        <v>2</v>
      </c>
      <c r="BI27" s="16">
        <v>8</v>
      </c>
      <c r="BJ27" s="16">
        <v>22</v>
      </c>
      <c r="BK27" s="16">
        <v>1</v>
      </c>
      <c r="BL27" s="16">
        <v>0</v>
      </c>
      <c r="BM27" s="16">
        <v>0</v>
      </c>
      <c r="BN27" s="16">
        <v>0</v>
      </c>
      <c r="BO27" s="16">
        <v>15</v>
      </c>
    </row>
    <row r="28" spans="1:67" s="5" customFormat="1" ht="21.9" customHeight="1" x14ac:dyDescent="0.25">
      <c r="A28" s="125" t="s">
        <v>82</v>
      </c>
      <c r="B28" s="4"/>
      <c r="C28" s="47" t="s">
        <v>75</v>
      </c>
      <c r="D28" s="48"/>
      <c r="E28" s="16">
        <v>16230</v>
      </c>
      <c r="F28" s="16">
        <v>241</v>
      </c>
      <c r="G28" s="16">
        <v>83</v>
      </c>
      <c r="H28" s="16">
        <v>23</v>
      </c>
      <c r="I28" s="16">
        <v>120</v>
      </c>
      <c r="J28" s="16">
        <v>12</v>
      </c>
      <c r="K28" s="16">
        <v>296</v>
      </c>
      <c r="L28" s="16">
        <v>121</v>
      </c>
      <c r="M28" s="16">
        <v>153</v>
      </c>
      <c r="N28" s="16">
        <v>25</v>
      </c>
      <c r="O28" s="16">
        <v>1</v>
      </c>
      <c r="P28" s="16">
        <v>0</v>
      </c>
      <c r="Q28" s="16">
        <v>34</v>
      </c>
      <c r="R28" s="16">
        <v>37</v>
      </c>
      <c r="S28" s="16">
        <v>147</v>
      </c>
      <c r="T28" s="16">
        <v>171</v>
      </c>
      <c r="U28" s="16">
        <v>399</v>
      </c>
      <c r="V28" s="16">
        <v>126</v>
      </c>
      <c r="W28" s="16">
        <v>70</v>
      </c>
      <c r="X28" s="16">
        <v>48</v>
      </c>
      <c r="Y28" s="16">
        <v>720</v>
      </c>
      <c r="Z28" s="16">
        <v>43</v>
      </c>
      <c r="AA28" s="16">
        <v>16</v>
      </c>
      <c r="AB28" s="16">
        <v>26</v>
      </c>
      <c r="AC28" s="16">
        <v>7</v>
      </c>
      <c r="AD28" s="16">
        <v>1414</v>
      </c>
      <c r="AE28" s="16">
        <v>562</v>
      </c>
      <c r="AF28" s="16">
        <v>168</v>
      </c>
      <c r="AG28" s="16">
        <v>282</v>
      </c>
      <c r="AH28" s="16">
        <v>38</v>
      </c>
      <c r="AI28" s="16">
        <v>134</v>
      </c>
      <c r="AJ28" s="16">
        <v>3</v>
      </c>
      <c r="AK28" s="98">
        <v>59</v>
      </c>
      <c r="AL28" s="16">
        <v>582</v>
      </c>
      <c r="AM28" s="16">
        <v>16</v>
      </c>
      <c r="AN28" s="16">
        <v>465</v>
      </c>
      <c r="AO28" s="16">
        <v>10</v>
      </c>
      <c r="AP28" s="16">
        <v>238</v>
      </c>
      <c r="AQ28" s="16">
        <v>63</v>
      </c>
      <c r="AR28" s="16">
        <v>776</v>
      </c>
      <c r="AS28" s="16">
        <v>5192</v>
      </c>
      <c r="AT28" s="16">
        <v>752</v>
      </c>
      <c r="AU28" s="16">
        <v>18</v>
      </c>
      <c r="AV28" s="16">
        <v>592</v>
      </c>
      <c r="AW28" s="16">
        <v>1</v>
      </c>
      <c r="AX28" s="16">
        <v>0</v>
      </c>
      <c r="AY28" s="16">
        <v>0</v>
      </c>
      <c r="AZ28" s="16">
        <v>0</v>
      </c>
      <c r="BA28" s="16">
        <v>3</v>
      </c>
      <c r="BB28" s="16">
        <v>182</v>
      </c>
      <c r="BC28" s="16">
        <v>87</v>
      </c>
      <c r="BD28" s="16">
        <v>100</v>
      </c>
      <c r="BE28" s="16">
        <v>162</v>
      </c>
      <c r="BF28" s="16">
        <v>475</v>
      </c>
      <c r="BG28" s="16">
        <v>4</v>
      </c>
      <c r="BH28" s="16">
        <v>45</v>
      </c>
      <c r="BI28" s="16">
        <v>4</v>
      </c>
      <c r="BJ28" s="16">
        <v>136</v>
      </c>
      <c r="BK28" s="16">
        <v>187</v>
      </c>
      <c r="BL28" s="16">
        <v>0</v>
      </c>
      <c r="BM28" s="16">
        <v>561</v>
      </c>
      <c r="BN28" s="16">
        <v>0</v>
      </c>
      <c r="BO28" s="16">
        <v>0</v>
      </c>
    </row>
    <row r="29" spans="1:67" s="5" customFormat="1" ht="21.9" customHeight="1" x14ac:dyDescent="0.25">
      <c r="A29" s="125"/>
      <c r="B29" s="4"/>
      <c r="C29" s="47" t="s">
        <v>228</v>
      </c>
      <c r="D29" s="48"/>
      <c r="E29" s="16">
        <v>158</v>
      </c>
      <c r="F29" s="26">
        <v>0</v>
      </c>
      <c r="G29" s="26">
        <v>0</v>
      </c>
      <c r="H29" s="26">
        <v>0</v>
      </c>
      <c r="I29" s="26">
        <v>0</v>
      </c>
      <c r="J29" s="26">
        <v>0</v>
      </c>
      <c r="K29" s="26">
        <v>1</v>
      </c>
      <c r="L29" s="26">
        <v>4</v>
      </c>
      <c r="M29" s="26">
        <v>1</v>
      </c>
      <c r="N29" s="26">
        <v>0</v>
      </c>
      <c r="O29" s="26">
        <v>0</v>
      </c>
      <c r="P29" s="26">
        <v>0</v>
      </c>
      <c r="Q29" s="26">
        <v>0</v>
      </c>
      <c r="R29" s="26">
        <v>5</v>
      </c>
      <c r="S29" s="26">
        <v>1</v>
      </c>
      <c r="T29" s="16">
        <v>5</v>
      </c>
      <c r="U29" s="16">
        <v>12</v>
      </c>
      <c r="V29" s="16">
        <v>4</v>
      </c>
      <c r="W29" s="16">
        <v>6</v>
      </c>
      <c r="X29" s="16">
        <v>0</v>
      </c>
      <c r="Y29" s="16">
        <v>4</v>
      </c>
      <c r="Z29" s="16">
        <v>4</v>
      </c>
      <c r="AA29" s="16">
        <v>0</v>
      </c>
      <c r="AB29" s="16">
        <v>1</v>
      </c>
      <c r="AC29" s="16">
        <v>1</v>
      </c>
      <c r="AD29" s="16">
        <v>18</v>
      </c>
      <c r="AE29" s="16">
        <v>15</v>
      </c>
      <c r="AF29" s="16">
        <v>3</v>
      </c>
      <c r="AG29" s="16">
        <v>15</v>
      </c>
      <c r="AH29" s="16">
        <v>1</v>
      </c>
      <c r="AI29" s="16">
        <v>7</v>
      </c>
      <c r="AJ29" s="16">
        <v>0</v>
      </c>
      <c r="AK29" s="98">
        <v>7</v>
      </c>
      <c r="AL29" s="16">
        <v>0</v>
      </c>
      <c r="AM29" s="16">
        <v>1</v>
      </c>
      <c r="AN29" s="16">
        <v>10</v>
      </c>
      <c r="AO29" s="26">
        <v>0</v>
      </c>
      <c r="AP29" s="26">
        <v>0</v>
      </c>
      <c r="AQ29" s="26">
        <v>0</v>
      </c>
      <c r="AR29" s="26">
        <v>12</v>
      </c>
      <c r="AS29" s="26">
        <v>2</v>
      </c>
      <c r="AT29" s="26">
        <v>0</v>
      </c>
      <c r="AU29" s="26">
        <v>1</v>
      </c>
      <c r="AV29" s="26">
        <v>1</v>
      </c>
      <c r="AW29" s="26">
        <v>1</v>
      </c>
      <c r="AX29" s="26">
        <v>0</v>
      </c>
      <c r="AY29" s="26">
        <v>0</v>
      </c>
      <c r="AZ29" s="26">
        <v>0</v>
      </c>
      <c r="BA29" s="26">
        <v>0</v>
      </c>
      <c r="BB29" s="26">
        <v>1</v>
      </c>
      <c r="BC29" s="16">
        <v>1</v>
      </c>
      <c r="BD29" s="16">
        <v>6</v>
      </c>
      <c r="BE29" s="16">
        <v>2</v>
      </c>
      <c r="BF29" s="16">
        <v>0</v>
      </c>
      <c r="BG29" s="16">
        <v>1</v>
      </c>
      <c r="BH29" s="16">
        <v>0</v>
      </c>
      <c r="BI29" s="16">
        <v>0</v>
      </c>
      <c r="BJ29" s="16">
        <v>0</v>
      </c>
      <c r="BK29" s="16">
        <v>0</v>
      </c>
      <c r="BL29" s="16">
        <v>0</v>
      </c>
      <c r="BM29" s="16">
        <v>3</v>
      </c>
      <c r="BN29" s="16">
        <v>0</v>
      </c>
      <c r="BO29" s="16">
        <v>1</v>
      </c>
    </row>
    <row r="30" spans="1:67" s="5" customFormat="1" ht="21.9" customHeight="1" x14ac:dyDescent="0.25">
      <c r="A30" s="125" t="s">
        <v>83</v>
      </c>
      <c r="B30" s="4"/>
      <c r="C30" s="47" t="s">
        <v>75</v>
      </c>
      <c r="D30" s="48"/>
      <c r="E30" s="16">
        <v>20321</v>
      </c>
      <c r="F30" s="16">
        <v>661</v>
      </c>
      <c r="G30" s="16">
        <v>183</v>
      </c>
      <c r="H30" s="16">
        <v>27</v>
      </c>
      <c r="I30" s="16">
        <v>180</v>
      </c>
      <c r="J30" s="16">
        <v>7</v>
      </c>
      <c r="K30" s="16">
        <v>733</v>
      </c>
      <c r="L30" s="16">
        <v>273</v>
      </c>
      <c r="M30" s="16">
        <v>0</v>
      </c>
      <c r="N30" s="16">
        <v>5</v>
      </c>
      <c r="O30" s="16">
        <v>92</v>
      </c>
      <c r="P30" s="16">
        <v>0</v>
      </c>
      <c r="Q30" s="16">
        <v>426</v>
      </c>
      <c r="R30" s="16">
        <v>296</v>
      </c>
      <c r="S30" s="16">
        <v>2</v>
      </c>
      <c r="T30" s="16">
        <v>172</v>
      </c>
      <c r="U30" s="16">
        <v>470</v>
      </c>
      <c r="V30" s="16">
        <v>16</v>
      </c>
      <c r="W30" s="16">
        <v>287</v>
      </c>
      <c r="X30" s="16">
        <v>34</v>
      </c>
      <c r="Y30" s="16">
        <v>243</v>
      </c>
      <c r="Z30" s="16">
        <v>173</v>
      </c>
      <c r="AA30" s="16">
        <v>21</v>
      </c>
      <c r="AB30" s="16">
        <v>41</v>
      </c>
      <c r="AC30" s="16">
        <v>27</v>
      </c>
      <c r="AD30" s="16">
        <v>3733</v>
      </c>
      <c r="AE30" s="16">
        <v>4787</v>
      </c>
      <c r="AF30" s="16">
        <v>146</v>
      </c>
      <c r="AG30" s="16">
        <v>623</v>
      </c>
      <c r="AH30" s="16">
        <v>686</v>
      </c>
      <c r="AI30" s="16">
        <v>0</v>
      </c>
      <c r="AJ30" s="16">
        <v>0</v>
      </c>
      <c r="AK30" s="98">
        <v>336</v>
      </c>
      <c r="AL30" s="16">
        <v>71</v>
      </c>
      <c r="AM30" s="16">
        <v>0</v>
      </c>
      <c r="AN30" s="16">
        <v>747</v>
      </c>
      <c r="AO30" s="16">
        <v>0</v>
      </c>
      <c r="AP30" s="16">
        <v>0</v>
      </c>
      <c r="AQ30" s="16">
        <v>75</v>
      </c>
      <c r="AR30" s="16">
        <v>66</v>
      </c>
      <c r="AS30" s="16">
        <v>10</v>
      </c>
      <c r="AT30" s="16">
        <v>279</v>
      </c>
      <c r="AU30" s="16">
        <v>519</v>
      </c>
      <c r="AV30" s="16">
        <v>185</v>
      </c>
      <c r="AW30" s="16">
        <v>0</v>
      </c>
      <c r="AX30" s="16">
        <v>391</v>
      </c>
      <c r="AY30" s="16">
        <v>8</v>
      </c>
      <c r="AZ30" s="16">
        <v>0</v>
      </c>
      <c r="BA30" s="16">
        <v>0</v>
      </c>
      <c r="BB30" s="16">
        <v>8</v>
      </c>
      <c r="BC30" s="16">
        <v>0</v>
      </c>
      <c r="BD30" s="16">
        <v>111</v>
      </c>
      <c r="BE30" s="16">
        <v>48</v>
      </c>
      <c r="BF30" s="16">
        <v>134</v>
      </c>
      <c r="BG30" s="16">
        <v>244</v>
      </c>
      <c r="BH30" s="16">
        <v>364</v>
      </c>
      <c r="BI30" s="16">
        <v>207</v>
      </c>
      <c r="BJ30" s="16">
        <v>262</v>
      </c>
      <c r="BK30" s="16">
        <v>176</v>
      </c>
      <c r="BL30" s="16">
        <v>555</v>
      </c>
      <c r="BM30" s="16">
        <v>123</v>
      </c>
      <c r="BN30" s="16">
        <v>0</v>
      </c>
      <c r="BO30" s="16">
        <v>1058</v>
      </c>
    </row>
    <row r="31" spans="1:67" s="5" customFormat="1" ht="21.9" customHeight="1" x14ac:dyDescent="0.25">
      <c r="A31" s="125"/>
      <c r="B31" s="4"/>
      <c r="C31" s="47" t="s">
        <v>76</v>
      </c>
      <c r="D31" s="48"/>
      <c r="E31" s="16">
        <v>246</v>
      </c>
      <c r="F31" s="26">
        <v>1</v>
      </c>
      <c r="G31" s="26">
        <v>0</v>
      </c>
      <c r="H31" s="26">
        <v>0</v>
      </c>
      <c r="I31" s="26">
        <v>1</v>
      </c>
      <c r="J31" s="26">
        <v>0</v>
      </c>
      <c r="K31" s="26">
        <v>12</v>
      </c>
      <c r="L31" s="26">
        <v>0</v>
      </c>
      <c r="M31" s="26">
        <v>0</v>
      </c>
      <c r="N31" s="26">
        <v>0</v>
      </c>
      <c r="O31" s="26">
        <v>0</v>
      </c>
      <c r="P31" s="26">
        <v>0</v>
      </c>
      <c r="Q31" s="26">
        <v>2</v>
      </c>
      <c r="R31" s="26">
        <v>2</v>
      </c>
      <c r="S31" s="26">
        <v>0</v>
      </c>
      <c r="T31" s="16">
        <v>7</v>
      </c>
      <c r="U31" s="16">
        <v>22</v>
      </c>
      <c r="V31" s="16">
        <v>1</v>
      </c>
      <c r="W31" s="16">
        <v>4</v>
      </c>
      <c r="X31" s="16">
        <v>0</v>
      </c>
      <c r="Y31" s="16">
        <v>4</v>
      </c>
      <c r="Z31" s="16">
        <v>1</v>
      </c>
      <c r="AA31" s="16">
        <v>0</v>
      </c>
      <c r="AB31" s="16">
        <v>4</v>
      </c>
      <c r="AC31" s="16">
        <v>0</v>
      </c>
      <c r="AD31" s="16">
        <v>4</v>
      </c>
      <c r="AE31" s="16">
        <v>0</v>
      </c>
      <c r="AF31" s="16">
        <v>1</v>
      </c>
      <c r="AG31" s="16">
        <v>34</v>
      </c>
      <c r="AH31" s="16">
        <v>8</v>
      </c>
      <c r="AI31" s="16">
        <v>0</v>
      </c>
      <c r="AJ31" s="16">
        <v>0</v>
      </c>
      <c r="AK31" s="98">
        <v>11</v>
      </c>
      <c r="AL31" s="16">
        <v>0</v>
      </c>
      <c r="AM31" s="16">
        <v>0</v>
      </c>
      <c r="AN31" s="16">
        <v>53</v>
      </c>
      <c r="AO31" s="26">
        <v>0</v>
      </c>
      <c r="AP31" s="26">
        <v>0</v>
      </c>
      <c r="AQ31" s="26">
        <v>2</v>
      </c>
      <c r="AR31" s="26">
        <v>0</v>
      </c>
      <c r="AS31" s="26">
        <v>0</v>
      </c>
      <c r="AT31" s="26">
        <v>1</v>
      </c>
      <c r="AU31" s="26">
        <v>19</v>
      </c>
      <c r="AV31" s="26">
        <v>1</v>
      </c>
      <c r="AW31" s="26">
        <v>0</v>
      </c>
      <c r="AX31" s="26">
        <v>0</v>
      </c>
      <c r="AY31" s="16">
        <v>0</v>
      </c>
      <c r="AZ31" s="16">
        <v>0</v>
      </c>
      <c r="BA31" s="16">
        <v>0</v>
      </c>
      <c r="BB31" s="16">
        <v>0</v>
      </c>
      <c r="BC31" s="16">
        <v>0</v>
      </c>
      <c r="BD31" s="16">
        <v>1</v>
      </c>
      <c r="BE31" s="16">
        <v>0</v>
      </c>
      <c r="BF31" s="16">
        <v>6</v>
      </c>
      <c r="BG31" s="16">
        <v>7</v>
      </c>
      <c r="BH31" s="16">
        <v>0</v>
      </c>
      <c r="BI31" s="16">
        <v>0</v>
      </c>
      <c r="BJ31" s="16">
        <v>2</v>
      </c>
      <c r="BK31" s="16">
        <v>0</v>
      </c>
      <c r="BL31" s="16">
        <v>0</v>
      </c>
      <c r="BM31" s="16">
        <v>0</v>
      </c>
      <c r="BN31" s="16">
        <v>0</v>
      </c>
      <c r="BO31" s="16">
        <v>35</v>
      </c>
    </row>
    <row r="32" spans="1:67" s="5" customFormat="1" ht="21.9" customHeight="1" x14ac:dyDescent="0.25">
      <c r="A32" s="125" t="s">
        <v>84</v>
      </c>
      <c r="B32" s="4"/>
      <c r="C32" s="47" t="s">
        <v>75</v>
      </c>
      <c r="D32" s="48"/>
      <c r="E32" s="16">
        <v>19422</v>
      </c>
      <c r="F32" s="16">
        <v>670</v>
      </c>
      <c r="G32" s="16">
        <v>229</v>
      </c>
      <c r="H32" s="16">
        <v>92</v>
      </c>
      <c r="I32" s="16">
        <v>155</v>
      </c>
      <c r="J32" s="16">
        <v>24</v>
      </c>
      <c r="K32" s="16">
        <v>147</v>
      </c>
      <c r="L32" s="16">
        <v>207</v>
      </c>
      <c r="M32" s="16">
        <v>36</v>
      </c>
      <c r="N32" s="16">
        <v>11</v>
      </c>
      <c r="O32" s="16">
        <v>53</v>
      </c>
      <c r="P32" s="16">
        <v>0</v>
      </c>
      <c r="Q32" s="16">
        <v>94</v>
      </c>
      <c r="R32" s="16">
        <v>253</v>
      </c>
      <c r="S32" s="16">
        <v>74</v>
      </c>
      <c r="T32" s="16">
        <v>221</v>
      </c>
      <c r="U32" s="16">
        <v>470</v>
      </c>
      <c r="V32" s="16">
        <v>54</v>
      </c>
      <c r="W32" s="16">
        <v>239</v>
      </c>
      <c r="X32" s="16">
        <v>140</v>
      </c>
      <c r="Y32" s="16">
        <v>165</v>
      </c>
      <c r="Z32" s="16">
        <v>308</v>
      </c>
      <c r="AA32" s="16">
        <v>59</v>
      </c>
      <c r="AB32" s="16">
        <v>61</v>
      </c>
      <c r="AC32" s="16">
        <v>122</v>
      </c>
      <c r="AD32" s="16">
        <v>1680</v>
      </c>
      <c r="AE32" s="16">
        <v>924</v>
      </c>
      <c r="AF32" s="16">
        <v>128</v>
      </c>
      <c r="AG32" s="16">
        <v>310</v>
      </c>
      <c r="AH32" s="16">
        <v>37</v>
      </c>
      <c r="AI32" s="16">
        <v>109</v>
      </c>
      <c r="AJ32" s="16">
        <v>2</v>
      </c>
      <c r="AK32" s="98">
        <v>82</v>
      </c>
      <c r="AL32" s="16">
        <v>88</v>
      </c>
      <c r="AM32" s="16">
        <v>3</v>
      </c>
      <c r="AN32" s="16">
        <v>340</v>
      </c>
      <c r="AO32" s="16">
        <v>21</v>
      </c>
      <c r="AP32" s="16">
        <v>30</v>
      </c>
      <c r="AQ32" s="16">
        <v>122</v>
      </c>
      <c r="AR32" s="16">
        <v>14</v>
      </c>
      <c r="AS32" s="16">
        <v>73</v>
      </c>
      <c r="AT32" s="16">
        <v>693</v>
      </c>
      <c r="AU32" s="16">
        <v>2709</v>
      </c>
      <c r="AV32" s="16">
        <v>569</v>
      </c>
      <c r="AW32" s="16">
        <v>61</v>
      </c>
      <c r="AX32" s="16">
        <v>731</v>
      </c>
      <c r="AY32" s="16">
        <v>108</v>
      </c>
      <c r="AZ32" s="16">
        <v>34</v>
      </c>
      <c r="BA32" s="16">
        <v>84</v>
      </c>
      <c r="BB32" s="16">
        <v>5</v>
      </c>
      <c r="BC32" s="16">
        <v>0</v>
      </c>
      <c r="BD32" s="16">
        <v>739</v>
      </c>
      <c r="BE32" s="16">
        <v>804</v>
      </c>
      <c r="BF32" s="16">
        <v>984</v>
      </c>
      <c r="BG32" s="16">
        <v>410</v>
      </c>
      <c r="BH32" s="16">
        <v>1382</v>
      </c>
      <c r="BI32" s="16">
        <v>109</v>
      </c>
      <c r="BJ32" s="16">
        <v>198</v>
      </c>
      <c r="BK32" s="16">
        <v>491</v>
      </c>
      <c r="BL32" s="16">
        <v>996</v>
      </c>
      <c r="BM32" s="16">
        <v>36</v>
      </c>
      <c r="BN32" s="16">
        <v>237</v>
      </c>
      <c r="BO32" s="16">
        <v>195</v>
      </c>
    </row>
    <row r="33" spans="1:67" s="5" customFormat="1" ht="21.9" customHeight="1" x14ac:dyDescent="0.25">
      <c r="A33" s="125"/>
      <c r="B33" s="4"/>
      <c r="C33" s="47" t="s">
        <v>76</v>
      </c>
      <c r="D33" s="48"/>
      <c r="E33" s="16">
        <v>488</v>
      </c>
      <c r="F33" s="26">
        <v>0</v>
      </c>
      <c r="G33" s="26">
        <v>0</v>
      </c>
      <c r="H33" s="26">
        <v>0</v>
      </c>
      <c r="I33" s="26">
        <v>0</v>
      </c>
      <c r="J33" s="26">
        <v>0</v>
      </c>
      <c r="K33" s="26">
        <v>0</v>
      </c>
      <c r="L33" s="26">
        <v>0</v>
      </c>
      <c r="M33" s="26">
        <v>0</v>
      </c>
      <c r="N33" s="26">
        <v>0</v>
      </c>
      <c r="O33" s="26">
        <v>0</v>
      </c>
      <c r="P33" s="26">
        <v>0</v>
      </c>
      <c r="Q33" s="26">
        <v>0</v>
      </c>
      <c r="R33" s="26">
        <v>1</v>
      </c>
      <c r="S33" s="26">
        <v>0</v>
      </c>
      <c r="T33" s="16">
        <v>0</v>
      </c>
      <c r="U33" s="16">
        <v>40</v>
      </c>
      <c r="V33" s="16">
        <v>1</v>
      </c>
      <c r="W33" s="16">
        <v>19</v>
      </c>
      <c r="X33" s="16">
        <v>0</v>
      </c>
      <c r="Y33" s="16">
        <v>0</v>
      </c>
      <c r="Z33" s="16">
        <v>8</v>
      </c>
      <c r="AA33" s="16">
        <v>0</v>
      </c>
      <c r="AB33" s="16">
        <v>1</v>
      </c>
      <c r="AC33" s="16">
        <v>0</v>
      </c>
      <c r="AD33" s="16">
        <v>2</v>
      </c>
      <c r="AE33" s="16">
        <v>0</v>
      </c>
      <c r="AF33" s="16">
        <v>0</v>
      </c>
      <c r="AG33" s="16">
        <v>12</v>
      </c>
      <c r="AH33" s="16">
        <v>0</v>
      </c>
      <c r="AI33" s="16">
        <v>0</v>
      </c>
      <c r="AJ33" s="16">
        <v>0</v>
      </c>
      <c r="AK33" s="98">
        <v>8</v>
      </c>
      <c r="AL33" s="16">
        <v>0</v>
      </c>
      <c r="AM33" s="16">
        <v>0</v>
      </c>
      <c r="AN33" s="16">
        <v>5</v>
      </c>
      <c r="AO33" s="26">
        <v>0</v>
      </c>
      <c r="AP33" s="26">
        <v>0</v>
      </c>
      <c r="AQ33" s="26">
        <v>2</v>
      </c>
      <c r="AR33" s="26">
        <v>0</v>
      </c>
      <c r="AS33" s="26">
        <v>0</v>
      </c>
      <c r="AT33" s="26">
        <v>0</v>
      </c>
      <c r="AU33" s="26">
        <v>1</v>
      </c>
      <c r="AV33" s="26">
        <v>3</v>
      </c>
      <c r="AW33" s="26">
        <v>0</v>
      </c>
      <c r="AX33" s="26">
        <v>0</v>
      </c>
      <c r="AY33" s="16">
        <v>0</v>
      </c>
      <c r="AZ33" s="16">
        <v>0</v>
      </c>
      <c r="BA33" s="16">
        <v>0</v>
      </c>
      <c r="BB33" s="16">
        <v>0</v>
      </c>
      <c r="BC33" s="16">
        <v>0</v>
      </c>
      <c r="BD33" s="16">
        <v>0</v>
      </c>
      <c r="BE33" s="16">
        <v>3</v>
      </c>
      <c r="BF33" s="16">
        <v>1</v>
      </c>
      <c r="BG33" s="16">
        <v>332</v>
      </c>
      <c r="BH33" s="16">
        <v>2</v>
      </c>
      <c r="BI33" s="16">
        <v>0</v>
      </c>
      <c r="BJ33" s="16">
        <v>8</v>
      </c>
      <c r="BK33" s="16">
        <v>5</v>
      </c>
      <c r="BL33" s="16">
        <v>0</v>
      </c>
      <c r="BM33" s="16">
        <v>0</v>
      </c>
      <c r="BN33" s="16">
        <v>0</v>
      </c>
      <c r="BO33" s="16">
        <v>34</v>
      </c>
    </row>
    <row r="34" spans="1:67" s="5" customFormat="1" ht="21.9" customHeight="1" x14ac:dyDescent="0.25">
      <c r="A34" s="125" t="s">
        <v>85</v>
      </c>
      <c r="C34" s="47" t="s">
        <v>75</v>
      </c>
      <c r="D34" s="48"/>
      <c r="E34" s="16">
        <v>33599</v>
      </c>
      <c r="F34" s="16">
        <v>175</v>
      </c>
      <c r="G34" s="16">
        <v>117</v>
      </c>
      <c r="H34" s="16">
        <v>24</v>
      </c>
      <c r="I34" s="16">
        <v>347</v>
      </c>
      <c r="J34" s="16">
        <v>5</v>
      </c>
      <c r="K34" s="16">
        <v>358</v>
      </c>
      <c r="L34" s="16">
        <v>207</v>
      </c>
      <c r="M34" s="16">
        <v>31</v>
      </c>
      <c r="N34" s="16">
        <v>20</v>
      </c>
      <c r="O34" s="16">
        <v>16</v>
      </c>
      <c r="P34" s="16">
        <v>0</v>
      </c>
      <c r="Q34" s="16">
        <v>110</v>
      </c>
      <c r="R34" s="16">
        <v>106</v>
      </c>
      <c r="S34" s="16">
        <v>155</v>
      </c>
      <c r="T34" s="16">
        <v>238</v>
      </c>
      <c r="U34" s="16">
        <v>606</v>
      </c>
      <c r="V34" s="16">
        <v>78</v>
      </c>
      <c r="W34" s="16">
        <v>1808</v>
      </c>
      <c r="X34" s="16">
        <v>70</v>
      </c>
      <c r="Y34" s="16">
        <v>533</v>
      </c>
      <c r="Z34" s="16">
        <v>1933</v>
      </c>
      <c r="AA34" s="16">
        <v>194</v>
      </c>
      <c r="AB34" s="16">
        <v>431</v>
      </c>
      <c r="AC34" s="16">
        <v>48</v>
      </c>
      <c r="AD34" s="16">
        <v>5043</v>
      </c>
      <c r="AE34" s="16">
        <v>900</v>
      </c>
      <c r="AF34" s="16">
        <v>254</v>
      </c>
      <c r="AG34" s="16">
        <v>1172</v>
      </c>
      <c r="AH34" s="16">
        <v>125</v>
      </c>
      <c r="AI34" s="16">
        <v>132</v>
      </c>
      <c r="AJ34" s="16">
        <v>5</v>
      </c>
      <c r="AK34" s="98">
        <v>304</v>
      </c>
      <c r="AL34" s="16">
        <v>276</v>
      </c>
      <c r="AM34" s="16">
        <v>28</v>
      </c>
      <c r="AN34" s="16">
        <v>909</v>
      </c>
      <c r="AO34" s="16">
        <v>3</v>
      </c>
      <c r="AP34" s="16">
        <v>7</v>
      </c>
      <c r="AQ34" s="16">
        <v>16</v>
      </c>
      <c r="AR34" s="16">
        <v>61</v>
      </c>
      <c r="AS34" s="16">
        <v>14</v>
      </c>
      <c r="AT34" s="16">
        <v>1086</v>
      </c>
      <c r="AU34" s="16">
        <v>6478</v>
      </c>
      <c r="AV34" s="16">
        <v>459</v>
      </c>
      <c r="AW34" s="16">
        <v>1</v>
      </c>
      <c r="AX34" s="16">
        <v>110</v>
      </c>
      <c r="AY34" s="16">
        <v>5</v>
      </c>
      <c r="AZ34" s="16">
        <v>3</v>
      </c>
      <c r="BA34" s="16">
        <v>0</v>
      </c>
      <c r="BB34" s="16">
        <v>0</v>
      </c>
      <c r="BC34" s="16">
        <v>1</v>
      </c>
      <c r="BD34" s="16">
        <v>80</v>
      </c>
      <c r="BE34" s="16">
        <v>96</v>
      </c>
      <c r="BF34" s="16">
        <v>65</v>
      </c>
      <c r="BG34" s="16">
        <v>612</v>
      </c>
      <c r="BH34" s="16">
        <v>380</v>
      </c>
      <c r="BI34" s="16">
        <v>207</v>
      </c>
      <c r="BJ34" s="16">
        <v>339</v>
      </c>
      <c r="BK34" s="16">
        <v>137</v>
      </c>
      <c r="BL34" s="16">
        <v>452</v>
      </c>
      <c r="BM34" s="16">
        <v>141</v>
      </c>
      <c r="BN34" s="16">
        <v>24</v>
      </c>
      <c r="BO34" s="16">
        <v>6064</v>
      </c>
    </row>
    <row r="35" spans="1:67" s="5" customFormat="1" ht="21.9" customHeight="1" x14ac:dyDescent="0.25">
      <c r="A35" s="125"/>
      <c r="C35" s="47" t="s">
        <v>76</v>
      </c>
      <c r="D35" s="48"/>
      <c r="E35" s="16">
        <v>168</v>
      </c>
      <c r="F35" s="26">
        <v>0</v>
      </c>
      <c r="G35" s="26">
        <v>0</v>
      </c>
      <c r="H35" s="26">
        <v>0</v>
      </c>
      <c r="I35" s="26">
        <v>1</v>
      </c>
      <c r="J35" s="26">
        <v>0</v>
      </c>
      <c r="K35" s="26">
        <v>1</v>
      </c>
      <c r="L35" s="26">
        <v>2</v>
      </c>
      <c r="M35" s="26">
        <v>0</v>
      </c>
      <c r="N35" s="26">
        <v>0</v>
      </c>
      <c r="O35" s="26">
        <v>0</v>
      </c>
      <c r="P35" s="26">
        <v>0</v>
      </c>
      <c r="Q35" s="26">
        <v>1</v>
      </c>
      <c r="R35" s="26">
        <v>1</v>
      </c>
      <c r="S35" s="26">
        <v>1</v>
      </c>
      <c r="T35" s="16">
        <v>6</v>
      </c>
      <c r="U35" s="16">
        <v>4</v>
      </c>
      <c r="V35" s="16">
        <v>0</v>
      </c>
      <c r="W35" s="16">
        <v>0</v>
      </c>
      <c r="X35" s="16">
        <v>1</v>
      </c>
      <c r="Y35" s="16">
        <v>6</v>
      </c>
      <c r="Z35" s="16">
        <v>0</v>
      </c>
      <c r="AA35" s="16">
        <v>2</v>
      </c>
      <c r="AB35" s="16">
        <v>4</v>
      </c>
      <c r="AC35" s="16">
        <v>2</v>
      </c>
      <c r="AD35" s="16">
        <v>13</v>
      </c>
      <c r="AE35" s="16">
        <v>10</v>
      </c>
      <c r="AF35" s="16">
        <v>1</v>
      </c>
      <c r="AG35" s="16">
        <v>18</v>
      </c>
      <c r="AH35" s="16">
        <v>7</v>
      </c>
      <c r="AI35" s="16">
        <v>3</v>
      </c>
      <c r="AJ35" s="16">
        <v>0</v>
      </c>
      <c r="AK35" s="98">
        <v>14</v>
      </c>
      <c r="AL35" s="16">
        <v>0</v>
      </c>
      <c r="AM35" s="16">
        <v>0</v>
      </c>
      <c r="AN35" s="16">
        <v>8</v>
      </c>
      <c r="AO35" s="26">
        <v>0</v>
      </c>
      <c r="AP35" s="26">
        <v>0</v>
      </c>
      <c r="AQ35" s="26">
        <v>0</v>
      </c>
      <c r="AR35" s="26">
        <v>3</v>
      </c>
      <c r="AS35" s="26">
        <v>0</v>
      </c>
      <c r="AT35" s="26">
        <v>0</v>
      </c>
      <c r="AU35" s="26">
        <v>4</v>
      </c>
      <c r="AV35" s="26">
        <v>1</v>
      </c>
      <c r="AW35" s="26">
        <v>1</v>
      </c>
      <c r="AX35" s="26">
        <v>0</v>
      </c>
      <c r="AY35" s="16">
        <v>2</v>
      </c>
      <c r="AZ35" s="16">
        <v>0</v>
      </c>
      <c r="BA35" s="16">
        <v>0</v>
      </c>
      <c r="BB35" s="16">
        <v>0</v>
      </c>
      <c r="BC35" s="16">
        <v>0</v>
      </c>
      <c r="BD35" s="16">
        <v>1</v>
      </c>
      <c r="BE35" s="16">
        <v>1</v>
      </c>
      <c r="BF35" s="16">
        <v>5</v>
      </c>
      <c r="BG35" s="16">
        <v>11</v>
      </c>
      <c r="BH35" s="16">
        <v>25</v>
      </c>
      <c r="BI35" s="16">
        <v>0</v>
      </c>
      <c r="BJ35" s="16">
        <v>1</v>
      </c>
      <c r="BK35" s="16">
        <v>1</v>
      </c>
      <c r="BL35" s="16">
        <v>0</v>
      </c>
      <c r="BM35" s="16">
        <v>0</v>
      </c>
      <c r="BN35" s="16">
        <v>0</v>
      </c>
      <c r="BO35" s="16">
        <v>6</v>
      </c>
    </row>
    <row r="36" spans="1:67" s="5" customFormat="1" ht="21.9" customHeight="1" x14ac:dyDescent="0.25">
      <c r="A36" s="125" t="s">
        <v>251</v>
      </c>
      <c r="B36" s="4"/>
      <c r="C36" s="47" t="s">
        <v>75</v>
      </c>
      <c r="D36" s="48"/>
      <c r="E36" s="16">
        <v>15727</v>
      </c>
      <c r="F36" s="16">
        <v>414</v>
      </c>
      <c r="G36" s="16">
        <v>237</v>
      </c>
      <c r="H36" s="16">
        <v>151</v>
      </c>
      <c r="I36" s="16">
        <v>81</v>
      </c>
      <c r="J36" s="16">
        <v>5</v>
      </c>
      <c r="K36" s="16">
        <v>146</v>
      </c>
      <c r="L36" s="16">
        <v>139</v>
      </c>
      <c r="M36" s="16">
        <v>30</v>
      </c>
      <c r="N36" s="16">
        <v>11</v>
      </c>
      <c r="O36" s="16">
        <v>28</v>
      </c>
      <c r="P36" s="16">
        <v>0</v>
      </c>
      <c r="Q36" s="16">
        <v>28</v>
      </c>
      <c r="R36" s="16">
        <v>74</v>
      </c>
      <c r="S36" s="16">
        <v>132</v>
      </c>
      <c r="T36" s="16">
        <v>182</v>
      </c>
      <c r="U36" s="16">
        <v>233</v>
      </c>
      <c r="V36" s="16">
        <v>83</v>
      </c>
      <c r="W36" s="16">
        <v>62</v>
      </c>
      <c r="X36" s="16">
        <v>16</v>
      </c>
      <c r="Y36" s="16">
        <v>555</v>
      </c>
      <c r="Z36" s="16">
        <v>198</v>
      </c>
      <c r="AA36" s="16">
        <v>231</v>
      </c>
      <c r="AB36" s="16">
        <v>66</v>
      </c>
      <c r="AC36" s="16">
        <v>55</v>
      </c>
      <c r="AD36" s="16">
        <v>2698</v>
      </c>
      <c r="AE36" s="16">
        <v>872</v>
      </c>
      <c r="AF36" s="16">
        <v>197</v>
      </c>
      <c r="AG36" s="16">
        <v>245</v>
      </c>
      <c r="AH36" s="16">
        <v>92</v>
      </c>
      <c r="AI36" s="16">
        <v>145</v>
      </c>
      <c r="AJ36" s="16">
        <v>3</v>
      </c>
      <c r="AK36" s="98">
        <v>65</v>
      </c>
      <c r="AL36" s="16">
        <v>363</v>
      </c>
      <c r="AM36" s="16">
        <v>5</v>
      </c>
      <c r="AN36" s="16">
        <v>168</v>
      </c>
      <c r="AO36" s="16">
        <v>5</v>
      </c>
      <c r="AP36" s="16">
        <v>0</v>
      </c>
      <c r="AQ36" s="16">
        <v>12</v>
      </c>
      <c r="AR36" s="16">
        <v>15</v>
      </c>
      <c r="AS36" s="16">
        <v>80</v>
      </c>
      <c r="AT36" s="16">
        <v>405</v>
      </c>
      <c r="AU36" s="16">
        <v>2605</v>
      </c>
      <c r="AV36" s="16">
        <v>663</v>
      </c>
      <c r="AW36" s="16">
        <v>7</v>
      </c>
      <c r="AX36" s="16">
        <v>471</v>
      </c>
      <c r="AY36" s="16">
        <v>54</v>
      </c>
      <c r="AZ36" s="16">
        <v>0</v>
      </c>
      <c r="BA36" s="16">
        <v>0</v>
      </c>
      <c r="BB36" s="26">
        <v>0</v>
      </c>
      <c r="BC36" s="16">
        <v>39</v>
      </c>
      <c r="BD36" s="16">
        <v>292</v>
      </c>
      <c r="BE36" s="16">
        <v>169</v>
      </c>
      <c r="BF36" s="16">
        <v>176</v>
      </c>
      <c r="BG36" s="16">
        <v>526</v>
      </c>
      <c r="BH36" s="16">
        <v>670</v>
      </c>
      <c r="BI36" s="16">
        <v>377</v>
      </c>
      <c r="BJ36" s="16">
        <v>180</v>
      </c>
      <c r="BK36" s="16">
        <v>69</v>
      </c>
      <c r="BL36" s="16">
        <v>299</v>
      </c>
      <c r="BM36" s="16">
        <v>111</v>
      </c>
      <c r="BN36" s="16">
        <v>64</v>
      </c>
      <c r="BO36" s="16">
        <v>428</v>
      </c>
    </row>
    <row r="37" spans="1:67" s="5" customFormat="1" ht="21.9" customHeight="1" x14ac:dyDescent="0.25">
      <c r="A37" s="125"/>
      <c r="B37" s="4"/>
      <c r="C37" s="47" t="s">
        <v>76</v>
      </c>
      <c r="D37" s="48"/>
      <c r="E37" s="16">
        <v>169</v>
      </c>
      <c r="F37" s="26">
        <v>0</v>
      </c>
      <c r="G37" s="26">
        <v>4</v>
      </c>
      <c r="H37" s="26">
        <v>1</v>
      </c>
      <c r="I37" s="26">
        <v>1</v>
      </c>
      <c r="J37" s="26">
        <v>0</v>
      </c>
      <c r="K37" s="26">
        <v>1</v>
      </c>
      <c r="L37" s="26">
        <v>1</v>
      </c>
      <c r="M37" s="26">
        <v>0</v>
      </c>
      <c r="N37" s="26">
        <v>0</v>
      </c>
      <c r="O37" s="26">
        <v>0</v>
      </c>
      <c r="P37" s="26">
        <v>0</v>
      </c>
      <c r="Q37" s="26">
        <v>0</v>
      </c>
      <c r="R37" s="26">
        <v>3</v>
      </c>
      <c r="S37" s="26">
        <v>0</v>
      </c>
      <c r="T37" s="16">
        <v>7</v>
      </c>
      <c r="U37" s="16">
        <v>5</v>
      </c>
      <c r="V37" s="16">
        <v>1</v>
      </c>
      <c r="W37" s="16">
        <v>0</v>
      </c>
      <c r="X37" s="16">
        <v>0</v>
      </c>
      <c r="Y37" s="16">
        <v>4</v>
      </c>
      <c r="Z37" s="16">
        <v>0</v>
      </c>
      <c r="AA37" s="16">
        <v>0</v>
      </c>
      <c r="AB37" s="16">
        <v>4</v>
      </c>
      <c r="AC37" s="16">
        <v>2</v>
      </c>
      <c r="AD37" s="16">
        <v>14</v>
      </c>
      <c r="AE37" s="16">
        <v>8</v>
      </c>
      <c r="AF37" s="16">
        <v>2</v>
      </c>
      <c r="AG37" s="16">
        <v>17</v>
      </c>
      <c r="AH37" s="16">
        <v>0</v>
      </c>
      <c r="AI37" s="16">
        <v>4</v>
      </c>
      <c r="AJ37" s="16">
        <v>0</v>
      </c>
      <c r="AK37" s="98">
        <v>3</v>
      </c>
      <c r="AL37" s="16">
        <v>0</v>
      </c>
      <c r="AM37" s="16">
        <v>1</v>
      </c>
      <c r="AN37" s="16">
        <v>9</v>
      </c>
      <c r="AO37" s="26">
        <v>0</v>
      </c>
      <c r="AP37" s="26">
        <v>0</v>
      </c>
      <c r="AQ37" s="26">
        <v>5</v>
      </c>
      <c r="AR37" s="26">
        <v>0</v>
      </c>
      <c r="AS37" s="26">
        <v>0</v>
      </c>
      <c r="AT37" s="26">
        <v>0</v>
      </c>
      <c r="AU37" s="16">
        <v>1</v>
      </c>
      <c r="AV37" s="26">
        <v>3</v>
      </c>
      <c r="AW37" s="26">
        <v>0</v>
      </c>
      <c r="AX37" s="16">
        <v>2</v>
      </c>
      <c r="AY37" s="16">
        <v>0</v>
      </c>
      <c r="AZ37" s="26">
        <v>0</v>
      </c>
      <c r="BA37" s="26">
        <v>0</v>
      </c>
      <c r="BB37" s="26">
        <v>0</v>
      </c>
      <c r="BC37" s="26">
        <v>0</v>
      </c>
      <c r="BD37" s="16">
        <v>2</v>
      </c>
      <c r="BE37" s="16">
        <v>2</v>
      </c>
      <c r="BF37" s="16">
        <v>4</v>
      </c>
      <c r="BG37" s="16">
        <v>9</v>
      </c>
      <c r="BH37" s="26">
        <v>14</v>
      </c>
      <c r="BI37" s="26">
        <v>0</v>
      </c>
      <c r="BJ37" s="26">
        <v>0</v>
      </c>
      <c r="BK37" s="26">
        <v>0</v>
      </c>
      <c r="BL37" s="26">
        <v>0</v>
      </c>
      <c r="BM37" s="26">
        <v>0</v>
      </c>
      <c r="BN37" s="26">
        <v>0</v>
      </c>
      <c r="BO37" s="16">
        <v>35</v>
      </c>
    </row>
    <row r="38" spans="1:67" s="5" customFormat="1" ht="21.9" customHeight="1" x14ac:dyDescent="0.25">
      <c r="A38" s="125" t="s">
        <v>87</v>
      </c>
      <c r="B38" s="4"/>
      <c r="C38" s="47" t="s">
        <v>75</v>
      </c>
      <c r="D38" s="48"/>
      <c r="E38" s="16">
        <v>26465</v>
      </c>
      <c r="F38" s="16">
        <v>462</v>
      </c>
      <c r="G38" s="16">
        <v>486</v>
      </c>
      <c r="H38" s="16">
        <v>2</v>
      </c>
      <c r="I38" s="16">
        <v>87</v>
      </c>
      <c r="J38" s="16">
        <v>6</v>
      </c>
      <c r="K38" s="16">
        <v>1419</v>
      </c>
      <c r="L38" s="16">
        <v>386</v>
      </c>
      <c r="M38" s="16">
        <v>116</v>
      </c>
      <c r="N38" s="16">
        <v>125</v>
      </c>
      <c r="O38" s="16">
        <v>38</v>
      </c>
      <c r="P38" s="16">
        <v>0</v>
      </c>
      <c r="Q38" s="16">
        <v>136</v>
      </c>
      <c r="R38" s="16">
        <v>380</v>
      </c>
      <c r="S38" s="16">
        <v>230</v>
      </c>
      <c r="T38" s="16">
        <v>254</v>
      </c>
      <c r="U38" s="16">
        <v>914</v>
      </c>
      <c r="V38" s="16">
        <v>262</v>
      </c>
      <c r="W38" s="16">
        <v>163</v>
      </c>
      <c r="X38" s="16">
        <v>55</v>
      </c>
      <c r="Y38" s="16">
        <v>1340</v>
      </c>
      <c r="Z38" s="16">
        <v>149</v>
      </c>
      <c r="AA38" s="16">
        <v>229</v>
      </c>
      <c r="AB38" s="16">
        <v>247</v>
      </c>
      <c r="AC38" s="16">
        <v>42</v>
      </c>
      <c r="AD38" s="16">
        <v>5273</v>
      </c>
      <c r="AE38" s="16">
        <v>1300</v>
      </c>
      <c r="AF38" s="16">
        <v>694</v>
      </c>
      <c r="AG38" s="16">
        <v>845</v>
      </c>
      <c r="AH38" s="16">
        <v>186</v>
      </c>
      <c r="AI38" s="16">
        <v>441</v>
      </c>
      <c r="AJ38" s="16">
        <v>29</v>
      </c>
      <c r="AK38" s="98">
        <v>84</v>
      </c>
      <c r="AL38" s="16">
        <v>39</v>
      </c>
      <c r="AM38" s="16">
        <v>44</v>
      </c>
      <c r="AN38" s="16">
        <v>557</v>
      </c>
      <c r="AO38" s="16">
        <v>0</v>
      </c>
      <c r="AP38" s="16">
        <v>0</v>
      </c>
      <c r="AQ38" s="16">
        <v>0</v>
      </c>
      <c r="AR38" s="16">
        <v>184</v>
      </c>
      <c r="AS38" s="16">
        <v>206</v>
      </c>
      <c r="AT38" s="16">
        <v>151</v>
      </c>
      <c r="AU38" s="16">
        <v>2788</v>
      </c>
      <c r="AV38" s="16">
        <v>190</v>
      </c>
      <c r="AW38" s="16">
        <v>43</v>
      </c>
      <c r="AX38" s="16">
        <v>1061</v>
      </c>
      <c r="AY38" s="16">
        <v>1</v>
      </c>
      <c r="AZ38" s="16">
        <v>1</v>
      </c>
      <c r="BA38" s="26">
        <v>10</v>
      </c>
      <c r="BB38" s="16">
        <v>14</v>
      </c>
      <c r="BC38" s="26">
        <v>0</v>
      </c>
      <c r="BD38" s="16">
        <v>104</v>
      </c>
      <c r="BE38" s="16">
        <v>254</v>
      </c>
      <c r="BF38" s="16">
        <v>230</v>
      </c>
      <c r="BG38" s="16">
        <v>245</v>
      </c>
      <c r="BH38" s="16">
        <v>635</v>
      </c>
      <c r="BI38" s="16">
        <v>307</v>
      </c>
      <c r="BJ38" s="16">
        <v>1077</v>
      </c>
      <c r="BK38" s="16">
        <v>974</v>
      </c>
      <c r="BL38" s="16">
        <v>509</v>
      </c>
      <c r="BM38" s="26">
        <v>16</v>
      </c>
      <c r="BN38" s="26">
        <v>0</v>
      </c>
      <c r="BO38" s="16">
        <v>445</v>
      </c>
    </row>
    <row r="39" spans="1:67" s="5" customFormat="1" ht="21.9" customHeight="1" x14ac:dyDescent="0.25">
      <c r="A39" s="125"/>
      <c r="B39" s="4"/>
      <c r="C39" s="47" t="s">
        <v>76</v>
      </c>
      <c r="D39" s="48"/>
      <c r="E39" s="16">
        <v>758</v>
      </c>
      <c r="F39" s="26">
        <v>0</v>
      </c>
      <c r="G39" s="26">
        <v>0</v>
      </c>
      <c r="H39" s="26">
        <v>0</v>
      </c>
      <c r="I39" s="26">
        <v>1</v>
      </c>
      <c r="J39" s="26">
        <v>0</v>
      </c>
      <c r="K39" s="26">
        <v>1</v>
      </c>
      <c r="L39" s="26">
        <v>3</v>
      </c>
      <c r="M39" s="26">
        <v>0</v>
      </c>
      <c r="N39" s="26">
        <v>0</v>
      </c>
      <c r="O39" s="26">
        <v>1</v>
      </c>
      <c r="P39" s="26">
        <v>0</v>
      </c>
      <c r="Q39" s="26">
        <v>3</v>
      </c>
      <c r="R39" s="26">
        <v>5</v>
      </c>
      <c r="S39" s="26">
        <v>1</v>
      </c>
      <c r="T39" s="16">
        <v>6</v>
      </c>
      <c r="U39" s="16">
        <v>38</v>
      </c>
      <c r="V39" s="16">
        <v>2</v>
      </c>
      <c r="W39" s="16">
        <v>1</v>
      </c>
      <c r="X39" s="16">
        <v>16</v>
      </c>
      <c r="Y39" s="16">
        <v>5</v>
      </c>
      <c r="Z39" s="16">
        <v>7</v>
      </c>
      <c r="AA39" s="16">
        <v>2</v>
      </c>
      <c r="AB39" s="16">
        <v>3</v>
      </c>
      <c r="AC39" s="16">
        <v>2</v>
      </c>
      <c r="AD39" s="16">
        <v>13</v>
      </c>
      <c r="AE39" s="16">
        <v>9</v>
      </c>
      <c r="AF39" s="16">
        <v>1</v>
      </c>
      <c r="AG39" s="16">
        <v>34</v>
      </c>
      <c r="AH39" s="16">
        <v>17</v>
      </c>
      <c r="AI39" s="16">
        <v>0</v>
      </c>
      <c r="AJ39" s="16">
        <v>0</v>
      </c>
      <c r="AK39" s="98">
        <v>1</v>
      </c>
      <c r="AL39" s="16">
        <v>0</v>
      </c>
      <c r="AM39" s="16">
        <v>0</v>
      </c>
      <c r="AN39" s="16">
        <v>9</v>
      </c>
      <c r="AO39" s="26">
        <v>0</v>
      </c>
      <c r="AP39" s="26">
        <v>0</v>
      </c>
      <c r="AQ39" s="26">
        <v>0</v>
      </c>
      <c r="AR39" s="16">
        <v>2</v>
      </c>
      <c r="AS39" s="16">
        <v>0</v>
      </c>
      <c r="AT39" s="26">
        <v>0</v>
      </c>
      <c r="AU39" s="16">
        <v>8</v>
      </c>
      <c r="AV39" s="26">
        <v>0</v>
      </c>
      <c r="AW39" s="26">
        <v>0</v>
      </c>
      <c r="AX39" s="16">
        <v>2</v>
      </c>
      <c r="AY39" s="16">
        <v>0</v>
      </c>
      <c r="AZ39" s="26">
        <v>0</v>
      </c>
      <c r="BA39" s="26">
        <v>0</v>
      </c>
      <c r="BB39" s="26">
        <v>0</v>
      </c>
      <c r="BC39" s="26">
        <v>0</v>
      </c>
      <c r="BD39" s="26">
        <v>1</v>
      </c>
      <c r="BE39" s="16">
        <v>6</v>
      </c>
      <c r="BF39" s="16">
        <v>9</v>
      </c>
      <c r="BG39" s="16">
        <v>176</v>
      </c>
      <c r="BH39" s="16">
        <v>339</v>
      </c>
      <c r="BI39" s="16">
        <v>17</v>
      </c>
      <c r="BJ39" s="26">
        <v>0</v>
      </c>
      <c r="BK39" s="16">
        <v>2</v>
      </c>
      <c r="BL39" s="16">
        <v>3</v>
      </c>
      <c r="BM39" s="26">
        <v>0</v>
      </c>
      <c r="BN39" s="26">
        <v>0</v>
      </c>
      <c r="BO39" s="26">
        <v>12</v>
      </c>
    </row>
    <row r="40" spans="1:67" s="5" customFormat="1" ht="21.9" customHeight="1" x14ac:dyDescent="0.25">
      <c r="A40" s="125" t="s">
        <v>252</v>
      </c>
      <c r="C40" s="47" t="s">
        <v>75</v>
      </c>
      <c r="D40" s="48"/>
      <c r="E40" s="16">
        <v>83696</v>
      </c>
      <c r="F40" s="16">
        <v>1010</v>
      </c>
      <c r="G40" s="16">
        <v>630</v>
      </c>
      <c r="H40" s="16">
        <v>145</v>
      </c>
      <c r="I40" s="16">
        <v>321</v>
      </c>
      <c r="J40" s="16">
        <v>41</v>
      </c>
      <c r="K40" s="16">
        <v>1310</v>
      </c>
      <c r="L40" s="16">
        <v>601</v>
      </c>
      <c r="M40" s="16">
        <v>303</v>
      </c>
      <c r="N40" s="16">
        <v>217</v>
      </c>
      <c r="O40" s="16">
        <v>41</v>
      </c>
      <c r="P40" s="16">
        <v>0</v>
      </c>
      <c r="Q40" s="16">
        <v>259</v>
      </c>
      <c r="R40" s="16">
        <v>358</v>
      </c>
      <c r="S40" s="16">
        <v>565</v>
      </c>
      <c r="T40" s="16">
        <v>377</v>
      </c>
      <c r="U40" s="16">
        <v>769</v>
      </c>
      <c r="V40" s="16">
        <v>133</v>
      </c>
      <c r="W40" s="16">
        <v>233</v>
      </c>
      <c r="X40" s="16">
        <v>60</v>
      </c>
      <c r="Y40" s="16">
        <v>1875</v>
      </c>
      <c r="Z40" s="16">
        <v>1116</v>
      </c>
      <c r="AA40" s="16">
        <v>376</v>
      </c>
      <c r="AB40" s="16">
        <v>88</v>
      </c>
      <c r="AC40" s="16">
        <v>145</v>
      </c>
      <c r="AD40" s="16">
        <v>5387</v>
      </c>
      <c r="AE40" s="16">
        <v>3151</v>
      </c>
      <c r="AF40" s="16">
        <v>297</v>
      </c>
      <c r="AG40" s="16">
        <v>940</v>
      </c>
      <c r="AH40" s="16">
        <v>150</v>
      </c>
      <c r="AI40" s="16">
        <v>409</v>
      </c>
      <c r="AJ40" s="16">
        <v>20</v>
      </c>
      <c r="AK40" s="98">
        <v>127</v>
      </c>
      <c r="AL40" s="16">
        <v>2876</v>
      </c>
      <c r="AM40" s="16">
        <v>15</v>
      </c>
      <c r="AN40" s="16">
        <v>228</v>
      </c>
      <c r="AO40" s="16">
        <v>0</v>
      </c>
      <c r="AP40" s="16">
        <v>0</v>
      </c>
      <c r="AQ40" s="16">
        <v>6</v>
      </c>
      <c r="AR40" s="16">
        <v>254</v>
      </c>
      <c r="AS40" s="16">
        <v>117</v>
      </c>
      <c r="AT40" s="16">
        <v>1331</v>
      </c>
      <c r="AU40" s="16">
        <v>38491</v>
      </c>
      <c r="AV40" s="16">
        <v>924</v>
      </c>
      <c r="AW40" s="16">
        <v>38</v>
      </c>
      <c r="AX40" s="16">
        <v>1331</v>
      </c>
      <c r="AY40" s="16">
        <v>70</v>
      </c>
      <c r="AZ40" s="16">
        <v>140</v>
      </c>
      <c r="BA40" s="16">
        <v>1</v>
      </c>
      <c r="BB40" s="16">
        <v>71</v>
      </c>
      <c r="BC40" s="16">
        <v>205</v>
      </c>
      <c r="BD40" s="16">
        <v>884</v>
      </c>
      <c r="BE40" s="16">
        <v>897</v>
      </c>
      <c r="BF40" s="16">
        <v>735</v>
      </c>
      <c r="BG40" s="16">
        <v>2429</v>
      </c>
      <c r="BH40" s="16">
        <v>1267</v>
      </c>
      <c r="BI40" s="26">
        <v>1</v>
      </c>
      <c r="BJ40" s="16">
        <v>3244</v>
      </c>
      <c r="BK40" s="16">
        <v>92</v>
      </c>
      <c r="BL40" s="16">
        <v>1736</v>
      </c>
      <c r="BM40" s="16">
        <v>1062</v>
      </c>
      <c r="BN40" s="16">
        <v>0</v>
      </c>
      <c r="BO40" s="16">
        <v>3797</v>
      </c>
    </row>
    <row r="41" spans="1:67" s="5" customFormat="1" ht="21.9" customHeight="1" x14ac:dyDescent="0.25">
      <c r="A41" s="125"/>
      <c r="C41" s="47" t="s">
        <v>76</v>
      </c>
      <c r="D41" s="48"/>
      <c r="E41" s="16">
        <v>89</v>
      </c>
      <c r="F41" s="26">
        <v>0</v>
      </c>
      <c r="G41" s="26">
        <v>0</v>
      </c>
      <c r="H41" s="26">
        <v>0</v>
      </c>
      <c r="I41" s="26">
        <v>3</v>
      </c>
      <c r="J41" s="26">
        <v>0</v>
      </c>
      <c r="K41" s="26">
        <v>0</v>
      </c>
      <c r="L41" s="26">
        <v>2</v>
      </c>
      <c r="M41" s="26">
        <v>0</v>
      </c>
      <c r="N41" s="26">
        <v>0</v>
      </c>
      <c r="O41" s="26">
        <v>0</v>
      </c>
      <c r="P41" s="26">
        <v>0</v>
      </c>
      <c r="Q41" s="26">
        <v>0</v>
      </c>
      <c r="R41" s="26">
        <v>3</v>
      </c>
      <c r="S41" s="26">
        <v>1</v>
      </c>
      <c r="T41" s="26">
        <v>5</v>
      </c>
      <c r="U41" s="16">
        <v>10</v>
      </c>
      <c r="V41" s="26">
        <v>1</v>
      </c>
      <c r="W41" s="26">
        <v>6</v>
      </c>
      <c r="X41" s="26">
        <v>0</v>
      </c>
      <c r="Y41" s="26">
        <v>3</v>
      </c>
      <c r="Z41" s="16">
        <v>0</v>
      </c>
      <c r="AA41" s="26">
        <v>0</v>
      </c>
      <c r="AB41" s="26">
        <v>2</v>
      </c>
      <c r="AC41" s="16">
        <v>0</v>
      </c>
      <c r="AD41" s="16">
        <v>4</v>
      </c>
      <c r="AE41" s="26">
        <v>3</v>
      </c>
      <c r="AF41" s="16">
        <v>0</v>
      </c>
      <c r="AG41" s="16">
        <v>9</v>
      </c>
      <c r="AH41" s="16">
        <v>1</v>
      </c>
      <c r="AI41" s="26">
        <v>2</v>
      </c>
      <c r="AJ41" s="26">
        <v>2</v>
      </c>
      <c r="AK41" s="98">
        <v>0</v>
      </c>
      <c r="AL41" s="26">
        <v>0</v>
      </c>
      <c r="AM41" s="26">
        <v>0</v>
      </c>
      <c r="AN41" s="16">
        <v>10</v>
      </c>
      <c r="AO41" s="26">
        <v>0</v>
      </c>
      <c r="AP41" s="26">
        <v>0</v>
      </c>
      <c r="AQ41" s="26">
        <v>0</v>
      </c>
      <c r="AR41" s="26">
        <v>0</v>
      </c>
      <c r="AS41" s="26">
        <v>0</v>
      </c>
      <c r="AT41" s="26">
        <v>1</v>
      </c>
      <c r="AU41" s="16">
        <v>0</v>
      </c>
      <c r="AV41" s="26">
        <v>0</v>
      </c>
      <c r="AW41" s="26">
        <v>0</v>
      </c>
      <c r="AX41" s="26">
        <v>0</v>
      </c>
      <c r="AY41" s="26">
        <v>2</v>
      </c>
      <c r="AZ41" s="26">
        <v>0</v>
      </c>
      <c r="BA41" s="26">
        <v>0</v>
      </c>
      <c r="BB41" s="26">
        <v>0</v>
      </c>
      <c r="BC41" s="26">
        <v>0</v>
      </c>
      <c r="BD41" s="26">
        <v>2</v>
      </c>
      <c r="BE41" s="26">
        <v>6</v>
      </c>
      <c r="BF41" s="16">
        <v>3</v>
      </c>
      <c r="BG41" s="26">
        <v>2</v>
      </c>
      <c r="BH41" s="26">
        <v>3</v>
      </c>
      <c r="BI41" s="26">
        <v>0</v>
      </c>
      <c r="BJ41" s="26">
        <v>0</v>
      </c>
      <c r="BK41" s="26">
        <v>0</v>
      </c>
      <c r="BL41" s="26">
        <v>0</v>
      </c>
      <c r="BM41" s="26">
        <v>0</v>
      </c>
      <c r="BN41" s="26">
        <v>0</v>
      </c>
      <c r="BO41" s="16">
        <v>3</v>
      </c>
    </row>
    <row r="42" spans="1:67" s="5" customFormat="1" ht="21.9" customHeight="1" x14ac:dyDescent="0.25">
      <c r="A42" s="125" t="s">
        <v>89</v>
      </c>
      <c r="B42" s="4"/>
      <c r="C42" s="47" t="s">
        <v>75</v>
      </c>
      <c r="D42" s="48"/>
      <c r="E42" s="16">
        <v>50783</v>
      </c>
      <c r="F42" s="16">
        <v>888</v>
      </c>
      <c r="G42" s="16">
        <v>734</v>
      </c>
      <c r="H42" s="16">
        <v>315</v>
      </c>
      <c r="I42" s="16">
        <v>147</v>
      </c>
      <c r="J42" s="16">
        <v>202</v>
      </c>
      <c r="K42" s="16">
        <v>605</v>
      </c>
      <c r="L42" s="16">
        <v>440</v>
      </c>
      <c r="M42" s="16">
        <v>1436</v>
      </c>
      <c r="N42" s="16">
        <v>430</v>
      </c>
      <c r="O42" s="16">
        <v>204</v>
      </c>
      <c r="P42" s="16">
        <v>3</v>
      </c>
      <c r="Q42" s="16">
        <v>168</v>
      </c>
      <c r="R42" s="16">
        <v>155</v>
      </c>
      <c r="S42" s="16">
        <v>1675</v>
      </c>
      <c r="T42" s="16">
        <v>348</v>
      </c>
      <c r="U42" s="16">
        <v>893</v>
      </c>
      <c r="V42" s="16">
        <v>392</v>
      </c>
      <c r="W42" s="16">
        <v>235</v>
      </c>
      <c r="X42" s="16">
        <v>234</v>
      </c>
      <c r="Y42" s="16">
        <v>3667</v>
      </c>
      <c r="Z42" s="16">
        <v>418</v>
      </c>
      <c r="AA42" s="16">
        <v>194</v>
      </c>
      <c r="AB42" s="16">
        <v>251</v>
      </c>
      <c r="AC42" s="16">
        <v>471</v>
      </c>
      <c r="AD42" s="16">
        <v>5529</v>
      </c>
      <c r="AE42" s="16">
        <v>3589</v>
      </c>
      <c r="AF42" s="16">
        <v>704</v>
      </c>
      <c r="AG42" s="16">
        <v>703</v>
      </c>
      <c r="AH42" s="16">
        <v>327</v>
      </c>
      <c r="AI42" s="16">
        <v>1473</v>
      </c>
      <c r="AJ42" s="16">
        <v>31</v>
      </c>
      <c r="AK42" s="98">
        <v>176</v>
      </c>
      <c r="AL42" s="16">
        <v>272</v>
      </c>
      <c r="AM42" s="16">
        <v>10</v>
      </c>
      <c r="AN42" s="16">
        <v>496</v>
      </c>
      <c r="AO42" s="16">
        <v>4</v>
      </c>
      <c r="AP42" s="16">
        <v>0</v>
      </c>
      <c r="AQ42" s="16">
        <v>9</v>
      </c>
      <c r="AR42" s="16">
        <v>363</v>
      </c>
      <c r="AS42" s="16">
        <v>257</v>
      </c>
      <c r="AT42" s="16">
        <v>3027</v>
      </c>
      <c r="AU42" s="16">
        <v>7442</v>
      </c>
      <c r="AV42" s="16">
        <v>1473</v>
      </c>
      <c r="AW42" s="16">
        <v>28</v>
      </c>
      <c r="AX42" s="16">
        <v>1235</v>
      </c>
      <c r="AY42" s="16">
        <v>389</v>
      </c>
      <c r="AZ42" s="26">
        <v>0</v>
      </c>
      <c r="BA42" s="16">
        <v>26</v>
      </c>
      <c r="BB42" s="16">
        <v>28</v>
      </c>
      <c r="BC42" s="16">
        <v>167</v>
      </c>
      <c r="BD42" s="16">
        <v>1146</v>
      </c>
      <c r="BE42" s="16">
        <v>742</v>
      </c>
      <c r="BF42" s="16">
        <v>582</v>
      </c>
      <c r="BG42" s="16">
        <v>544</v>
      </c>
      <c r="BH42" s="16">
        <v>210</v>
      </c>
      <c r="BI42" s="16">
        <v>268</v>
      </c>
      <c r="BJ42" s="16">
        <v>533</v>
      </c>
      <c r="BK42" s="16">
        <v>591</v>
      </c>
      <c r="BL42" s="16">
        <v>1761</v>
      </c>
      <c r="BM42" s="16">
        <v>1623</v>
      </c>
      <c r="BN42" s="16">
        <v>0</v>
      </c>
      <c r="BO42" s="16">
        <v>520</v>
      </c>
    </row>
    <row r="43" spans="1:67" s="5" customFormat="1" ht="21.9" customHeight="1" x14ac:dyDescent="0.25">
      <c r="A43" s="125"/>
      <c r="B43" s="4"/>
      <c r="C43" s="47" t="s">
        <v>76</v>
      </c>
      <c r="D43" s="48"/>
      <c r="E43" s="16">
        <v>264</v>
      </c>
      <c r="F43" s="26">
        <v>0</v>
      </c>
      <c r="G43" s="26">
        <v>0</v>
      </c>
      <c r="H43" s="26">
        <v>0</v>
      </c>
      <c r="I43" s="26">
        <v>0</v>
      </c>
      <c r="J43" s="26">
        <v>0</v>
      </c>
      <c r="K43" s="26">
        <v>0</v>
      </c>
      <c r="L43" s="26">
        <v>2</v>
      </c>
      <c r="M43" s="26">
        <v>0</v>
      </c>
      <c r="N43" s="26">
        <v>0</v>
      </c>
      <c r="O43" s="26">
        <v>1</v>
      </c>
      <c r="P43" s="26">
        <v>0</v>
      </c>
      <c r="Q43" s="26">
        <v>0</v>
      </c>
      <c r="R43" s="26">
        <v>2</v>
      </c>
      <c r="S43" s="26">
        <v>1</v>
      </c>
      <c r="T43" s="26">
        <v>0</v>
      </c>
      <c r="U43" s="16">
        <v>2</v>
      </c>
      <c r="V43" s="26">
        <v>0</v>
      </c>
      <c r="W43" s="16">
        <v>1</v>
      </c>
      <c r="X43" s="16">
        <v>1</v>
      </c>
      <c r="Y43" s="16">
        <v>3</v>
      </c>
      <c r="Z43" s="16">
        <v>0</v>
      </c>
      <c r="AA43" s="26">
        <v>0</v>
      </c>
      <c r="AB43" s="26">
        <v>0</v>
      </c>
      <c r="AC43" s="16">
        <v>0</v>
      </c>
      <c r="AD43" s="16">
        <v>16</v>
      </c>
      <c r="AE43" s="16">
        <v>4</v>
      </c>
      <c r="AF43" s="16">
        <v>1</v>
      </c>
      <c r="AG43" s="26">
        <v>2</v>
      </c>
      <c r="AH43" s="26">
        <v>3</v>
      </c>
      <c r="AI43" s="16">
        <v>8</v>
      </c>
      <c r="AJ43" s="26">
        <v>0</v>
      </c>
      <c r="AK43" s="98">
        <v>5</v>
      </c>
      <c r="AL43" s="26">
        <v>5</v>
      </c>
      <c r="AM43" s="26">
        <v>0</v>
      </c>
      <c r="AN43" s="16">
        <v>1</v>
      </c>
      <c r="AO43" s="16">
        <v>0</v>
      </c>
      <c r="AP43" s="26">
        <v>0</v>
      </c>
      <c r="AQ43" s="26">
        <v>0</v>
      </c>
      <c r="AR43" s="16">
        <v>1</v>
      </c>
      <c r="AS43" s="16">
        <v>0</v>
      </c>
      <c r="AT43" s="26">
        <v>0</v>
      </c>
      <c r="AU43" s="16">
        <v>74</v>
      </c>
      <c r="AV43" s="26">
        <v>0</v>
      </c>
      <c r="AW43" s="26">
        <v>0</v>
      </c>
      <c r="AX43" s="26">
        <v>0</v>
      </c>
      <c r="AY43" s="26">
        <v>0</v>
      </c>
      <c r="AZ43" s="26">
        <v>0</v>
      </c>
      <c r="BA43" s="26">
        <v>0</v>
      </c>
      <c r="BB43" s="26">
        <v>0</v>
      </c>
      <c r="BC43" s="26">
        <v>0</v>
      </c>
      <c r="BD43" s="26">
        <v>0</v>
      </c>
      <c r="BE43" s="16">
        <v>3</v>
      </c>
      <c r="BF43" s="16">
        <v>12</v>
      </c>
      <c r="BG43" s="16">
        <v>91</v>
      </c>
      <c r="BH43" s="16">
        <v>0</v>
      </c>
      <c r="BI43" s="26">
        <v>0</v>
      </c>
      <c r="BJ43" s="16">
        <v>0</v>
      </c>
      <c r="BK43" s="26">
        <v>0</v>
      </c>
      <c r="BL43" s="16">
        <v>21</v>
      </c>
      <c r="BM43" s="16">
        <v>4</v>
      </c>
      <c r="BN43" s="26">
        <v>0</v>
      </c>
      <c r="BO43" s="16">
        <v>0</v>
      </c>
    </row>
    <row r="44" spans="1:67" s="5" customFormat="1" ht="21.9" customHeight="1" x14ac:dyDescent="0.25">
      <c r="A44" s="125" t="s">
        <v>90</v>
      </c>
      <c r="B44" s="4"/>
      <c r="C44" s="47" t="s">
        <v>75</v>
      </c>
      <c r="D44" s="48"/>
      <c r="E44" s="16">
        <v>11181</v>
      </c>
      <c r="F44" s="16">
        <v>107</v>
      </c>
      <c r="G44" s="16">
        <v>90</v>
      </c>
      <c r="H44" s="16">
        <v>16</v>
      </c>
      <c r="I44" s="16">
        <v>51</v>
      </c>
      <c r="J44" s="16">
        <v>21</v>
      </c>
      <c r="K44" s="16">
        <v>1026</v>
      </c>
      <c r="L44" s="16">
        <v>353</v>
      </c>
      <c r="M44" s="16">
        <v>47</v>
      </c>
      <c r="N44" s="16">
        <v>109</v>
      </c>
      <c r="O44" s="16">
        <v>53</v>
      </c>
      <c r="P44" s="16">
        <v>0</v>
      </c>
      <c r="Q44" s="16">
        <v>125</v>
      </c>
      <c r="R44" s="16">
        <v>78</v>
      </c>
      <c r="S44" s="16">
        <v>108</v>
      </c>
      <c r="T44" s="16">
        <v>283</v>
      </c>
      <c r="U44" s="16">
        <v>213</v>
      </c>
      <c r="V44" s="16">
        <v>28</v>
      </c>
      <c r="W44" s="16">
        <v>185</v>
      </c>
      <c r="X44" s="16">
        <v>15</v>
      </c>
      <c r="Y44" s="16">
        <v>280</v>
      </c>
      <c r="Z44" s="16">
        <v>147</v>
      </c>
      <c r="AA44" s="16">
        <v>91</v>
      </c>
      <c r="AB44" s="16">
        <v>173</v>
      </c>
      <c r="AC44" s="16">
        <v>39</v>
      </c>
      <c r="AD44" s="16">
        <v>1637</v>
      </c>
      <c r="AE44" s="16">
        <v>324</v>
      </c>
      <c r="AF44" s="16">
        <v>150</v>
      </c>
      <c r="AG44" s="16">
        <v>1003</v>
      </c>
      <c r="AH44" s="16">
        <v>65</v>
      </c>
      <c r="AI44" s="16">
        <v>310</v>
      </c>
      <c r="AJ44" s="16">
        <v>5</v>
      </c>
      <c r="AK44" s="98">
        <v>112</v>
      </c>
      <c r="AL44" s="16">
        <v>17</v>
      </c>
      <c r="AM44" s="16">
        <v>9</v>
      </c>
      <c r="AN44" s="16">
        <v>54</v>
      </c>
      <c r="AO44" s="16">
        <v>1</v>
      </c>
      <c r="AP44" s="16">
        <v>2</v>
      </c>
      <c r="AQ44" s="16">
        <v>24</v>
      </c>
      <c r="AR44" s="16">
        <v>49</v>
      </c>
      <c r="AS44" s="16">
        <v>17</v>
      </c>
      <c r="AT44" s="16">
        <v>104</v>
      </c>
      <c r="AU44" s="16">
        <v>522</v>
      </c>
      <c r="AV44" s="16">
        <v>84</v>
      </c>
      <c r="AW44" s="16">
        <v>11</v>
      </c>
      <c r="AX44" s="16">
        <v>295</v>
      </c>
      <c r="AY44" s="16">
        <v>12</v>
      </c>
      <c r="AZ44" s="16">
        <v>5</v>
      </c>
      <c r="BA44" s="26">
        <v>0</v>
      </c>
      <c r="BB44" s="26">
        <v>400</v>
      </c>
      <c r="BC44" s="26">
        <v>0</v>
      </c>
      <c r="BD44" s="16">
        <v>127</v>
      </c>
      <c r="BE44" s="16">
        <v>149</v>
      </c>
      <c r="BF44" s="16">
        <v>253</v>
      </c>
      <c r="BG44" s="26">
        <v>2</v>
      </c>
      <c r="BH44" s="16">
        <v>344</v>
      </c>
      <c r="BI44" s="16">
        <v>105</v>
      </c>
      <c r="BJ44" s="16">
        <v>407</v>
      </c>
      <c r="BK44" s="16">
        <v>92</v>
      </c>
      <c r="BL44" s="16">
        <v>584</v>
      </c>
      <c r="BM44" s="16">
        <v>6</v>
      </c>
      <c r="BN44" s="26">
        <v>0</v>
      </c>
      <c r="BO44" s="16">
        <v>262</v>
      </c>
    </row>
    <row r="45" spans="1:67" s="5" customFormat="1" ht="21.9" customHeight="1" x14ac:dyDescent="0.25">
      <c r="A45" s="125"/>
      <c r="B45" s="4"/>
      <c r="C45" s="47" t="s">
        <v>76</v>
      </c>
      <c r="D45" s="48"/>
      <c r="E45" s="16">
        <v>87</v>
      </c>
      <c r="F45" s="26">
        <v>0</v>
      </c>
      <c r="G45" s="26">
        <v>0</v>
      </c>
      <c r="H45" s="26">
        <v>0</v>
      </c>
      <c r="I45" s="26">
        <v>0</v>
      </c>
      <c r="J45" s="26">
        <v>0</v>
      </c>
      <c r="K45" s="26">
        <v>0</v>
      </c>
      <c r="L45" s="26">
        <v>0</v>
      </c>
      <c r="M45" s="26">
        <v>0</v>
      </c>
      <c r="N45" s="26">
        <v>0</v>
      </c>
      <c r="O45" s="26">
        <v>1</v>
      </c>
      <c r="P45" s="26">
        <v>0</v>
      </c>
      <c r="Q45" s="26">
        <v>2</v>
      </c>
      <c r="R45" s="26">
        <v>0</v>
      </c>
      <c r="S45" s="26">
        <v>0</v>
      </c>
      <c r="T45" s="26">
        <v>2</v>
      </c>
      <c r="U45" s="26">
        <v>2</v>
      </c>
      <c r="V45" s="26">
        <v>0</v>
      </c>
      <c r="W45" s="26">
        <v>2</v>
      </c>
      <c r="X45" s="26">
        <v>0</v>
      </c>
      <c r="Y45" s="26">
        <v>0</v>
      </c>
      <c r="Z45" s="26">
        <v>0</v>
      </c>
      <c r="AA45" s="26">
        <v>0</v>
      </c>
      <c r="AB45" s="26">
        <v>0</v>
      </c>
      <c r="AC45" s="26">
        <v>0</v>
      </c>
      <c r="AD45" s="26">
        <v>2</v>
      </c>
      <c r="AE45" s="26">
        <v>1</v>
      </c>
      <c r="AF45" s="26">
        <v>0</v>
      </c>
      <c r="AG45" s="26">
        <v>11</v>
      </c>
      <c r="AH45" s="26">
        <v>0</v>
      </c>
      <c r="AI45" s="26">
        <v>0</v>
      </c>
      <c r="AJ45" s="26">
        <v>0</v>
      </c>
      <c r="AK45" s="99">
        <v>30</v>
      </c>
      <c r="AL45" s="26">
        <v>0</v>
      </c>
      <c r="AM45" s="26">
        <v>0</v>
      </c>
      <c r="AN45" s="26">
        <v>1</v>
      </c>
      <c r="AO45" s="26">
        <v>0</v>
      </c>
      <c r="AP45" s="26">
        <v>0</v>
      </c>
      <c r="AQ45" s="26">
        <v>0</v>
      </c>
      <c r="AR45" s="26">
        <v>0</v>
      </c>
      <c r="AS45" s="26">
        <v>0</v>
      </c>
      <c r="AT45" s="26">
        <v>1</v>
      </c>
      <c r="AU45" s="26">
        <v>10</v>
      </c>
      <c r="AV45" s="26">
        <v>1</v>
      </c>
      <c r="AW45" s="26">
        <v>0</v>
      </c>
      <c r="AX45" s="26">
        <v>2</v>
      </c>
      <c r="AY45" s="26">
        <v>0</v>
      </c>
      <c r="AZ45" s="26">
        <v>0</v>
      </c>
      <c r="BA45" s="26">
        <v>0</v>
      </c>
      <c r="BB45" s="26">
        <v>0</v>
      </c>
      <c r="BC45" s="26">
        <v>0</v>
      </c>
      <c r="BD45" s="26">
        <v>3</v>
      </c>
      <c r="BE45" s="26">
        <v>0</v>
      </c>
      <c r="BF45" s="26">
        <v>2</v>
      </c>
      <c r="BG45" s="26">
        <v>0</v>
      </c>
      <c r="BH45" s="26">
        <v>7</v>
      </c>
      <c r="BI45" s="26">
        <v>0</v>
      </c>
      <c r="BJ45" s="26">
        <v>0</v>
      </c>
      <c r="BK45" s="26">
        <v>0</v>
      </c>
      <c r="BL45" s="26">
        <v>0</v>
      </c>
      <c r="BM45" s="26">
        <v>0</v>
      </c>
      <c r="BN45" s="26">
        <v>0</v>
      </c>
      <c r="BO45" s="26">
        <v>7</v>
      </c>
    </row>
    <row r="46" spans="1:67" s="5" customFormat="1" ht="21.9" customHeight="1" x14ac:dyDescent="0.25">
      <c r="A46" s="125" t="s">
        <v>253</v>
      </c>
      <c r="B46" s="4"/>
      <c r="C46" s="47" t="s">
        <v>75</v>
      </c>
      <c r="D46" s="48"/>
      <c r="E46" s="16">
        <v>35340</v>
      </c>
      <c r="F46" s="16">
        <v>354</v>
      </c>
      <c r="G46" s="16">
        <v>449</v>
      </c>
      <c r="H46" s="16">
        <v>223</v>
      </c>
      <c r="I46" s="16">
        <v>109</v>
      </c>
      <c r="J46" s="16">
        <v>5</v>
      </c>
      <c r="K46" s="16">
        <v>197</v>
      </c>
      <c r="L46" s="16">
        <v>127</v>
      </c>
      <c r="M46" s="16">
        <v>679</v>
      </c>
      <c r="N46" s="16">
        <v>182</v>
      </c>
      <c r="O46" s="16">
        <v>29</v>
      </c>
      <c r="P46" s="16">
        <v>27</v>
      </c>
      <c r="Q46" s="16">
        <v>10</v>
      </c>
      <c r="R46" s="16">
        <v>412</v>
      </c>
      <c r="S46" s="16">
        <v>1332</v>
      </c>
      <c r="T46" s="16">
        <v>400</v>
      </c>
      <c r="U46" s="16">
        <v>316</v>
      </c>
      <c r="V46" s="16">
        <v>386</v>
      </c>
      <c r="W46" s="16">
        <v>177</v>
      </c>
      <c r="X46" s="16">
        <v>13</v>
      </c>
      <c r="Y46" s="16">
        <v>1657</v>
      </c>
      <c r="Z46" s="16">
        <v>487</v>
      </c>
      <c r="AA46" s="16">
        <v>329</v>
      </c>
      <c r="AB46" s="16">
        <v>373</v>
      </c>
      <c r="AC46" s="16">
        <v>586</v>
      </c>
      <c r="AD46" s="16">
        <v>3536</v>
      </c>
      <c r="AE46" s="16">
        <v>1562</v>
      </c>
      <c r="AF46" s="16">
        <v>190</v>
      </c>
      <c r="AG46" s="16">
        <v>296</v>
      </c>
      <c r="AH46" s="16">
        <v>273</v>
      </c>
      <c r="AI46" s="16">
        <v>971</v>
      </c>
      <c r="AJ46" s="16">
        <v>142</v>
      </c>
      <c r="AK46" s="98">
        <v>143</v>
      </c>
      <c r="AL46" s="16">
        <v>182</v>
      </c>
      <c r="AM46" s="16">
        <v>267</v>
      </c>
      <c r="AN46" s="16">
        <v>1026</v>
      </c>
      <c r="AO46" s="16">
        <v>19</v>
      </c>
      <c r="AP46" s="16">
        <v>2</v>
      </c>
      <c r="AQ46" s="16">
        <v>27</v>
      </c>
      <c r="AR46" s="16">
        <v>215</v>
      </c>
      <c r="AS46" s="16">
        <v>635</v>
      </c>
      <c r="AT46" s="16">
        <v>2713</v>
      </c>
      <c r="AU46" s="16">
        <v>3632</v>
      </c>
      <c r="AV46" s="16">
        <v>1743</v>
      </c>
      <c r="AW46" s="16">
        <v>872</v>
      </c>
      <c r="AX46" s="16">
        <v>866</v>
      </c>
      <c r="AY46" s="16">
        <v>377</v>
      </c>
      <c r="AZ46" s="16">
        <v>0</v>
      </c>
      <c r="BA46" s="16">
        <v>25</v>
      </c>
      <c r="BB46" s="26">
        <v>6</v>
      </c>
      <c r="BC46" s="16">
        <v>273</v>
      </c>
      <c r="BD46" s="16">
        <v>1006</v>
      </c>
      <c r="BE46" s="16">
        <v>1501</v>
      </c>
      <c r="BF46" s="16">
        <v>175</v>
      </c>
      <c r="BG46" s="16">
        <v>714</v>
      </c>
      <c r="BH46" s="16">
        <v>351</v>
      </c>
      <c r="BI46" s="16">
        <v>197</v>
      </c>
      <c r="BJ46" s="16">
        <v>301</v>
      </c>
      <c r="BK46" s="16">
        <v>140</v>
      </c>
      <c r="BL46" s="16">
        <v>467</v>
      </c>
      <c r="BM46" s="16">
        <v>1326</v>
      </c>
      <c r="BN46" s="16">
        <v>131</v>
      </c>
      <c r="BO46" s="16">
        <v>179</v>
      </c>
    </row>
    <row r="47" spans="1:67" s="5" customFormat="1" ht="21.9" customHeight="1" x14ac:dyDescent="0.25">
      <c r="A47" s="125"/>
      <c r="B47" s="4"/>
      <c r="C47" s="47" t="s">
        <v>76</v>
      </c>
      <c r="D47" s="48"/>
      <c r="E47" s="16">
        <v>885</v>
      </c>
      <c r="F47" s="26">
        <v>0</v>
      </c>
      <c r="G47" s="26">
        <v>0</v>
      </c>
      <c r="H47" s="26">
        <v>0</v>
      </c>
      <c r="I47" s="26">
        <v>2</v>
      </c>
      <c r="J47" s="26">
        <v>0</v>
      </c>
      <c r="K47" s="26">
        <v>0</v>
      </c>
      <c r="L47" s="26">
        <v>0</v>
      </c>
      <c r="M47" s="26">
        <v>0</v>
      </c>
      <c r="N47" s="26">
        <v>0</v>
      </c>
      <c r="O47" s="26">
        <v>0</v>
      </c>
      <c r="P47" s="26">
        <v>0</v>
      </c>
      <c r="Q47" s="26">
        <v>0</v>
      </c>
      <c r="R47" s="26">
        <v>83</v>
      </c>
      <c r="S47" s="26">
        <v>0</v>
      </c>
      <c r="T47" s="26">
        <v>0</v>
      </c>
      <c r="U47" s="16">
        <v>0</v>
      </c>
      <c r="V47" s="16">
        <v>0</v>
      </c>
      <c r="W47" s="26">
        <v>3</v>
      </c>
      <c r="X47" s="26">
        <v>0</v>
      </c>
      <c r="Y47" s="26">
        <v>2</v>
      </c>
      <c r="Z47" s="26">
        <v>1</v>
      </c>
      <c r="AA47" s="26">
        <v>0</v>
      </c>
      <c r="AB47" s="16">
        <v>4</v>
      </c>
      <c r="AC47" s="26">
        <v>0</v>
      </c>
      <c r="AD47" s="16">
        <v>6</v>
      </c>
      <c r="AE47" s="26">
        <v>4</v>
      </c>
      <c r="AF47" s="26">
        <v>0</v>
      </c>
      <c r="AG47" s="16">
        <v>7</v>
      </c>
      <c r="AH47" s="26">
        <v>0</v>
      </c>
      <c r="AI47" s="26">
        <v>0</v>
      </c>
      <c r="AJ47" s="26">
        <v>0</v>
      </c>
      <c r="AK47" s="98">
        <v>6</v>
      </c>
      <c r="AL47" s="26">
        <v>0</v>
      </c>
      <c r="AM47" s="26">
        <v>0</v>
      </c>
      <c r="AN47" s="26">
        <v>1</v>
      </c>
      <c r="AO47" s="16">
        <v>0</v>
      </c>
      <c r="AP47" s="26">
        <v>0</v>
      </c>
      <c r="AQ47" s="26">
        <v>0</v>
      </c>
      <c r="AR47" s="26">
        <v>1</v>
      </c>
      <c r="AS47" s="16">
        <v>8</v>
      </c>
      <c r="AT47" s="26">
        <v>0</v>
      </c>
      <c r="AU47" s="16">
        <v>35</v>
      </c>
      <c r="AV47" s="16">
        <v>0</v>
      </c>
      <c r="AW47" s="26">
        <v>0</v>
      </c>
      <c r="AX47" s="16">
        <v>0</v>
      </c>
      <c r="AY47" s="26">
        <v>0</v>
      </c>
      <c r="AZ47" s="26">
        <v>0</v>
      </c>
      <c r="BA47" s="26">
        <v>0</v>
      </c>
      <c r="BB47" s="26">
        <v>0</v>
      </c>
      <c r="BC47" s="26">
        <v>0</v>
      </c>
      <c r="BD47" s="26">
        <v>0</v>
      </c>
      <c r="BE47" s="26">
        <v>2</v>
      </c>
      <c r="BF47" s="26">
        <v>2</v>
      </c>
      <c r="BG47" s="16">
        <v>715</v>
      </c>
      <c r="BH47" s="26">
        <v>0</v>
      </c>
      <c r="BI47" s="16">
        <v>1</v>
      </c>
      <c r="BJ47" s="26">
        <v>0</v>
      </c>
      <c r="BK47" s="26">
        <v>0</v>
      </c>
      <c r="BL47" s="26">
        <v>0</v>
      </c>
      <c r="BM47" s="26">
        <v>0</v>
      </c>
      <c r="BN47" s="26">
        <v>0</v>
      </c>
      <c r="BO47" s="16">
        <v>2</v>
      </c>
    </row>
    <row r="48" spans="1:67" s="5" customFormat="1" ht="21.9" customHeight="1" x14ac:dyDescent="0.25">
      <c r="A48" s="125" t="s">
        <v>92</v>
      </c>
      <c r="B48" s="4"/>
      <c r="C48" s="47" t="s">
        <v>75</v>
      </c>
      <c r="D48" s="48"/>
      <c r="E48" s="16">
        <v>13288</v>
      </c>
      <c r="F48" s="16">
        <v>64</v>
      </c>
      <c r="G48" s="16">
        <v>112</v>
      </c>
      <c r="H48" s="16">
        <v>53</v>
      </c>
      <c r="I48" s="16">
        <v>63</v>
      </c>
      <c r="J48" s="16">
        <v>20</v>
      </c>
      <c r="K48" s="16">
        <v>999</v>
      </c>
      <c r="L48" s="16">
        <v>245</v>
      </c>
      <c r="M48" s="16">
        <v>11</v>
      </c>
      <c r="N48" s="16">
        <v>29</v>
      </c>
      <c r="O48" s="16">
        <v>22</v>
      </c>
      <c r="P48" s="16">
        <v>2</v>
      </c>
      <c r="Q48" s="16">
        <v>75</v>
      </c>
      <c r="R48" s="16">
        <v>233</v>
      </c>
      <c r="S48" s="16">
        <v>64</v>
      </c>
      <c r="T48" s="16">
        <v>121</v>
      </c>
      <c r="U48" s="16">
        <v>306</v>
      </c>
      <c r="V48" s="16">
        <v>42</v>
      </c>
      <c r="W48" s="16">
        <v>74</v>
      </c>
      <c r="X48" s="16">
        <v>24</v>
      </c>
      <c r="Y48" s="16">
        <v>203</v>
      </c>
      <c r="Z48" s="16">
        <v>921</v>
      </c>
      <c r="AA48" s="16">
        <v>46</v>
      </c>
      <c r="AB48" s="16">
        <v>47</v>
      </c>
      <c r="AC48" s="16">
        <v>179</v>
      </c>
      <c r="AD48" s="16">
        <v>2057</v>
      </c>
      <c r="AE48" s="16">
        <v>688</v>
      </c>
      <c r="AF48" s="16">
        <v>145</v>
      </c>
      <c r="AG48" s="16">
        <v>674</v>
      </c>
      <c r="AH48" s="16">
        <v>35</v>
      </c>
      <c r="AI48" s="16">
        <v>110</v>
      </c>
      <c r="AJ48" s="16">
        <v>0</v>
      </c>
      <c r="AK48" s="98">
        <v>102</v>
      </c>
      <c r="AL48" s="16">
        <v>69</v>
      </c>
      <c r="AM48" s="16">
        <v>4</v>
      </c>
      <c r="AN48" s="16">
        <v>250</v>
      </c>
      <c r="AO48" s="16">
        <v>0</v>
      </c>
      <c r="AP48" s="16">
        <v>7</v>
      </c>
      <c r="AQ48" s="16">
        <v>54</v>
      </c>
      <c r="AR48" s="16">
        <v>11</v>
      </c>
      <c r="AS48" s="16">
        <v>3</v>
      </c>
      <c r="AT48" s="16">
        <v>87</v>
      </c>
      <c r="AU48" s="16">
        <v>1172</v>
      </c>
      <c r="AV48" s="16">
        <v>61</v>
      </c>
      <c r="AW48" s="16">
        <v>11</v>
      </c>
      <c r="AX48" s="16">
        <v>335</v>
      </c>
      <c r="AY48" s="16">
        <v>7</v>
      </c>
      <c r="AZ48" s="16">
        <v>4</v>
      </c>
      <c r="BA48" s="26">
        <v>9</v>
      </c>
      <c r="BB48" s="26">
        <v>23</v>
      </c>
      <c r="BC48" s="16">
        <v>32</v>
      </c>
      <c r="BD48" s="16">
        <v>128</v>
      </c>
      <c r="BE48" s="16">
        <v>125</v>
      </c>
      <c r="BF48" s="16">
        <v>361</v>
      </c>
      <c r="BG48" s="16">
        <v>334</v>
      </c>
      <c r="BH48" s="16">
        <v>61</v>
      </c>
      <c r="BI48" s="16">
        <v>80</v>
      </c>
      <c r="BJ48" s="16">
        <v>768</v>
      </c>
      <c r="BK48" s="16">
        <v>101</v>
      </c>
      <c r="BL48" s="16">
        <v>1229</v>
      </c>
      <c r="BM48" s="16">
        <v>152</v>
      </c>
      <c r="BN48" s="16">
        <v>0</v>
      </c>
      <c r="BO48" s="16">
        <v>44</v>
      </c>
    </row>
    <row r="49" spans="1:68" s="5" customFormat="1" ht="21.9" customHeight="1" x14ac:dyDescent="0.25">
      <c r="A49" s="125"/>
      <c r="B49" s="4"/>
      <c r="C49" s="47" t="s">
        <v>76</v>
      </c>
      <c r="D49" s="48"/>
      <c r="E49" s="16">
        <v>183</v>
      </c>
      <c r="F49" s="26">
        <v>0</v>
      </c>
      <c r="G49" s="26">
        <v>0</v>
      </c>
      <c r="H49" s="26">
        <v>0</v>
      </c>
      <c r="I49" s="26">
        <v>2</v>
      </c>
      <c r="J49" s="26">
        <v>0</v>
      </c>
      <c r="K49" s="26">
        <v>0</v>
      </c>
      <c r="L49" s="26">
        <v>5</v>
      </c>
      <c r="M49" s="26">
        <v>0</v>
      </c>
      <c r="N49" s="26">
        <v>0</v>
      </c>
      <c r="O49" s="26">
        <v>0</v>
      </c>
      <c r="P49" s="26">
        <v>0</v>
      </c>
      <c r="Q49" s="26">
        <v>2</v>
      </c>
      <c r="R49" s="26">
        <v>4</v>
      </c>
      <c r="S49" s="26">
        <v>0</v>
      </c>
      <c r="T49" s="16">
        <v>4</v>
      </c>
      <c r="U49" s="16">
        <v>6</v>
      </c>
      <c r="V49" s="16">
        <v>0</v>
      </c>
      <c r="W49" s="16">
        <v>0</v>
      </c>
      <c r="X49" s="16">
        <v>3</v>
      </c>
      <c r="Y49" s="16">
        <v>0</v>
      </c>
      <c r="Z49" s="16">
        <v>1</v>
      </c>
      <c r="AA49" s="16">
        <v>0</v>
      </c>
      <c r="AB49" s="16">
        <v>0</v>
      </c>
      <c r="AC49" s="16">
        <v>5</v>
      </c>
      <c r="AD49" s="16">
        <v>10</v>
      </c>
      <c r="AE49" s="16">
        <v>20</v>
      </c>
      <c r="AF49" s="16">
        <v>2</v>
      </c>
      <c r="AG49" s="16">
        <v>16</v>
      </c>
      <c r="AH49" s="16">
        <v>3</v>
      </c>
      <c r="AI49" s="16">
        <v>1</v>
      </c>
      <c r="AJ49" s="26">
        <v>0</v>
      </c>
      <c r="AK49" s="98">
        <v>5</v>
      </c>
      <c r="AL49" s="26">
        <v>0</v>
      </c>
      <c r="AM49" s="26">
        <v>0</v>
      </c>
      <c r="AN49" s="16">
        <v>9</v>
      </c>
      <c r="AO49" s="16">
        <v>0</v>
      </c>
      <c r="AP49" s="26">
        <v>0</v>
      </c>
      <c r="AQ49" s="16">
        <v>0</v>
      </c>
      <c r="AR49" s="16">
        <v>4</v>
      </c>
      <c r="AS49" s="16">
        <v>0</v>
      </c>
      <c r="AT49" s="26">
        <v>0</v>
      </c>
      <c r="AU49" s="16">
        <v>4</v>
      </c>
      <c r="AV49" s="26">
        <v>1</v>
      </c>
      <c r="AW49" s="26">
        <v>0</v>
      </c>
      <c r="AX49" s="16">
        <v>2</v>
      </c>
      <c r="AY49" s="26">
        <v>1</v>
      </c>
      <c r="AZ49" s="26">
        <v>0</v>
      </c>
      <c r="BA49" s="26">
        <v>0</v>
      </c>
      <c r="BB49" s="26">
        <v>0</v>
      </c>
      <c r="BC49" s="26">
        <v>2</v>
      </c>
      <c r="BD49" s="26">
        <v>0</v>
      </c>
      <c r="BE49" s="16">
        <v>2</v>
      </c>
      <c r="BF49" s="16">
        <v>9</v>
      </c>
      <c r="BG49" s="16">
        <v>47</v>
      </c>
      <c r="BH49" s="26">
        <v>1</v>
      </c>
      <c r="BI49" s="16">
        <v>2</v>
      </c>
      <c r="BJ49" s="26">
        <v>1</v>
      </c>
      <c r="BK49" s="26">
        <v>7</v>
      </c>
      <c r="BL49" s="16">
        <v>1</v>
      </c>
      <c r="BM49" s="26">
        <v>0</v>
      </c>
      <c r="BN49" s="26">
        <v>0</v>
      </c>
      <c r="BO49" s="26">
        <v>1</v>
      </c>
    </row>
    <row r="50" spans="1:68" s="5" customFormat="1" ht="21.9" customHeight="1" x14ac:dyDescent="0.25">
      <c r="A50" s="125" t="s">
        <v>93</v>
      </c>
      <c r="C50" s="47" t="s">
        <v>75</v>
      </c>
      <c r="D50" s="48"/>
      <c r="E50" s="16">
        <v>48378</v>
      </c>
      <c r="F50" s="16">
        <v>1942</v>
      </c>
      <c r="G50" s="16">
        <v>1230</v>
      </c>
      <c r="H50" s="16">
        <v>375</v>
      </c>
      <c r="I50" s="16">
        <v>319</v>
      </c>
      <c r="J50" s="16">
        <v>185</v>
      </c>
      <c r="K50" s="16">
        <v>357</v>
      </c>
      <c r="L50" s="16">
        <v>720</v>
      </c>
      <c r="M50" s="16">
        <v>710</v>
      </c>
      <c r="N50" s="16">
        <v>191</v>
      </c>
      <c r="O50" s="16">
        <v>208</v>
      </c>
      <c r="P50" s="16">
        <v>10</v>
      </c>
      <c r="Q50" s="16">
        <v>173</v>
      </c>
      <c r="R50" s="16">
        <v>411</v>
      </c>
      <c r="S50" s="16">
        <v>380</v>
      </c>
      <c r="T50" s="16">
        <v>323</v>
      </c>
      <c r="U50" s="16">
        <v>1191</v>
      </c>
      <c r="V50" s="16">
        <v>318</v>
      </c>
      <c r="W50" s="16">
        <v>260</v>
      </c>
      <c r="X50" s="16">
        <v>465</v>
      </c>
      <c r="Y50" s="16">
        <v>3647</v>
      </c>
      <c r="Z50" s="16">
        <v>954</v>
      </c>
      <c r="AA50" s="16">
        <v>190</v>
      </c>
      <c r="AB50" s="16">
        <v>363</v>
      </c>
      <c r="AC50" s="16">
        <v>475</v>
      </c>
      <c r="AD50" s="16">
        <v>4017</v>
      </c>
      <c r="AE50" s="16">
        <v>6186</v>
      </c>
      <c r="AF50" s="16">
        <v>533</v>
      </c>
      <c r="AG50" s="16">
        <v>575</v>
      </c>
      <c r="AH50" s="16">
        <v>411</v>
      </c>
      <c r="AI50" s="16">
        <v>1510</v>
      </c>
      <c r="AJ50" s="16">
        <v>195</v>
      </c>
      <c r="AK50" s="98">
        <v>364</v>
      </c>
      <c r="AL50" s="16">
        <v>293</v>
      </c>
      <c r="AM50" s="16">
        <v>319</v>
      </c>
      <c r="AN50" s="16">
        <v>1079</v>
      </c>
      <c r="AO50" s="16">
        <v>205</v>
      </c>
      <c r="AP50" s="16">
        <v>223</v>
      </c>
      <c r="AQ50" s="16">
        <v>272</v>
      </c>
      <c r="AR50" s="16">
        <v>215</v>
      </c>
      <c r="AS50" s="16">
        <v>612</v>
      </c>
      <c r="AT50" s="16">
        <v>1715</v>
      </c>
      <c r="AU50" s="16">
        <v>3923</v>
      </c>
      <c r="AV50" s="16">
        <v>1367</v>
      </c>
      <c r="AW50" s="16">
        <v>42</v>
      </c>
      <c r="AX50" s="16">
        <v>871</v>
      </c>
      <c r="AY50" s="16">
        <v>501</v>
      </c>
      <c r="AZ50" s="16">
        <v>0</v>
      </c>
      <c r="BA50" s="16">
        <v>95</v>
      </c>
      <c r="BB50" s="16">
        <v>205</v>
      </c>
      <c r="BC50" s="16">
        <v>251</v>
      </c>
      <c r="BD50" s="16">
        <v>499</v>
      </c>
      <c r="BE50" s="16">
        <v>736</v>
      </c>
      <c r="BF50" s="16">
        <v>1076</v>
      </c>
      <c r="BG50" s="16">
        <v>515</v>
      </c>
      <c r="BH50" s="16">
        <v>450</v>
      </c>
      <c r="BI50" s="16">
        <v>26</v>
      </c>
      <c r="BJ50" s="16">
        <v>1129</v>
      </c>
      <c r="BK50" s="16">
        <v>947</v>
      </c>
      <c r="BL50" s="16">
        <v>957</v>
      </c>
      <c r="BM50" s="16">
        <v>340</v>
      </c>
      <c r="BN50" s="16">
        <v>49</v>
      </c>
      <c r="BO50" s="16">
        <v>278</v>
      </c>
      <c r="BP50" s="16"/>
    </row>
    <row r="51" spans="1:68" s="5" customFormat="1" ht="21.9" customHeight="1" x14ac:dyDescent="0.25">
      <c r="A51" s="125"/>
      <c r="C51" s="47" t="s">
        <v>76</v>
      </c>
      <c r="D51" s="48"/>
      <c r="E51" s="16">
        <v>209</v>
      </c>
      <c r="F51" s="26">
        <v>0</v>
      </c>
      <c r="G51" s="26">
        <v>0</v>
      </c>
      <c r="H51" s="26">
        <v>0</v>
      </c>
      <c r="I51" s="26">
        <v>1</v>
      </c>
      <c r="J51" s="26">
        <v>0</v>
      </c>
      <c r="K51" s="26">
        <v>0</v>
      </c>
      <c r="L51" s="26">
        <v>2</v>
      </c>
      <c r="M51" s="26">
        <v>0</v>
      </c>
      <c r="N51" s="26">
        <v>0</v>
      </c>
      <c r="O51" s="26">
        <v>0</v>
      </c>
      <c r="P51" s="26">
        <v>0</v>
      </c>
      <c r="Q51" s="26">
        <v>0</v>
      </c>
      <c r="R51" s="26">
        <v>3</v>
      </c>
      <c r="S51" s="26">
        <v>0</v>
      </c>
      <c r="T51" s="16">
        <v>1</v>
      </c>
      <c r="U51" s="16">
        <v>0</v>
      </c>
      <c r="V51" s="16">
        <v>2</v>
      </c>
      <c r="W51" s="16">
        <v>0</v>
      </c>
      <c r="X51" s="16">
        <v>0</v>
      </c>
      <c r="Y51" s="16">
        <v>1</v>
      </c>
      <c r="Z51" s="16">
        <v>0</v>
      </c>
      <c r="AA51" s="16">
        <v>0</v>
      </c>
      <c r="AB51" s="16">
        <v>3</v>
      </c>
      <c r="AC51" s="16">
        <v>0</v>
      </c>
      <c r="AD51" s="16">
        <v>3</v>
      </c>
      <c r="AE51" s="16">
        <v>3</v>
      </c>
      <c r="AF51" s="16">
        <v>1</v>
      </c>
      <c r="AG51" s="16">
        <v>13</v>
      </c>
      <c r="AH51" s="16">
        <v>0</v>
      </c>
      <c r="AI51" s="16">
        <v>0</v>
      </c>
      <c r="AJ51" s="16">
        <v>0</v>
      </c>
      <c r="AK51" s="98">
        <v>2</v>
      </c>
      <c r="AL51" s="16">
        <v>0</v>
      </c>
      <c r="AM51" s="16">
        <v>0</v>
      </c>
      <c r="AN51" s="16">
        <v>3</v>
      </c>
      <c r="AO51" s="26">
        <v>0</v>
      </c>
      <c r="AP51" s="26">
        <v>0</v>
      </c>
      <c r="AQ51" s="16">
        <v>0</v>
      </c>
      <c r="AR51" s="26">
        <v>1</v>
      </c>
      <c r="AS51" s="26">
        <v>1</v>
      </c>
      <c r="AT51" s="26">
        <v>0</v>
      </c>
      <c r="AU51" s="16">
        <v>0</v>
      </c>
      <c r="AV51" s="26">
        <v>0</v>
      </c>
      <c r="AW51" s="26">
        <v>0</v>
      </c>
      <c r="AX51" s="26">
        <v>0</v>
      </c>
      <c r="AY51" s="16">
        <v>0</v>
      </c>
      <c r="AZ51" s="26">
        <v>0</v>
      </c>
      <c r="BA51" s="26">
        <v>0</v>
      </c>
      <c r="BB51" s="26">
        <v>0</v>
      </c>
      <c r="BC51" s="26">
        <v>0</v>
      </c>
      <c r="BD51" s="26">
        <v>1</v>
      </c>
      <c r="BE51" s="16">
        <v>2</v>
      </c>
      <c r="BF51" s="16">
        <v>1</v>
      </c>
      <c r="BG51" s="16">
        <v>89</v>
      </c>
      <c r="BH51" s="16">
        <v>75</v>
      </c>
      <c r="BI51" s="26">
        <v>0</v>
      </c>
      <c r="BJ51" s="26">
        <v>0</v>
      </c>
      <c r="BK51" s="26">
        <v>0</v>
      </c>
      <c r="BL51" s="26">
        <v>0</v>
      </c>
      <c r="BM51" s="26">
        <v>0</v>
      </c>
      <c r="BN51" s="26">
        <v>0</v>
      </c>
      <c r="BO51" s="16">
        <v>1</v>
      </c>
      <c r="BP51" s="16"/>
    </row>
    <row r="52" spans="1:68" s="5" customFormat="1" ht="21.9" customHeight="1" x14ac:dyDescent="0.25">
      <c r="A52" s="125" t="s">
        <v>94</v>
      </c>
      <c r="B52" s="4"/>
      <c r="C52" s="47" t="s">
        <v>75</v>
      </c>
      <c r="D52" s="48"/>
      <c r="E52" s="16">
        <v>34884</v>
      </c>
      <c r="F52" s="16">
        <v>400</v>
      </c>
      <c r="G52" s="16">
        <v>1125</v>
      </c>
      <c r="H52" s="16">
        <v>530</v>
      </c>
      <c r="I52" s="16">
        <v>105</v>
      </c>
      <c r="J52" s="16">
        <v>0</v>
      </c>
      <c r="K52" s="16">
        <v>407</v>
      </c>
      <c r="L52" s="16">
        <v>1258</v>
      </c>
      <c r="M52" s="16">
        <v>380</v>
      </c>
      <c r="N52" s="16">
        <v>110</v>
      </c>
      <c r="O52" s="16">
        <v>845</v>
      </c>
      <c r="P52" s="16">
        <v>0</v>
      </c>
      <c r="Q52" s="16">
        <v>293</v>
      </c>
      <c r="R52" s="16">
        <v>1252</v>
      </c>
      <c r="S52" s="16">
        <v>32</v>
      </c>
      <c r="T52" s="16">
        <v>211</v>
      </c>
      <c r="U52" s="16">
        <v>1325</v>
      </c>
      <c r="V52" s="16">
        <v>112</v>
      </c>
      <c r="W52" s="16">
        <v>325</v>
      </c>
      <c r="X52" s="16">
        <v>86</v>
      </c>
      <c r="Y52" s="16">
        <v>643</v>
      </c>
      <c r="Z52" s="16">
        <v>308</v>
      </c>
      <c r="AA52" s="16">
        <v>0</v>
      </c>
      <c r="AB52" s="16">
        <v>542</v>
      </c>
      <c r="AC52" s="16">
        <v>62</v>
      </c>
      <c r="AD52" s="16">
        <v>1305</v>
      </c>
      <c r="AE52" s="16">
        <v>1676</v>
      </c>
      <c r="AF52" s="16">
        <v>345</v>
      </c>
      <c r="AG52" s="16">
        <v>451</v>
      </c>
      <c r="AH52" s="16">
        <v>585</v>
      </c>
      <c r="AI52" s="16">
        <v>310</v>
      </c>
      <c r="AJ52" s="16">
        <v>95</v>
      </c>
      <c r="AK52" s="98">
        <v>114</v>
      </c>
      <c r="AL52" s="16">
        <v>325</v>
      </c>
      <c r="AM52" s="16">
        <v>127</v>
      </c>
      <c r="AN52" s="16">
        <v>1168</v>
      </c>
      <c r="AO52" s="16">
        <v>512</v>
      </c>
      <c r="AP52" s="16">
        <v>865</v>
      </c>
      <c r="AQ52" s="16">
        <v>215</v>
      </c>
      <c r="AR52" s="16">
        <v>65</v>
      </c>
      <c r="AS52" s="16">
        <v>30</v>
      </c>
      <c r="AT52" s="16">
        <v>232</v>
      </c>
      <c r="AU52" s="16">
        <v>5898</v>
      </c>
      <c r="AV52" s="16">
        <v>825</v>
      </c>
      <c r="AW52" s="16">
        <v>95</v>
      </c>
      <c r="AX52" s="16">
        <v>455</v>
      </c>
      <c r="AY52" s="16">
        <v>2161</v>
      </c>
      <c r="AZ52" s="26">
        <v>0</v>
      </c>
      <c r="BA52" s="26">
        <v>10</v>
      </c>
      <c r="BB52" s="26">
        <v>0</v>
      </c>
      <c r="BC52" s="16">
        <v>0</v>
      </c>
      <c r="BD52" s="16">
        <v>300</v>
      </c>
      <c r="BE52" s="16">
        <v>540</v>
      </c>
      <c r="BF52" s="16">
        <v>835</v>
      </c>
      <c r="BG52" s="16">
        <v>1720</v>
      </c>
      <c r="BH52" s="16">
        <v>453</v>
      </c>
      <c r="BI52" s="16">
        <v>85</v>
      </c>
      <c r="BJ52" s="16">
        <v>105</v>
      </c>
      <c r="BK52" s="16">
        <v>210</v>
      </c>
      <c r="BL52" s="26">
        <v>30</v>
      </c>
      <c r="BM52" s="16">
        <v>918</v>
      </c>
      <c r="BN52" s="16">
        <v>135</v>
      </c>
      <c r="BO52" s="16">
        <v>1338</v>
      </c>
    </row>
    <row r="53" spans="1:68" s="5" customFormat="1" ht="21.9" customHeight="1" x14ac:dyDescent="0.25">
      <c r="A53" s="125"/>
      <c r="B53" s="4"/>
      <c r="C53" s="47" t="s">
        <v>76</v>
      </c>
      <c r="D53" s="48"/>
      <c r="E53" s="16">
        <v>336</v>
      </c>
      <c r="F53" s="26">
        <v>0</v>
      </c>
      <c r="G53" s="26">
        <v>0</v>
      </c>
      <c r="H53" s="26">
        <v>0</v>
      </c>
      <c r="I53" s="26">
        <v>0</v>
      </c>
      <c r="J53" s="26">
        <v>0</v>
      </c>
      <c r="K53" s="26">
        <v>5</v>
      </c>
      <c r="L53" s="26">
        <v>3</v>
      </c>
      <c r="M53" s="26">
        <v>0</v>
      </c>
      <c r="N53" s="26">
        <v>0</v>
      </c>
      <c r="O53" s="26">
        <v>0</v>
      </c>
      <c r="P53" s="26">
        <v>0</v>
      </c>
      <c r="Q53" s="26">
        <v>3</v>
      </c>
      <c r="R53" s="26">
        <v>7</v>
      </c>
      <c r="S53" s="26">
        <v>0</v>
      </c>
      <c r="T53" s="16">
        <v>2</v>
      </c>
      <c r="U53" s="16">
        <v>6</v>
      </c>
      <c r="V53" s="16">
        <v>1</v>
      </c>
      <c r="W53" s="16">
        <v>0</v>
      </c>
      <c r="X53" s="16">
        <v>0</v>
      </c>
      <c r="Y53" s="16">
        <v>10</v>
      </c>
      <c r="Z53" s="16">
        <v>5</v>
      </c>
      <c r="AA53" s="16">
        <v>0</v>
      </c>
      <c r="AB53" s="16">
        <v>0</v>
      </c>
      <c r="AC53" s="16">
        <v>0</v>
      </c>
      <c r="AD53" s="16">
        <v>15</v>
      </c>
      <c r="AE53" s="16">
        <v>19</v>
      </c>
      <c r="AF53" s="16">
        <v>2</v>
      </c>
      <c r="AG53" s="16">
        <v>20</v>
      </c>
      <c r="AH53" s="16">
        <v>4</v>
      </c>
      <c r="AI53" s="16">
        <v>0</v>
      </c>
      <c r="AJ53" s="16">
        <v>0</v>
      </c>
      <c r="AK53" s="98">
        <v>0</v>
      </c>
      <c r="AL53" s="16">
        <v>1</v>
      </c>
      <c r="AM53" s="16">
        <v>0</v>
      </c>
      <c r="AN53" s="16">
        <v>13</v>
      </c>
      <c r="AO53" s="26">
        <v>0</v>
      </c>
      <c r="AP53" s="26">
        <v>0</v>
      </c>
      <c r="AQ53" s="26">
        <v>0</v>
      </c>
      <c r="AR53" s="16">
        <v>0</v>
      </c>
      <c r="AS53" s="16">
        <v>0</v>
      </c>
      <c r="AT53" s="26">
        <v>0</v>
      </c>
      <c r="AU53" s="16">
        <v>8</v>
      </c>
      <c r="AV53" s="16">
        <v>0</v>
      </c>
      <c r="AW53" s="26">
        <v>0</v>
      </c>
      <c r="AX53" s="16">
        <v>3</v>
      </c>
      <c r="AY53" s="16">
        <v>3</v>
      </c>
      <c r="AZ53" s="26">
        <v>0</v>
      </c>
      <c r="BA53" s="26">
        <v>0</v>
      </c>
      <c r="BB53" s="26">
        <v>0</v>
      </c>
      <c r="BC53" s="26">
        <v>0</v>
      </c>
      <c r="BD53" s="26">
        <v>1</v>
      </c>
      <c r="BE53" s="16">
        <v>2</v>
      </c>
      <c r="BF53" s="26">
        <v>0</v>
      </c>
      <c r="BG53" s="16">
        <v>195</v>
      </c>
      <c r="BH53" s="26">
        <v>3</v>
      </c>
      <c r="BI53" s="16">
        <v>1</v>
      </c>
      <c r="BJ53" s="16">
        <v>3</v>
      </c>
      <c r="BK53" s="16">
        <v>1</v>
      </c>
      <c r="BL53" s="26">
        <v>0</v>
      </c>
      <c r="BM53" s="26">
        <v>0</v>
      </c>
      <c r="BN53" s="26">
        <v>0</v>
      </c>
      <c r="BO53" s="26">
        <v>0</v>
      </c>
    </row>
    <row r="54" spans="1:68" s="5" customFormat="1" ht="21.9" customHeight="1" x14ac:dyDescent="0.25">
      <c r="A54" s="125" t="s">
        <v>95</v>
      </c>
      <c r="B54" s="4"/>
      <c r="C54" s="47" t="s">
        <v>120</v>
      </c>
      <c r="D54" s="48"/>
      <c r="E54" s="16">
        <v>97529</v>
      </c>
      <c r="F54" s="16">
        <v>0</v>
      </c>
      <c r="G54" s="16">
        <v>0</v>
      </c>
      <c r="H54" s="16">
        <v>0</v>
      </c>
      <c r="I54" s="16">
        <v>0</v>
      </c>
      <c r="J54" s="16">
        <v>0</v>
      </c>
      <c r="K54" s="16">
        <v>3549</v>
      </c>
      <c r="L54" s="16">
        <v>2265</v>
      </c>
      <c r="M54" s="16">
        <v>0</v>
      </c>
      <c r="N54" s="16">
        <v>1</v>
      </c>
      <c r="O54" s="16">
        <v>62</v>
      </c>
      <c r="P54" s="16">
        <v>0</v>
      </c>
      <c r="Q54" s="16">
        <v>343</v>
      </c>
      <c r="R54" s="16">
        <v>1235</v>
      </c>
      <c r="S54" s="16">
        <v>0</v>
      </c>
      <c r="T54" s="16">
        <v>176</v>
      </c>
      <c r="U54" s="16">
        <v>433</v>
      </c>
      <c r="V54" s="26">
        <v>21</v>
      </c>
      <c r="W54" s="16">
        <v>362</v>
      </c>
      <c r="X54" s="16">
        <v>72</v>
      </c>
      <c r="Y54" s="16">
        <v>458</v>
      </c>
      <c r="Z54" s="16">
        <v>290</v>
      </c>
      <c r="AA54" s="26">
        <v>0</v>
      </c>
      <c r="AB54" s="16">
        <v>818</v>
      </c>
      <c r="AC54" s="26">
        <v>0</v>
      </c>
      <c r="AD54" s="16">
        <v>4691</v>
      </c>
      <c r="AE54" s="26">
        <v>1611</v>
      </c>
      <c r="AF54" s="26">
        <v>0</v>
      </c>
      <c r="AG54" s="16">
        <v>4056</v>
      </c>
      <c r="AH54" s="16">
        <v>410</v>
      </c>
      <c r="AI54" s="26">
        <v>0</v>
      </c>
      <c r="AJ54" s="26">
        <v>0</v>
      </c>
      <c r="AK54" s="98">
        <v>177</v>
      </c>
      <c r="AL54" s="16">
        <v>0</v>
      </c>
      <c r="AM54" s="26">
        <v>0</v>
      </c>
      <c r="AN54" s="26">
        <v>62</v>
      </c>
      <c r="AO54" s="26">
        <v>0</v>
      </c>
      <c r="AP54" s="26">
        <v>0</v>
      </c>
      <c r="AQ54" s="26">
        <v>0</v>
      </c>
      <c r="AR54" s="16">
        <v>5</v>
      </c>
      <c r="AS54" s="16">
        <v>310</v>
      </c>
      <c r="AT54" s="16">
        <v>0</v>
      </c>
      <c r="AU54" s="16">
        <v>72660</v>
      </c>
      <c r="AV54" s="16">
        <v>465</v>
      </c>
      <c r="AW54" s="26">
        <v>0</v>
      </c>
      <c r="AX54" s="16">
        <v>0</v>
      </c>
      <c r="AY54" s="26">
        <v>0</v>
      </c>
      <c r="AZ54" s="26">
        <v>80</v>
      </c>
      <c r="BA54" s="26">
        <v>0</v>
      </c>
      <c r="BB54" s="26">
        <v>0</v>
      </c>
      <c r="BC54" s="26">
        <v>0</v>
      </c>
      <c r="BD54" s="26">
        <v>0</v>
      </c>
      <c r="BE54" s="16">
        <v>1096</v>
      </c>
      <c r="BF54" s="16">
        <v>20</v>
      </c>
      <c r="BG54" s="26">
        <v>0</v>
      </c>
      <c r="BH54" s="26">
        <v>0</v>
      </c>
      <c r="BI54" s="16">
        <v>0</v>
      </c>
      <c r="BJ54" s="26">
        <v>0</v>
      </c>
      <c r="BK54" s="26">
        <v>100</v>
      </c>
      <c r="BL54" s="16">
        <v>1668</v>
      </c>
      <c r="BM54" s="16">
        <v>2</v>
      </c>
      <c r="BN54" s="26">
        <v>0</v>
      </c>
      <c r="BO54" s="16">
        <v>31</v>
      </c>
    </row>
    <row r="55" spans="1:68" s="5" customFormat="1" ht="21.9" customHeight="1" x14ac:dyDescent="0.25">
      <c r="A55" s="125"/>
      <c r="B55" s="4"/>
      <c r="C55" s="47" t="s">
        <v>76</v>
      </c>
      <c r="D55" s="48"/>
      <c r="E55" s="16">
        <v>1</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1</v>
      </c>
      <c r="AE55" s="26">
        <v>0</v>
      </c>
      <c r="AF55" s="26">
        <v>0</v>
      </c>
      <c r="AG55" s="26">
        <v>0</v>
      </c>
      <c r="AH55" s="26">
        <v>0</v>
      </c>
      <c r="AI55" s="26">
        <v>0</v>
      </c>
      <c r="AJ55" s="26">
        <v>0</v>
      </c>
      <c r="AK55" s="99">
        <v>0</v>
      </c>
      <c r="AL55" s="26">
        <v>0</v>
      </c>
      <c r="AM55" s="26">
        <v>0</v>
      </c>
      <c r="AN55" s="26">
        <v>0</v>
      </c>
      <c r="AO55" s="26">
        <v>0</v>
      </c>
      <c r="AP55" s="26">
        <v>0</v>
      </c>
      <c r="AQ55" s="26">
        <v>0</v>
      </c>
      <c r="AR55" s="26">
        <v>0</v>
      </c>
      <c r="AS55" s="26">
        <v>0</v>
      </c>
      <c r="AT55" s="26">
        <v>0</v>
      </c>
      <c r="AU55" s="26">
        <v>0</v>
      </c>
      <c r="AV55" s="26">
        <v>0</v>
      </c>
      <c r="AW55" s="26">
        <v>0</v>
      </c>
      <c r="AX55" s="26">
        <v>0</v>
      </c>
      <c r="AY55" s="26">
        <v>0</v>
      </c>
      <c r="AZ55" s="26">
        <v>0</v>
      </c>
      <c r="BA55" s="26">
        <v>0</v>
      </c>
      <c r="BB55" s="26">
        <v>0</v>
      </c>
      <c r="BC55" s="26">
        <v>0</v>
      </c>
      <c r="BD55" s="26">
        <v>0</v>
      </c>
      <c r="BE55" s="26">
        <v>0</v>
      </c>
      <c r="BF55" s="16">
        <v>0</v>
      </c>
      <c r="BG55" s="26">
        <v>0</v>
      </c>
      <c r="BH55" s="26">
        <v>0</v>
      </c>
      <c r="BI55" s="26">
        <v>0</v>
      </c>
      <c r="BJ55" s="26">
        <v>0</v>
      </c>
      <c r="BK55" s="26">
        <v>0</v>
      </c>
      <c r="BL55" s="26">
        <v>0</v>
      </c>
      <c r="BM55" s="26">
        <v>0</v>
      </c>
      <c r="BN55" s="26">
        <v>0</v>
      </c>
      <c r="BO55" s="26">
        <v>0</v>
      </c>
    </row>
    <row r="56" spans="1:68" s="5" customFormat="1" ht="21.9" customHeight="1" x14ac:dyDescent="0.25">
      <c r="A56" s="125" t="s">
        <v>96</v>
      </c>
      <c r="B56" s="4"/>
      <c r="C56" s="47" t="s">
        <v>75</v>
      </c>
      <c r="D56" s="48"/>
      <c r="E56" s="16">
        <v>1330</v>
      </c>
      <c r="F56" s="16">
        <v>20</v>
      </c>
      <c r="G56" s="16">
        <v>5</v>
      </c>
      <c r="H56" s="16">
        <v>0</v>
      </c>
      <c r="I56" s="16">
        <v>10</v>
      </c>
      <c r="J56" s="16">
        <v>0</v>
      </c>
      <c r="K56" s="16">
        <v>36</v>
      </c>
      <c r="L56" s="16">
        <v>33</v>
      </c>
      <c r="M56" s="16">
        <v>12</v>
      </c>
      <c r="N56" s="16">
        <v>24</v>
      </c>
      <c r="O56" s="16">
        <v>5</v>
      </c>
      <c r="P56" s="16">
        <v>0</v>
      </c>
      <c r="Q56" s="16">
        <v>49</v>
      </c>
      <c r="R56" s="16">
        <v>43</v>
      </c>
      <c r="S56" s="16">
        <v>30</v>
      </c>
      <c r="T56" s="16">
        <v>7</v>
      </c>
      <c r="U56" s="16">
        <v>17</v>
      </c>
      <c r="V56" s="16">
        <v>22</v>
      </c>
      <c r="W56" s="16">
        <v>45</v>
      </c>
      <c r="X56" s="16">
        <v>25</v>
      </c>
      <c r="Y56" s="16">
        <v>35</v>
      </c>
      <c r="Z56" s="16">
        <v>15</v>
      </c>
      <c r="AA56" s="16">
        <v>28</v>
      </c>
      <c r="AB56" s="16">
        <v>30</v>
      </c>
      <c r="AC56" s="16">
        <v>0</v>
      </c>
      <c r="AD56" s="16">
        <v>52</v>
      </c>
      <c r="AE56" s="26">
        <v>0</v>
      </c>
      <c r="AF56" s="16">
        <v>1</v>
      </c>
      <c r="AG56" s="16">
        <v>492</v>
      </c>
      <c r="AH56" s="16">
        <v>0</v>
      </c>
      <c r="AI56" s="16">
        <v>24</v>
      </c>
      <c r="AJ56" s="26">
        <v>0</v>
      </c>
      <c r="AK56" s="98">
        <v>7</v>
      </c>
      <c r="AL56" s="16">
        <v>8</v>
      </c>
      <c r="AM56" s="16">
        <v>10</v>
      </c>
      <c r="AN56" s="16">
        <v>4</v>
      </c>
      <c r="AO56" s="26">
        <v>0</v>
      </c>
      <c r="AP56" s="26">
        <v>0</v>
      </c>
      <c r="AQ56" s="26">
        <v>0</v>
      </c>
      <c r="AR56" s="16">
        <v>42</v>
      </c>
      <c r="AS56" s="16">
        <v>0</v>
      </c>
      <c r="AT56" s="26">
        <v>10</v>
      </c>
      <c r="AU56" s="16">
        <v>83</v>
      </c>
      <c r="AV56" s="16">
        <v>4</v>
      </c>
      <c r="AW56" s="26">
        <v>0</v>
      </c>
      <c r="AX56" s="16">
        <v>0</v>
      </c>
      <c r="AY56" s="26">
        <v>0</v>
      </c>
      <c r="AZ56" s="26">
        <v>0</v>
      </c>
      <c r="BA56" s="26">
        <v>0</v>
      </c>
      <c r="BB56" s="26">
        <v>0</v>
      </c>
      <c r="BC56" s="26">
        <v>0</v>
      </c>
      <c r="BD56" s="26">
        <v>0</v>
      </c>
      <c r="BE56" s="16">
        <v>25</v>
      </c>
      <c r="BF56" s="16">
        <v>20</v>
      </c>
      <c r="BG56" s="26">
        <v>0</v>
      </c>
      <c r="BH56" s="26">
        <v>0</v>
      </c>
      <c r="BI56" s="26">
        <v>0</v>
      </c>
      <c r="BJ56" s="26">
        <v>0</v>
      </c>
      <c r="BK56" s="16">
        <v>20</v>
      </c>
      <c r="BL56" s="16">
        <v>0</v>
      </c>
      <c r="BM56" s="26">
        <v>0</v>
      </c>
      <c r="BN56" s="26">
        <v>0</v>
      </c>
      <c r="BO56" s="16">
        <v>37</v>
      </c>
    </row>
    <row r="57" spans="1:68" s="5" customFormat="1" ht="21.9" customHeight="1" x14ac:dyDescent="0.25">
      <c r="A57" s="134"/>
      <c r="B57" s="6"/>
      <c r="C57" s="49" t="s">
        <v>133</v>
      </c>
      <c r="D57" s="50"/>
      <c r="E57" s="55">
        <v>12</v>
      </c>
      <c r="F57" s="56">
        <v>0</v>
      </c>
      <c r="G57" s="56">
        <v>0</v>
      </c>
      <c r="H57" s="56">
        <v>0</v>
      </c>
      <c r="I57" s="56">
        <v>0</v>
      </c>
      <c r="J57" s="56">
        <v>0</v>
      </c>
      <c r="K57" s="56">
        <v>0</v>
      </c>
      <c r="L57" s="56">
        <v>0</v>
      </c>
      <c r="M57" s="56">
        <v>0</v>
      </c>
      <c r="N57" s="56">
        <v>1</v>
      </c>
      <c r="O57" s="56">
        <v>0</v>
      </c>
      <c r="P57" s="56">
        <v>0</v>
      </c>
      <c r="Q57" s="56">
        <v>2</v>
      </c>
      <c r="R57" s="56">
        <v>0</v>
      </c>
      <c r="S57" s="56">
        <v>0</v>
      </c>
      <c r="T57" s="56">
        <v>0</v>
      </c>
      <c r="U57" s="56">
        <v>0</v>
      </c>
      <c r="V57" s="56">
        <v>0</v>
      </c>
      <c r="W57" s="57">
        <v>0</v>
      </c>
      <c r="X57" s="56">
        <v>0</v>
      </c>
      <c r="Y57" s="56">
        <v>0</v>
      </c>
      <c r="Z57" s="56">
        <v>0</v>
      </c>
      <c r="AA57" s="56">
        <v>0</v>
      </c>
      <c r="AB57" s="56">
        <v>0</v>
      </c>
      <c r="AC57" s="57">
        <v>0</v>
      </c>
      <c r="AD57" s="56">
        <v>0</v>
      </c>
      <c r="AE57" s="56">
        <v>0</v>
      </c>
      <c r="AF57" s="56">
        <v>0</v>
      </c>
      <c r="AG57" s="57">
        <v>6</v>
      </c>
      <c r="AH57" s="56">
        <v>0</v>
      </c>
      <c r="AI57" s="56">
        <v>0</v>
      </c>
      <c r="AJ57" s="56">
        <v>0</v>
      </c>
      <c r="AK57" s="55">
        <v>0</v>
      </c>
      <c r="AL57" s="56">
        <v>0</v>
      </c>
      <c r="AM57" s="56">
        <v>0</v>
      </c>
      <c r="AN57" s="56">
        <v>0</v>
      </c>
      <c r="AO57" s="56">
        <v>0</v>
      </c>
      <c r="AP57" s="56">
        <v>0</v>
      </c>
      <c r="AQ57" s="56">
        <v>0</v>
      </c>
      <c r="AR57" s="56">
        <v>1</v>
      </c>
      <c r="AS57" s="56">
        <v>0</v>
      </c>
      <c r="AT57" s="56">
        <v>0</v>
      </c>
      <c r="AU57" s="56">
        <v>1</v>
      </c>
      <c r="AV57" s="56">
        <v>0</v>
      </c>
      <c r="AW57" s="56">
        <v>0</v>
      </c>
      <c r="AX57" s="56">
        <v>0</v>
      </c>
      <c r="AY57" s="56">
        <v>0</v>
      </c>
      <c r="AZ57" s="56">
        <v>0</v>
      </c>
      <c r="BA57" s="56">
        <v>0</v>
      </c>
      <c r="BB57" s="56">
        <v>0</v>
      </c>
      <c r="BC57" s="56">
        <v>0</v>
      </c>
      <c r="BD57" s="56">
        <v>0</v>
      </c>
      <c r="BE57" s="56">
        <v>0</v>
      </c>
      <c r="BF57" s="56">
        <v>0</v>
      </c>
      <c r="BG57" s="56">
        <v>0</v>
      </c>
      <c r="BH57" s="56">
        <v>0</v>
      </c>
      <c r="BI57" s="56">
        <v>0</v>
      </c>
      <c r="BJ57" s="56">
        <v>0</v>
      </c>
      <c r="BK57" s="56">
        <v>0</v>
      </c>
      <c r="BL57" s="56">
        <v>0</v>
      </c>
      <c r="BM57" s="56">
        <v>0</v>
      </c>
      <c r="BN57" s="56">
        <v>0</v>
      </c>
      <c r="BO57" s="57">
        <v>1</v>
      </c>
    </row>
    <row r="58" spans="1:68" s="5" customFormat="1" ht="21.9" customHeight="1" x14ac:dyDescent="0.3">
      <c r="A58" s="76" t="s">
        <v>190</v>
      </c>
      <c r="AK58" s="63" t="s">
        <v>191</v>
      </c>
      <c r="AL58" s="63"/>
      <c r="AM58" s="63"/>
      <c r="AN58" s="64"/>
      <c r="AO58" s="64"/>
      <c r="AP58" s="63" t="s">
        <v>178</v>
      </c>
      <c r="AQ58" s="63"/>
      <c r="AS58" s="63"/>
      <c r="AU58" s="58"/>
      <c r="AV58" s="63"/>
      <c r="AW58" s="5" t="s">
        <v>179</v>
      </c>
      <c r="AX58" s="64"/>
      <c r="AY58" s="64"/>
      <c r="BA58" s="58"/>
      <c r="BB58" s="63"/>
      <c r="BD58" s="65"/>
      <c r="BE58" s="64"/>
      <c r="BF58" s="5" t="s">
        <v>180</v>
      </c>
      <c r="BG58" s="58"/>
      <c r="BH58" s="76"/>
      <c r="BI58" s="62"/>
      <c r="BJ58" s="62"/>
    </row>
    <row r="59" spans="1:68" s="5" customFormat="1" ht="21.9" customHeight="1" x14ac:dyDescent="0.3">
      <c r="AK59" s="63"/>
      <c r="AL59" s="63"/>
      <c r="AM59" s="63"/>
      <c r="AN59" s="64"/>
      <c r="AO59" s="64"/>
      <c r="AP59" s="64"/>
      <c r="AQ59" s="65"/>
      <c r="AR59" s="63"/>
      <c r="AS59" s="63"/>
      <c r="AT59" s="63"/>
      <c r="AU59" s="58"/>
      <c r="AV59" s="63"/>
      <c r="AW59" s="65" t="s">
        <v>181</v>
      </c>
      <c r="AX59" s="63"/>
      <c r="AY59" s="63"/>
      <c r="BA59" s="63"/>
      <c r="BB59" s="63"/>
      <c r="BD59" s="65"/>
      <c r="BE59" s="63"/>
      <c r="BG59" s="59"/>
      <c r="BH59" s="58"/>
      <c r="BI59" s="62"/>
      <c r="BJ59" s="62"/>
    </row>
    <row r="60" spans="1:68" s="5" customFormat="1" ht="21.9" customHeight="1" x14ac:dyDescent="0.3">
      <c r="AK60" s="76" t="s">
        <v>192</v>
      </c>
      <c r="AL60" s="62"/>
      <c r="AM60" s="58"/>
      <c r="AN60" s="76"/>
      <c r="AO60" s="76"/>
      <c r="AP60" s="77"/>
      <c r="AQ60" s="76"/>
      <c r="AR60" s="104"/>
      <c r="AS60" s="76"/>
      <c r="AT60" s="76"/>
      <c r="AU60" s="76"/>
      <c r="AV60" s="76"/>
      <c r="AW60" s="76"/>
      <c r="AX60" s="77"/>
      <c r="AY60" s="76"/>
      <c r="AZ60" s="76"/>
      <c r="BA60" s="76"/>
      <c r="BB60" s="76"/>
      <c r="BC60" s="59"/>
      <c r="BD60" s="59"/>
      <c r="BE60" s="59"/>
      <c r="BF60" s="75"/>
      <c r="BG60" s="59"/>
      <c r="BH60" s="58"/>
      <c r="BI60" s="62"/>
      <c r="BJ60" s="62"/>
    </row>
    <row r="61" spans="1:68" s="5" customFormat="1" ht="21.9" customHeight="1" x14ac:dyDescent="0.3">
      <c r="E61" s="16"/>
      <c r="AK61" s="5" t="s">
        <v>195</v>
      </c>
      <c r="AL61" s="62"/>
      <c r="AM61" s="58"/>
      <c r="AN61" s="76"/>
      <c r="AO61" s="76"/>
      <c r="AP61" s="77"/>
      <c r="AQ61" s="76"/>
      <c r="AR61" s="104"/>
      <c r="AS61" s="76"/>
      <c r="AT61" s="76"/>
      <c r="AU61" s="76"/>
      <c r="AV61" s="76"/>
      <c r="AW61" s="76"/>
      <c r="AX61" s="77"/>
      <c r="AY61" s="76"/>
      <c r="AZ61" s="76"/>
      <c r="BA61" s="76"/>
      <c r="BB61" s="76"/>
      <c r="BC61" s="59"/>
      <c r="BD61" s="59"/>
      <c r="BE61" s="59"/>
      <c r="BF61" s="75"/>
      <c r="BG61" s="78"/>
      <c r="BH61" s="78"/>
      <c r="BI61" s="62"/>
      <c r="BJ61" s="62"/>
    </row>
    <row r="62" spans="1:68" s="5" customFormat="1" ht="21.9" customHeight="1" x14ac:dyDescent="0.3">
      <c r="E62" s="16"/>
      <c r="AK62" s="76" t="s">
        <v>193</v>
      </c>
      <c r="AL62" s="76"/>
      <c r="AM62" s="76"/>
      <c r="AN62" s="77"/>
      <c r="AO62" s="76"/>
      <c r="AP62" s="74"/>
      <c r="AQ62" s="74"/>
      <c r="AR62" s="74"/>
      <c r="AS62" s="76"/>
      <c r="AT62" s="76"/>
      <c r="AU62" s="76"/>
      <c r="AV62" s="76"/>
      <c r="AW62" s="76"/>
      <c r="AX62" s="77"/>
      <c r="AY62" s="76"/>
      <c r="AZ62" s="76"/>
      <c r="BA62" s="76"/>
      <c r="BB62" s="76"/>
      <c r="BC62" s="59"/>
      <c r="BD62" s="59"/>
      <c r="BE62" s="59"/>
      <c r="BF62" s="75"/>
      <c r="BG62" s="78"/>
      <c r="BH62" s="78"/>
      <c r="BI62" s="62"/>
      <c r="BJ62" s="62"/>
    </row>
    <row r="63" spans="1:68" s="5" customFormat="1" ht="21.9" customHeight="1" x14ac:dyDescent="0.25"/>
    <row r="64" spans="1:68" s="5" customFormat="1" ht="21.9" customHeight="1" x14ac:dyDescent="0.25"/>
    <row r="65" s="5" customFormat="1" ht="21.9" customHeight="1" x14ac:dyDescent="0.25"/>
  </sheetData>
  <mergeCells count="119">
    <mergeCell ref="AK1:AL1"/>
    <mergeCell ref="AK2:AL2"/>
    <mergeCell ref="A4:AJ4"/>
    <mergeCell ref="AF1:AG1"/>
    <mergeCell ref="AH1:AJ1"/>
    <mergeCell ref="AK4:BO4"/>
    <mergeCell ref="A1:B1"/>
    <mergeCell ref="A2:B2"/>
    <mergeCell ref="BK1:BL1"/>
    <mergeCell ref="AK3:BO3"/>
    <mergeCell ref="BM1:BO1"/>
    <mergeCell ref="BM2:BO2"/>
    <mergeCell ref="A3:AJ3"/>
    <mergeCell ref="AK6:AN6"/>
    <mergeCell ref="A6:D11"/>
    <mergeCell ref="BF7:BF11"/>
    <mergeCell ref="X7:X11"/>
    <mergeCell ref="AY6:AZ6"/>
    <mergeCell ref="AP7:AP11"/>
    <mergeCell ref="AZ7:AZ11"/>
    <mergeCell ref="Z7:Z11"/>
    <mergeCell ref="BB7:BB11"/>
    <mergeCell ref="BE7:BE11"/>
    <mergeCell ref="AS7:AS11"/>
    <mergeCell ref="AT7:AT11"/>
    <mergeCell ref="AO6:AQ6"/>
    <mergeCell ref="AQ7:AQ11"/>
    <mergeCell ref="AU7:AU11"/>
    <mergeCell ref="AG7:AG11"/>
    <mergeCell ref="AC7:AC11"/>
    <mergeCell ref="AJ7:AJ11"/>
    <mergeCell ref="AK7:AK11"/>
    <mergeCell ref="AL7:AL11"/>
    <mergeCell ref="Y7:Y11"/>
    <mergeCell ref="AD7:AD11"/>
    <mergeCell ref="AE7:AE11"/>
    <mergeCell ref="U7:U11"/>
    <mergeCell ref="BO7:BO11"/>
    <mergeCell ref="BM6:BO6"/>
    <mergeCell ref="BM7:BM11"/>
    <mergeCell ref="BN7:BN11"/>
    <mergeCell ref="AW6:AX6"/>
    <mergeCell ref="AH2:AJ2"/>
    <mergeCell ref="BK2:BL2"/>
    <mergeCell ref="AF2:AG2"/>
    <mergeCell ref="BA7:BA11"/>
    <mergeCell ref="BI6:BL6"/>
    <mergeCell ref="AV7:AV11"/>
    <mergeCell ref="AW7:AW11"/>
    <mergeCell ref="AX7:AX11"/>
    <mergeCell ref="AY7:AY11"/>
    <mergeCell ref="AR6:AS6"/>
    <mergeCell ref="BI7:BI11"/>
    <mergeCell ref="BJ7:BJ11"/>
    <mergeCell ref="BK7:BK11"/>
    <mergeCell ref="BL7:BL11"/>
    <mergeCell ref="AT6:AV6"/>
    <mergeCell ref="BA6:BB6"/>
    <mergeCell ref="BC6:BC11"/>
    <mergeCell ref="BD6:BF6"/>
    <mergeCell ref="BD7:BD11"/>
    <mergeCell ref="BG6:BG11"/>
    <mergeCell ref="BH6:BH11"/>
    <mergeCell ref="A54:A55"/>
    <mergeCell ref="A56:A57"/>
    <mergeCell ref="A36:A37"/>
    <mergeCell ref="A38:A39"/>
    <mergeCell ref="V7:V11"/>
    <mergeCell ref="W7:W11"/>
    <mergeCell ref="A42:A43"/>
    <mergeCell ref="A44:A45"/>
    <mergeCell ref="A48:A49"/>
    <mergeCell ref="A28:A29"/>
    <mergeCell ref="A50:A51"/>
    <mergeCell ref="A52:A53"/>
    <mergeCell ref="A34:A35"/>
    <mergeCell ref="A32:A33"/>
    <mergeCell ref="A30:A31"/>
    <mergeCell ref="A26:A27"/>
    <mergeCell ref="A46:A47"/>
    <mergeCell ref="A40:A41"/>
    <mergeCell ref="AM7:AM11"/>
    <mergeCell ref="AN7:AN11"/>
    <mergeCell ref="AO7:AO11"/>
    <mergeCell ref="AR7:AR11"/>
    <mergeCell ref="A24:A25"/>
    <mergeCell ref="A18:A19"/>
    <mergeCell ref="A16:A17"/>
    <mergeCell ref="J7:J11"/>
    <mergeCell ref="N7:N11"/>
    <mergeCell ref="P7:P11"/>
    <mergeCell ref="L7:L11"/>
    <mergeCell ref="K7:K11"/>
    <mergeCell ref="S7:S11"/>
    <mergeCell ref="A12:A13"/>
    <mergeCell ref="A14:A15"/>
    <mergeCell ref="A20:A21"/>
    <mergeCell ref="A22:A23"/>
    <mergeCell ref="AH7:AH11"/>
    <mergeCell ref="AI7:AI11"/>
    <mergeCell ref="AA7:AA11"/>
    <mergeCell ref="T6:AF6"/>
    <mergeCell ref="T7:T11"/>
    <mergeCell ref="F6:J6"/>
    <mergeCell ref="E6:E11"/>
    <mergeCell ref="F7:F11"/>
    <mergeCell ref="G7:G11"/>
    <mergeCell ref="H7:H11"/>
    <mergeCell ref="I7:I11"/>
    <mergeCell ref="AB7:AB11"/>
    <mergeCell ref="R7:R11"/>
    <mergeCell ref="K6:M6"/>
    <mergeCell ref="N6:P6"/>
    <mergeCell ref="Q6:S6"/>
    <mergeCell ref="Q7:Q11"/>
    <mergeCell ref="M7:M11"/>
    <mergeCell ref="O7:O11"/>
    <mergeCell ref="AF7:AF11"/>
    <mergeCell ref="AG6:AJ6"/>
  </mergeCells>
  <phoneticPr fontId="5" type="noConversion"/>
  <printOptions horizontalCentered="1"/>
  <pageMargins left="0.74803149606299213" right="0.74803149606299213" top="1.1811023622047245" bottom="0.78740157480314965" header="0" footer="0"/>
  <pageSetup paperSize="8" scale="6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65"/>
  <sheetViews>
    <sheetView zoomScale="80" zoomScaleNormal="80" workbookViewId="0">
      <selection activeCell="G7" sqref="G7:G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68" width="10.6640625" style="1" bestFit="1" customWidth="1"/>
    <col min="69"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E1" s="70"/>
      <c r="AF1" s="183" t="s">
        <v>45</v>
      </c>
      <c r="AG1" s="171"/>
      <c r="AH1" s="133" t="s">
        <v>334</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J1" s="69"/>
      <c r="BK1" s="170" t="s">
        <v>45</v>
      </c>
      <c r="BL1" s="171"/>
      <c r="BM1" s="133" t="s">
        <v>334</v>
      </c>
      <c r="BN1" s="173"/>
      <c r="BO1" s="174"/>
      <c r="BP1" s="38"/>
      <c r="BQ1" s="38"/>
    </row>
    <row r="2" spans="1:69"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41"/>
      <c r="AE2" s="71"/>
      <c r="AF2" s="184" t="s">
        <v>187</v>
      </c>
      <c r="AG2" s="166"/>
      <c r="AH2" s="167" t="s">
        <v>337</v>
      </c>
      <c r="AI2" s="168"/>
      <c r="AJ2" s="169"/>
      <c r="AK2" s="163" t="s">
        <v>279</v>
      </c>
      <c r="AL2" s="164"/>
      <c r="AM2" s="7" t="s">
        <v>290</v>
      </c>
      <c r="AN2" s="33"/>
      <c r="AO2" s="33"/>
      <c r="AP2" s="33"/>
      <c r="AQ2" s="33"/>
      <c r="AR2" s="33"/>
      <c r="AS2" s="33"/>
      <c r="AT2" s="33"/>
      <c r="AU2" s="33"/>
      <c r="AV2" s="33"/>
      <c r="AW2" s="33"/>
      <c r="AX2" s="33"/>
      <c r="AY2" s="33"/>
      <c r="AZ2" s="33"/>
      <c r="BA2" s="33"/>
      <c r="BB2" s="33"/>
      <c r="BC2" s="33"/>
      <c r="BD2" s="33"/>
      <c r="BE2" s="33"/>
      <c r="BF2" s="33"/>
      <c r="BG2" s="33"/>
      <c r="BH2" s="42"/>
      <c r="BI2" s="41"/>
      <c r="BJ2" s="72"/>
      <c r="BK2" s="165" t="s">
        <v>187</v>
      </c>
      <c r="BL2" s="166"/>
      <c r="BM2" s="167" t="s">
        <v>5</v>
      </c>
      <c r="BN2" s="168"/>
      <c r="BO2" s="169"/>
      <c r="BP2" s="43"/>
      <c r="BQ2" s="43"/>
    </row>
    <row r="3" spans="1:69" s="53" customFormat="1" ht="30" customHeight="1" x14ac:dyDescent="0.25">
      <c r="A3" s="159" t="s">
        <v>385</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388</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row>
    <row r="4" spans="1:69" s="37" customFormat="1" ht="26.1" customHeight="1" x14ac:dyDescent="0.25">
      <c r="A4" s="205" t="s">
        <v>350</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206" t="s">
        <v>350</v>
      </c>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row>
    <row r="5" spans="1:69" s="37" customFormat="1" ht="20.100000000000001" customHeight="1" x14ac:dyDescent="0.25">
      <c r="A5" s="40"/>
      <c r="B5" s="41"/>
      <c r="C5" s="41"/>
      <c r="D5" s="67"/>
      <c r="E5" s="67"/>
      <c r="F5" s="67"/>
      <c r="G5" s="67"/>
      <c r="H5" s="67"/>
      <c r="I5" s="67"/>
      <c r="J5" s="41"/>
      <c r="K5" s="67"/>
      <c r="L5" s="67"/>
      <c r="M5" s="67"/>
      <c r="N5" s="41"/>
      <c r="O5" s="67"/>
      <c r="P5" s="41"/>
      <c r="Q5" s="67"/>
      <c r="R5" s="44"/>
      <c r="S5" s="67"/>
      <c r="T5" s="33"/>
      <c r="U5" s="33"/>
      <c r="V5" s="33"/>
      <c r="W5" s="68"/>
      <c r="X5" s="5"/>
      <c r="Y5" s="33"/>
      <c r="Z5" s="33"/>
      <c r="AA5" s="33"/>
      <c r="AB5" s="33"/>
      <c r="AC5" s="33"/>
      <c r="AD5" s="33"/>
      <c r="AE5" s="33"/>
      <c r="AG5" s="33"/>
      <c r="AH5" s="33"/>
      <c r="AJ5" s="45" t="s">
        <v>48</v>
      </c>
      <c r="AK5" s="33"/>
      <c r="AL5" s="33"/>
      <c r="AM5" s="33"/>
      <c r="AN5" s="5"/>
      <c r="AO5" s="33"/>
      <c r="AP5" s="33"/>
      <c r="AQ5" s="33"/>
      <c r="AR5" s="33"/>
      <c r="AS5" s="33"/>
      <c r="AT5" s="33"/>
      <c r="AU5" s="33"/>
      <c r="AV5" s="33"/>
      <c r="AW5" s="44"/>
      <c r="AX5" s="45"/>
      <c r="AY5" s="45"/>
      <c r="AZ5" s="45"/>
      <c r="BA5" s="45"/>
      <c r="BB5" s="5"/>
      <c r="BC5" s="33"/>
      <c r="BD5" s="33"/>
      <c r="BE5" s="33"/>
      <c r="BF5" s="33"/>
      <c r="BG5" s="33"/>
      <c r="BH5" s="33"/>
      <c r="BI5" s="5"/>
      <c r="BJ5" s="5"/>
      <c r="BK5" s="5"/>
      <c r="BL5" s="5"/>
      <c r="BM5" s="5"/>
      <c r="BN5" s="5"/>
      <c r="BO5" s="46" t="s">
        <v>49</v>
      </c>
    </row>
    <row r="6" spans="1:69" s="5" customFormat="1" ht="27.9" customHeight="1" x14ac:dyDescent="0.25">
      <c r="A6" s="125" t="s">
        <v>144</v>
      </c>
      <c r="B6" s="125"/>
      <c r="C6" s="125"/>
      <c r="D6" s="125"/>
      <c r="E6" s="136" t="s">
        <v>50</v>
      </c>
      <c r="F6" s="187" t="s">
        <v>254</v>
      </c>
      <c r="G6" s="188"/>
      <c r="H6" s="188"/>
      <c r="I6" s="188"/>
      <c r="J6" s="189"/>
      <c r="K6" s="190" t="s">
        <v>52</v>
      </c>
      <c r="L6" s="191"/>
      <c r="M6" s="192"/>
      <c r="N6" s="193" t="s">
        <v>53</v>
      </c>
      <c r="O6" s="194"/>
      <c r="P6" s="195"/>
      <c r="Q6" s="193" t="s">
        <v>54</v>
      </c>
      <c r="R6" s="194"/>
      <c r="S6" s="195"/>
      <c r="T6" s="187" t="s">
        <v>55</v>
      </c>
      <c r="U6" s="188"/>
      <c r="V6" s="188"/>
      <c r="W6" s="188"/>
      <c r="X6" s="188"/>
      <c r="Y6" s="188"/>
      <c r="Z6" s="188"/>
      <c r="AA6" s="188"/>
      <c r="AB6" s="188"/>
      <c r="AC6" s="188"/>
      <c r="AD6" s="188"/>
      <c r="AE6" s="188"/>
      <c r="AF6" s="189"/>
      <c r="AG6" s="187" t="s">
        <v>121</v>
      </c>
      <c r="AH6" s="188"/>
      <c r="AI6" s="188"/>
      <c r="AJ6" s="189"/>
      <c r="AK6" s="187" t="s">
        <v>217</v>
      </c>
      <c r="AL6" s="188"/>
      <c r="AM6" s="188"/>
      <c r="AN6" s="188"/>
      <c r="AO6" s="187" t="s">
        <v>56</v>
      </c>
      <c r="AP6" s="188"/>
      <c r="AQ6" s="189"/>
      <c r="AR6" s="187" t="s">
        <v>57</v>
      </c>
      <c r="AS6" s="189"/>
      <c r="AT6" s="187" t="s">
        <v>58</v>
      </c>
      <c r="AU6" s="188"/>
      <c r="AV6" s="189"/>
      <c r="AW6" s="187" t="s">
        <v>59</v>
      </c>
      <c r="AX6" s="189"/>
      <c r="AY6" s="196" t="s">
        <v>60</v>
      </c>
      <c r="AZ6" s="197"/>
      <c r="BA6" s="196" t="s">
        <v>61</v>
      </c>
      <c r="BB6" s="197"/>
      <c r="BC6" s="180" t="s">
        <v>62</v>
      </c>
      <c r="BD6" s="196" t="s">
        <v>63</v>
      </c>
      <c r="BE6" s="201"/>
      <c r="BF6" s="197"/>
      <c r="BG6" s="176" t="s">
        <v>36</v>
      </c>
      <c r="BH6" s="180" t="s">
        <v>64</v>
      </c>
      <c r="BI6" s="187" t="s">
        <v>97</v>
      </c>
      <c r="BJ6" s="188"/>
      <c r="BK6" s="188"/>
      <c r="BL6" s="189"/>
      <c r="BM6" s="187" t="s">
        <v>65</v>
      </c>
      <c r="BN6" s="188"/>
      <c r="BO6" s="189"/>
    </row>
    <row r="7" spans="1:69" s="5" customFormat="1" ht="30" customHeight="1" x14ac:dyDescent="0.25">
      <c r="A7" s="125"/>
      <c r="B7" s="125"/>
      <c r="C7" s="125"/>
      <c r="D7" s="125"/>
      <c r="E7" s="136"/>
      <c r="F7" s="139" t="s">
        <v>221</v>
      </c>
      <c r="G7" s="139" t="s">
        <v>291</v>
      </c>
      <c r="H7" s="139" t="s">
        <v>66</v>
      </c>
      <c r="I7" s="130" t="s">
        <v>330</v>
      </c>
      <c r="J7" s="130" t="s">
        <v>331</v>
      </c>
      <c r="K7" s="139" t="s">
        <v>67</v>
      </c>
      <c r="L7" s="130" t="s">
        <v>333</v>
      </c>
      <c r="M7" s="139" t="s">
        <v>68</v>
      </c>
      <c r="N7" s="139" t="s">
        <v>293</v>
      </c>
      <c r="O7" s="139" t="s">
        <v>70</v>
      </c>
      <c r="P7" s="139" t="s">
        <v>71</v>
      </c>
      <c r="Q7" s="139" t="s">
        <v>294</v>
      </c>
      <c r="R7" s="130" t="s">
        <v>332</v>
      </c>
      <c r="S7" s="139" t="s">
        <v>72</v>
      </c>
      <c r="T7" s="139" t="s">
        <v>328</v>
      </c>
      <c r="U7" s="139" t="s">
        <v>296</v>
      </c>
      <c r="V7" s="139" t="s">
        <v>182</v>
      </c>
      <c r="W7" s="139" t="s">
        <v>118</v>
      </c>
      <c r="X7" s="139" t="s">
        <v>107</v>
      </c>
      <c r="Y7" s="139" t="s">
        <v>98</v>
      </c>
      <c r="Z7" s="139" t="s">
        <v>108</v>
      </c>
      <c r="AA7" s="130" t="s">
        <v>319</v>
      </c>
      <c r="AB7" s="139" t="s">
        <v>99</v>
      </c>
      <c r="AC7" s="139" t="s">
        <v>329</v>
      </c>
      <c r="AD7" s="139" t="s">
        <v>136</v>
      </c>
      <c r="AE7" s="139" t="s">
        <v>206</v>
      </c>
      <c r="AF7" s="139" t="s">
        <v>128</v>
      </c>
      <c r="AG7" s="139" t="s">
        <v>122</v>
      </c>
      <c r="AH7" s="139" t="s">
        <v>207</v>
      </c>
      <c r="AI7" s="139" t="s">
        <v>139</v>
      </c>
      <c r="AJ7" s="139" t="s">
        <v>211</v>
      </c>
      <c r="AK7" s="139" t="s">
        <v>129</v>
      </c>
      <c r="AL7" s="139" t="s">
        <v>102</v>
      </c>
      <c r="AM7" s="139" t="s">
        <v>130</v>
      </c>
      <c r="AN7" s="139" t="s">
        <v>208</v>
      </c>
      <c r="AO7" s="130" t="s">
        <v>274</v>
      </c>
      <c r="AP7" s="157" t="s">
        <v>233</v>
      </c>
      <c r="AQ7" s="139" t="s">
        <v>183</v>
      </c>
      <c r="AR7" s="139" t="s">
        <v>308</v>
      </c>
      <c r="AS7" s="139" t="s">
        <v>309</v>
      </c>
      <c r="AT7" s="130" t="s">
        <v>318</v>
      </c>
      <c r="AU7" s="139" t="s">
        <v>310</v>
      </c>
      <c r="AV7" s="139" t="s">
        <v>311</v>
      </c>
      <c r="AW7" s="139" t="s">
        <v>312</v>
      </c>
      <c r="AX7" s="139" t="s">
        <v>313</v>
      </c>
      <c r="AY7" s="139" t="s">
        <v>314</v>
      </c>
      <c r="AZ7" s="139" t="s">
        <v>315</v>
      </c>
      <c r="BA7" s="139" t="s">
        <v>316</v>
      </c>
      <c r="BB7" s="139" t="s">
        <v>317</v>
      </c>
      <c r="BC7" s="177"/>
      <c r="BD7" s="139" t="s">
        <v>116</v>
      </c>
      <c r="BE7" s="139" t="s">
        <v>73</v>
      </c>
      <c r="BF7" s="139" t="s">
        <v>138</v>
      </c>
      <c r="BG7" s="177"/>
      <c r="BH7" s="177"/>
      <c r="BI7" s="139" t="s">
        <v>119</v>
      </c>
      <c r="BJ7" s="139" t="s">
        <v>74</v>
      </c>
      <c r="BK7" s="132" t="s">
        <v>272</v>
      </c>
      <c r="BL7" s="139" t="s">
        <v>126</v>
      </c>
      <c r="BM7" s="139" t="s">
        <v>112</v>
      </c>
      <c r="BN7" s="139" t="s">
        <v>117</v>
      </c>
      <c r="BO7" s="139" t="s">
        <v>65</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58"/>
      <c r="AQ8" s="139"/>
      <c r="AR8" s="139"/>
      <c r="AS8" s="139"/>
      <c r="AT8" s="139"/>
      <c r="AU8" s="139"/>
      <c r="AV8" s="139"/>
      <c r="AW8" s="139"/>
      <c r="AX8" s="139"/>
      <c r="AY8" s="139"/>
      <c r="AZ8" s="139"/>
      <c r="BA8" s="139"/>
      <c r="BB8" s="139"/>
      <c r="BC8" s="177"/>
      <c r="BD8" s="139"/>
      <c r="BE8" s="139"/>
      <c r="BF8" s="139"/>
      <c r="BG8" s="177"/>
      <c r="BH8" s="177"/>
      <c r="BI8" s="139"/>
      <c r="BJ8" s="139"/>
      <c r="BK8" s="139"/>
      <c r="BL8" s="139"/>
      <c r="BM8" s="139"/>
      <c r="BN8" s="139"/>
      <c r="BO8" s="139"/>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58"/>
      <c r="AQ9" s="139"/>
      <c r="AR9" s="139"/>
      <c r="AS9" s="139"/>
      <c r="AT9" s="139"/>
      <c r="AU9" s="139"/>
      <c r="AV9" s="139"/>
      <c r="AW9" s="139"/>
      <c r="AX9" s="139"/>
      <c r="AY9" s="139"/>
      <c r="AZ9" s="139"/>
      <c r="BA9" s="139"/>
      <c r="BB9" s="139"/>
      <c r="BC9" s="177"/>
      <c r="BD9" s="139"/>
      <c r="BE9" s="139"/>
      <c r="BF9" s="139"/>
      <c r="BG9" s="177"/>
      <c r="BH9" s="177"/>
      <c r="BI9" s="139"/>
      <c r="BJ9" s="139"/>
      <c r="BK9" s="139"/>
      <c r="BL9" s="139"/>
      <c r="BM9" s="139"/>
      <c r="BN9" s="139"/>
      <c r="BO9" s="139"/>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58"/>
      <c r="AQ10" s="139"/>
      <c r="AR10" s="139"/>
      <c r="AS10" s="139"/>
      <c r="AT10" s="139"/>
      <c r="AU10" s="139"/>
      <c r="AV10" s="139"/>
      <c r="AW10" s="139"/>
      <c r="AX10" s="139"/>
      <c r="AY10" s="139"/>
      <c r="AZ10" s="139"/>
      <c r="BA10" s="139"/>
      <c r="BB10" s="139"/>
      <c r="BC10" s="177"/>
      <c r="BD10" s="139"/>
      <c r="BE10" s="139"/>
      <c r="BF10" s="139"/>
      <c r="BG10" s="177"/>
      <c r="BH10" s="177"/>
      <c r="BI10" s="139"/>
      <c r="BJ10" s="139"/>
      <c r="BK10" s="139"/>
      <c r="BL10" s="139"/>
      <c r="BM10" s="139"/>
      <c r="BN10" s="139"/>
      <c r="BO10" s="139"/>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58"/>
      <c r="AQ11" s="139"/>
      <c r="AR11" s="139"/>
      <c r="AS11" s="139"/>
      <c r="AT11" s="139"/>
      <c r="AU11" s="139"/>
      <c r="AV11" s="139"/>
      <c r="AW11" s="139"/>
      <c r="AX11" s="139"/>
      <c r="AY11" s="139"/>
      <c r="AZ11" s="139"/>
      <c r="BA11" s="139"/>
      <c r="BB11" s="139"/>
      <c r="BC11" s="178"/>
      <c r="BD11" s="139"/>
      <c r="BE11" s="139"/>
      <c r="BF11" s="139"/>
      <c r="BG11" s="178"/>
      <c r="BH11" s="178"/>
      <c r="BI11" s="139"/>
      <c r="BJ11" s="139"/>
      <c r="BK11" s="139"/>
      <c r="BL11" s="139"/>
      <c r="BM11" s="139"/>
      <c r="BN11" s="139"/>
      <c r="BO11" s="139"/>
    </row>
    <row r="12" spans="1:69" s="3" customFormat="1" ht="21.9" customHeight="1" x14ac:dyDescent="0.25">
      <c r="A12" s="125" t="s">
        <v>343</v>
      </c>
      <c r="B12" s="32"/>
      <c r="C12" s="51" t="s">
        <v>75</v>
      </c>
      <c r="D12" s="52"/>
      <c r="E12" s="16">
        <v>834814</v>
      </c>
      <c r="F12" s="16">
        <v>15966</v>
      </c>
      <c r="G12" s="16">
        <v>12789</v>
      </c>
      <c r="H12" s="16">
        <v>6129</v>
      </c>
      <c r="I12" s="16">
        <v>7712</v>
      </c>
      <c r="J12" s="16">
        <v>1682</v>
      </c>
      <c r="K12" s="16">
        <v>20170</v>
      </c>
      <c r="L12" s="16">
        <v>19671</v>
      </c>
      <c r="M12" s="16">
        <v>10230</v>
      </c>
      <c r="N12" s="16">
        <v>4245</v>
      </c>
      <c r="O12" s="16">
        <v>4849</v>
      </c>
      <c r="P12" s="16">
        <v>628</v>
      </c>
      <c r="Q12" s="16">
        <v>7013</v>
      </c>
      <c r="R12" s="16">
        <v>12206</v>
      </c>
      <c r="S12" s="16">
        <v>10677</v>
      </c>
      <c r="T12" s="16">
        <v>12748</v>
      </c>
      <c r="U12" s="16">
        <v>24747</v>
      </c>
      <c r="V12" s="16">
        <v>8361</v>
      </c>
      <c r="W12" s="16">
        <v>11722</v>
      </c>
      <c r="X12" s="16">
        <v>5944</v>
      </c>
      <c r="Y12" s="16">
        <v>29400</v>
      </c>
      <c r="Z12" s="16">
        <v>16122</v>
      </c>
      <c r="AA12" s="16">
        <v>6343</v>
      </c>
      <c r="AB12" s="16">
        <v>11150</v>
      </c>
      <c r="AC12" s="16">
        <v>4669</v>
      </c>
      <c r="AD12" s="16">
        <v>93346</v>
      </c>
      <c r="AE12" s="16">
        <v>48226</v>
      </c>
      <c r="AF12" s="16">
        <v>10763</v>
      </c>
      <c r="AG12" s="16">
        <v>19851</v>
      </c>
      <c r="AH12" s="16">
        <v>7859</v>
      </c>
      <c r="AI12" s="16">
        <v>18251</v>
      </c>
      <c r="AJ12" s="16">
        <v>2746</v>
      </c>
      <c r="AK12" s="16">
        <v>7308</v>
      </c>
      <c r="AL12" s="16">
        <v>5208</v>
      </c>
      <c r="AM12" s="16">
        <v>4339</v>
      </c>
      <c r="AN12" s="16">
        <v>22500</v>
      </c>
      <c r="AO12" s="16">
        <v>1720</v>
      </c>
      <c r="AP12" s="16">
        <v>2449</v>
      </c>
      <c r="AQ12" s="16">
        <v>1755</v>
      </c>
      <c r="AR12" s="16">
        <v>5621</v>
      </c>
      <c r="AS12" s="16">
        <v>6796</v>
      </c>
      <c r="AT12" s="16">
        <v>24135</v>
      </c>
      <c r="AU12" s="16">
        <v>55061</v>
      </c>
      <c r="AV12" s="16">
        <v>22778</v>
      </c>
      <c r="AW12" s="16">
        <v>2389</v>
      </c>
      <c r="AX12" s="16">
        <v>15883</v>
      </c>
      <c r="AY12" s="16">
        <v>3685</v>
      </c>
      <c r="AZ12" s="16">
        <v>296</v>
      </c>
      <c r="BA12" s="16">
        <v>1430</v>
      </c>
      <c r="BB12" s="16">
        <v>2012</v>
      </c>
      <c r="BC12" s="16">
        <v>2867</v>
      </c>
      <c r="BD12" s="16">
        <v>14169</v>
      </c>
      <c r="BE12" s="16">
        <v>17368</v>
      </c>
      <c r="BF12" s="16">
        <v>19552</v>
      </c>
      <c r="BG12" s="16">
        <v>40918</v>
      </c>
      <c r="BH12" s="16">
        <v>11623</v>
      </c>
      <c r="BI12" s="16">
        <v>8160</v>
      </c>
      <c r="BJ12" s="16">
        <v>16000</v>
      </c>
      <c r="BK12" s="16">
        <v>15201</v>
      </c>
      <c r="BL12" s="16">
        <v>13327</v>
      </c>
      <c r="BM12" s="16">
        <v>7773</v>
      </c>
      <c r="BN12" s="16">
        <v>4806</v>
      </c>
      <c r="BO12" s="16">
        <v>11470</v>
      </c>
    </row>
    <row r="13" spans="1:69" s="3" customFormat="1" ht="21.9" customHeight="1" x14ac:dyDescent="0.25">
      <c r="A13" s="125"/>
      <c r="B13" s="5"/>
      <c r="C13" s="47" t="s">
        <v>76</v>
      </c>
      <c r="D13" s="48"/>
      <c r="E13" s="16">
        <v>17775</v>
      </c>
      <c r="F13" s="26">
        <v>6</v>
      </c>
      <c r="G13" s="26">
        <v>4</v>
      </c>
      <c r="H13" s="26">
        <v>6</v>
      </c>
      <c r="I13" s="26">
        <v>42</v>
      </c>
      <c r="J13" s="26">
        <v>0</v>
      </c>
      <c r="K13" s="26">
        <v>11</v>
      </c>
      <c r="L13" s="26">
        <v>105</v>
      </c>
      <c r="M13" s="26">
        <v>3</v>
      </c>
      <c r="N13" s="26">
        <v>1</v>
      </c>
      <c r="O13" s="26">
        <v>11</v>
      </c>
      <c r="P13" s="26">
        <v>0</v>
      </c>
      <c r="Q13" s="26">
        <v>25</v>
      </c>
      <c r="R13" s="26">
        <v>206</v>
      </c>
      <c r="S13" s="26">
        <v>37</v>
      </c>
      <c r="T13" s="26">
        <v>23</v>
      </c>
      <c r="U13" s="26">
        <v>302</v>
      </c>
      <c r="V13" s="26">
        <v>31</v>
      </c>
      <c r="W13" s="26">
        <v>125</v>
      </c>
      <c r="X13" s="26">
        <v>43</v>
      </c>
      <c r="Y13" s="26">
        <v>176</v>
      </c>
      <c r="Z13" s="26">
        <v>205</v>
      </c>
      <c r="AA13" s="26">
        <v>8</v>
      </c>
      <c r="AB13" s="26">
        <v>67</v>
      </c>
      <c r="AC13" s="26">
        <v>58</v>
      </c>
      <c r="AD13" s="26">
        <v>302</v>
      </c>
      <c r="AE13" s="26">
        <v>170</v>
      </c>
      <c r="AF13" s="26">
        <v>51</v>
      </c>
      <c r="AG13" s="26">
        <v>330</v>
      </c>
      <c r="AH13" s="26">
        <v>247</v>
      </c>
      <c r="AI13" s="26">
        <v>88</v>
      </c>
      <c r="AJ13" s="26">
        <v>1</v>
      </c>
      <c r="AK13" s="26">
        <v>168</v>
      </c>
      <c r="AL13" s="26">
        <v>10</v>
      </c>
      <c r="AM13" s="26">
        <v>7</v>
      </c>
      <c r="AN13" s="26">
        <v>334</v>
      </c>
      <c r="AO13" s="26">
        <v>1</v>
      </c>
      <c r="AP13" s="26">
        <v>2</v>
      </c>
      <c r="AQ13" s="26">
        <v>15</v>
      </c>
      <c r="AR13" s="26">
        <v>206</v>
      </c>
      <c r="AS13" s="26">
        <v>82</v>
      </c>
      <c r="AT13" s="26">
        <v>5</v>
      </c>
      <c r="AU13" s="26">
        <v>386</v>
      </c>
      <c r="AV13" s="26">
        <v>227</v>
      </c>
      <c r="AW13" s="26">
        <v>1</v>
      </c>
      <c r="AX13" s="26">
        <v>27</v>
      </c>
      <c r="AY13" s="26">
        <v>6</v>
      </c>
      <c r="AZ13" s="26">
        <v>2</v>
      </c>
      <c r="BA13" s="26">
        <v>9</v>
      </c>
      <c r="BB13" s="26">
        <v>0</v>
      </c>
      <c r="BC13" s="26">
        <v>0</v>
      </c>
      <c r="BD13" s="26">
        <v>20</v>
      </c>
      <c r="BE13" s="26">
        <v>108</v>
      </c>
      <c r="BF13" s="26">
        <v>128</v>
      </c>
      <c r="BG13" s="26">
        <v>11898</v>
      </c>
      <c r="BH13" s="26">
        <v>88</v>
      </c>
      <c r="BI13" s="26">
        <v>58</v>
      </c>
      <c r="BJ13" s="26">
        <v>114</v>
      </c>
      <c r="BK13" s="26">
        <v>101</v>
      </c>
      <c r="BL13" s="26">
        <v>87</v>
      </c>
      <c r="BM13" s="26">
        <v>2</v>
      </c>
      <c r="BN13" s="26">
        <v>1</v>
      </c>
      <c r="BO13" s="26">
        <v>998</v>
      </c>
    </row>
    <row r="14" spans="1:69" s="5" customFormat="1" ht="21.9" customHeight="1" x14ac:dyDescent="0.25">
      <c r="A14" s="125" t="s">
        <v>281</v>
      </c>
      <c r="B14" s="4"/>
      <c r="C14" s="47" t="s">
        <v>75</v>
      </c>
      <c r="D14" s="48"/>
      <c r="E14" s="16">
        <v>31117</v>
      </c>
      <c r="F14" s="16">
        <v>222</v>
      </c>
      <c r="G14" s="16">
        <v>500</v>
      </c>
      <c r="H14" s="16">
        <v>103</v>
      </c>
      <c r="I14" s="16">
        <v>313</v>
      </c>
      <c r="J14" s="16">
        <v>0</v>
      </c>
      <c r="K14" s="16">
        <v>144</v>
      </c>
      <c r="L14" s="16">
        <v>1356</v>
      </c>
      <c r="M14" s="16">
        <v>197</v>
      </c>
      <c r="N14" s="16">
        <v>29</v>
      </c>
      <c r="O14" s="16">
        <v>147</v>
      </c>
      <c r="P14" s="16">
        <v>0</v>
      </c>
      <c r="Q14" s="16">
        <v>358</v>
      </c>
      <c r="R14" s="16">
        <v>1045</v>
      </c>
      <c r="S14" s="16">
        <v>291</v>
      </c>
      <c r="T14" s="16">
        <v>526</v>
      </c>
      <c r="U14" s="16">
        <v>631</v>
      </c>
      <c r="V14" s="16">
        <v>81</v>
      </c>
      <c r="W14" s="16">
        <v>289</v>
      </c>
      <c r="X14" s="16">
        <v>96</v>
      </c>
      <c r="Y14" s="16">
        <v>1731</v>
      </c>
      <c r="Z14" s="16">
        <v>176</v>
      </c>
      <c r="AA14" s="16">
        <v>327</v>
      </c>
      <c r="AB14" s="16">
        <v>243</v>
      </c>
      <c r="AC14" s="16">
        <v>139</v>
      </c>
      <c r="AD14" s="16">
        <v>4385</v>
      </c>
      <c r="AE14" s="16">
        <v>1777</v>
      </c>
      <c r="AF14" s="16">
        <v>402</v>
      </c>
      <c r="AG14" s="16">
        <v>2038</v>
      </c>
      <c r="AH14" s="16">
        <v>156</v>
      </c>
      <c r="AI14" s="16">
        <v>278</v>
      </c>
      <c r="AJ14" s="16">
        <v>78</v>
      </c>
      <c r="AK14" s="16">
        <v>162</v>
      </c>
      <c r="AL14" s="16">
        <v>62</v>
      </c>
      <c r="AM14" s="16">
        <v>111</v>
      </c>
      <c r="AN14" s="16">
        <v>566</v>
      </c>
      <c r="AO14" s="16">
        <v>0</v>
      </c>
      <c r="AP14" s="16">
        <v>0</v>
      </c>
      <c r="AQ14" s="16">
        <v>12</v>
      </c>
      <c r="AR14" s="16">
        <v>187</v>
      </c>
      <c r="AS14" s="16">
        <v>171</v>
      </c>
      <c r="AT14" s="16">
        <v>253</v>
      </c>
      <c r="AU14" s="16">
        <v>2994</v>
      </c>
      <c r="AV14" s="16">
        <v>62</v>
      </c>
      <c r="AW14" s="16">
        <v>11</v>
      </c>
      <c r="AX14" s="16">
        <v>298</v>
      </c>
      <c r="AY14" s="16">
        <v>4</v>
      </c>
      <c r="AZ14" s="16">
        <v>23</v>
      </c>
      <c r="BA14" s="16">
        <v>14</v>
      </c>
      <c r="BB14" s="16">
        <v>0</v>
      </c>
      <c r="BC14" s="16">
        <v>0</v>
      </c>
      <c r="BD14" s="16">
        <v>174</v>
      </c>
      <c r="BE14" s="16">
        <v>751</v>
      </c>
      <c r="BF14" s="16">
        <v>2183</v>
      </c>
      <c r="BG14" s="16">
        <v>2101</v>
      </c>
      <c r="BH14" s="16">
        <v>495</v>
      </c>
      <c r="BI14" s="16">
        <v>175</v>
      </c>
      <c r="BJ14" s="16">
        <v>434</v>
      </c>
      <c r="BK14" s="16">
        <v>143</v>
      </c>
      <c r="BL14" s="16">
        <v>292</v>
      </c>
      <c r="BM14" s="16">
        <v>72</v>
      </c>
      <c r="BN14" s="16">
        <v>0</v>
      </c>
      <c r="BO14" s="16">
        <v>1309</v>
      </c>
    </row>
    <row r="15" spans="1:69" s="5" customFormat="1" ht="21.9" customHeight="1" x14ac:dyDescent="0.25">
      <c r="A15" s="125"/>
      <c r="B15" s="4"/>
      <c r="C15" s="47" t="s">
        <v>76</v>
      </c>
      <c r="D15" s="48"/>
      <c r="E15" s="16">
        <v>1679</v>
      </c>
      <c r="F15" s="26">
        <v>1</v>
      </c>
      <c r="G15" s="26">
        <v>0</v>
      </c>
      <c r="H15" s="26">
        <v>3</v>
      </c>
      <c r="I15" s="26">
        <v>7</v>
      </c>
      <c r="J15" s="26">
        <v>0</v>
      </c>
      <c r="K15" s="26">
        <v>3</v>
      </c>
      <c r="L15" s="26">
        <v>9</v>
      </c>
      <c r="M15" s="26">
        <v>0</v>
      </c>
      <c r="N15" s="26">
        <v>0</v>
      </c>
      <c r="O15" s="26">
        <v>0</v>
      </c>
      <c r="P15" s="26">
        <v>0</v>
      </c>
      <c r="Q15" s="26">
        <v>4</v>
      </c>
      <c r="R15" s="26">
        <v>15</v>
      </c>
      <c r="S15" s="26">
        <v>0</v>
      </c>
      <c r="T15" s="16">
        <v>4</v>
      </c>
      <c r="U15" s="16">
        <v>23</v>
      </c>
      <c r="V15" s="16">
        <v>2</v>
      </c>
      <c r="W15" s="16">
        <v>24</v>
      </c>
      <c r="X15" s="16">
        <v>7</v>
      </c>
      <c r="Y15" s="16">
        <v>14</v>
      </c>
      <c r="Z15" s="16">
        <v>20</v>
      </c>
      <c r="AA15" s="16">
        <v>1</v>
      </c>
      <c r="AB15" s="16">
        <v>7</v>
      </c>
      <c r="AC15" s="16">
        <v>4</v>
      </c>
      <c r="AD15" s="16">
        <v>51</v>
      </c>
      <c r="AE15" s="16">
        <v>34</v>
      </c>
      <c r="AF15" s="16">
        <v>3</v>
      </c>
      <c r="AG15" s="16">
        <v>20</v>
      </c>
      <c r="AH15" s="16">
        <v>14</v>
      </c>
      <c r="AI15" s="16">
        <v>10</v>
      </c>
      <c r="AJ15" s="16">
        <v>0</v>
      </c>
      <c r="AK15" s="16">
        <v>10</v>
      </c>
      <c r="AL15" s="16">
        <v>1</v>
      </c>
      <c r="AM15" s="16">
        <v>3</v>
      </c>
      <c r="AN15" s="16">
        <v>29</v>
      </c>
      <c r="AO15" s="26">
        <v>0</v>
      </c>
      <c r="AP15" s="26">
        <v>0</v>
      </c>
      <c r="AQ15" s="26">
        <v>1</v>
      </c>
      <c r="AR15" s="26">
        <v>50</v>
      </c>
      <c r="AS15" s="26">
        <v>26</v>
      </c>
      <c r="AT15" s="26">
        <v>3</v>
      </c>
      <c r="AU15" s="26">
        <v>35</v>
      </c>
      <c r="AV15" s="26">
        <v>0</v>
      </c>
      <c r="AW15" s="26">
        <v>1</v>
      </c>
      <c r="AX15" s="26">
        <v>1</v>
      </c>
      <c r="AY15" s="16">
        <v>4</v>
      </c>
      <c r="AZ15" s="16">
        <v>0</v>
      </c>
      <c r="BA15" s="16">
        <v>0</v>
      </c>
      <c r="BB15" s="16">
        <v>0</v>
      </c>
      <c r="BC15" s="16">
        <v>0</v>
      </c>
      <c r="BD15" s="16">
        <v>1</v>
      </c>
      <c r="BE15" s="16">
        <v>7</v>
      </c>
      <c r="BF15" s="16">
        <v>32</v>
      </c>
      <c r="BG15" s="16">
        <v>898</v>
      </c>
      <c r="BH15" s="16">
        <v>10</v>
      </c>
      <c r="BI15" s="16">
        <v>1</v>
      </c>
      <c r="BJ15" s="16">
        <v>28</v>
      </c>
      <c r="BK15" s="16">
        <v>4</v>
      </c>
      <c r="BL15" s="16">
        <v>5</v>
      </c>
      <c r="BM15" s="16">
        <v>0</v>
      </c>
      <c r="BN15" s="16">
        <v>0</v>
      </c>
      <c r="BO15" s="16">
        <v>249</v>
      </c>
    </row>
    <row r="16" spans="1:69" s="5" customFormat="1" ht="21.9" customHeight="1" x14ac:dyDescent="0.25">
      <c r="A16" s="125" t="s">
        <v>282</v>
      </c>
      <c r="B16" s="4"/>
      <c r="C16" s="47" t="s">
        <v>212</v>
      </c>
      <c r="D16" s="48"/>
      <c r="E16" s="16">
        <v>114245</v>
      </c>
      <c r="F16" s="16">
        <v>2502</v>
      </c>
      <c r="G16" s="16">
        <v>2312</v>
      </c>
      <c r="H16" s="16">
        <v>1143</v>
      </c>
      <c r="I16" s="16">
        <v>598</v>
      </c>
      <c r="J16" s="16">
        <v>537</v>
      </c>
      <c r="K16" s="16">
        <v>3968</v>
      </c>
      <c r="L16" s="16">
        <v>3682</v>
      </c>
      <c r="M16" s="16">
        <v>1381</v>
      </c>
      <c r="N16" s="16">
        <v>936</v>
      </c>
      <c r="O16" s="16">
        <v>921</v>
      </c>
      <c r="P16" s="16">
        <v>248</v>
      </c>
      <c r="Q16" s="16">
        <v>1478</v>
      </c>
      <c r="R16" s="16">
        <v>1336</v>
      </c>
      <c r="S16" s="16">
        <v>907</v>
      </c>
      <c r="T16" s="16">
        <v>3558</v>
      </c>
      <c r="U16" s="16">
        <v>4874</v>
      </c>
      <c r="V16" s="16">
        <v>2208</v>
      </c>
      <c r="W16" s="16">
        <v>2889</v>
      </c>
      <c r="X16" s="16">
        <v>1813</v>
      </c>
      <c r="Y16" s="16">
        <v>2415</v>
      </c>
      <c r="Z16" s="16">
        <v>2290</v>
      </c>
      <c r="AA16" s="16">
        <v>1240</v>
      </c>
      <c r="AB16" s="16">
        <v>2023</v>
      </c>
      <c r="AC16" s="16">
        <v>118</v>
      </c>
      <c r="AD16" s="16">
        <v>9849</v>
      </c>
      <c r="AE16" s="16">
        <v>7537</v>
      </c>
      <c r="AF16" s="16">
        <v>2578</v>
      </c>
      <c r="AG16" s="16">
        <v>3211</v>
      </c>
      <c r="AH16" s="16">
        <v>1077</v>
      </c>
      <c r="AI16" s="16">
        <v>1541</v>
      </c>
      <c r="AJ16" s="16">
        <v>949</v>
      </c>
      <c r="AK16" s="16">
        <v>2226</v>
      </c>
      <c r="AL16" s="16">
        <v>1554</v>
      </c>
      <c r="AM16" s="16">
        <v>1549</v>
      </c>
      <c r="AN16" s="16">
        <v>2023</v>
      </c>
      <c r="AO16" s="16">
        <v>214</v>
      </c>
      <c r="AP16" s="16">
        <v>221</v>
      </c>
      <c r="AQ16" s="16">
        <v>108</v>
      </c>
      <c r="AR16" s="16">
        <v>521</v>
      </c>
      <c r="AS16" s="16">
        <v>1067</v>
      </c>
      <c r="AT16" s="16">
        <v>3652</v>
      </c>
      <c r="AU16" s="16">
        <v>4307</v>
      </c>
      <c r="AV16" s="16">
        <v>2799</v>
      </c>
      <c r="AW16" s="16">
        <v>238</v>
      </c>
      <c r="AX16" s="16">
        <v>583</v>
      </c>
      <c r="AY16" s="16">
        <v>376</v>
      </c>
      <c r="AZ16" s="16">
        <v>0</v>
      </c>
      <c r="BA16" s="16">
        <v>505</v>
      </c>
      <c r="BB16" s="16">
        <v>380</v>
      </c>
      <c r="BC16" s="16">
        <v>428</v>
      </c>
      <c r="BD16" s="16">
        <v>2669</v>
      </c>
      <c r="BE16" s="16">
        <v>2589</v>
      </c>
      <c r="BF16" s="16">
        <v>2220</v>
      </c>
      <c r="BG16" s="16">
        <v>1629</v>
      </c>
      <c r="BH16" s="16">
        <v>1653</v>
      </c>
      <c r="BI16" s="16">
        <v>571</v>
      </c>
      <c r="BJ16" s="16">
        <v>1650</v>
      </c>
      <c r="BK16" s="16">
        <v>1640</v>
      </c>
      <c r="BL16" s="16">
        <v>1174</v>
      </c>
      <c r="BM16" s="16">
        <v>1511</v>
      </c>
      <c r="BN16" s="16">
        <v>427</v>
      </c>
      <c r="BO16" s="16">
        <v>1642</v>
      </c>
    </row>
    <row r="17" spans="1:67" s="5" customFormat="1" ht="21.9" customHeight="1" x14ac:dyDescent="0.25">
      <c r="A17" s="125"/>
      <c r="B17" s="4"/>
      <c r="C17" s="47" t="s">
        <v>76</v>
      </c>
      <c r="D17" s="48"/>
      <c r="E17" s="16">
        <v>1139</v>
      </c>
      <c r="F17" s="26">
        <v>0</v>
      </c>
      <c r="G17" s="26">
        <v>0</v>
      </c>
      <c r="H17" s="26">
        <v>1</v>
      </c>
      <c r="I17" s="26">
        <v>17</v>
      </c>
      <c r="J17" s="26">
        <v>0</v>
      </c>
      <c r="K17" s="26">
        <v>0</v>
      </c>
      <c r="L17" s="26">
        <v>2</v>
      </c>
      <c r="M17" s="26">
        <v>0</v>
      </c>
      <c r="N17" s="26">
        <v>0</v>
      </c>
      <c r="O17" s="26">
        <v>0</v>
      </c>
      <c r="P17" s="26">
        <v>0</v>
      </c>
      <c r="Q17" s="26">
        <v>7</v>
      </c>
      <c r="R17" s="26">
        <v>7</v>
      </c>
      <c r="S17" s="26">
        <v>0</v>
      </c>
      <c r="T17" s="16">
        <v>0</v>
      </c>
      <c r="U17" s="16">
        <v>69</v>
      </c>
      <c r="V17" s="16">
        <v>5</v>
      </c>
      <c r="W17" s="16">
        <v>11</v>
      </c>
      <c r="X17" s="16">
        <v>2</v>
      </c>
      <c r="Y17" s="16">
        <v>4</v>
      </c>
      <c r="Z17" s="16">
        <v>77</v>
      </c>
      <c r="AA17" s="16">
        <v>0</v>
      </c>
      <c r="AB17" s="16">
        <v>4</v>
      </c>
      <c r="AC17" s="16">
        <v>1</v>
      </c>
      <c r="AD17" s="16">
        <v>13</v>
      </c>
      <c r="AE17" s="16">
        <v>4</v>
      </c>
      <c r="AF17" s="16">
        <v>2</v>
      </c>
      <c r="AG17" s="16">
        <v>58</v>
      </c>
      <c r="AH17" s="16">
        <v>14</v>
      </c>
      <c r="AI17" s="16">
        <v>0</v>
      </c>
      <c r="AJ17" s="16">
        <v>0</v>
      </c>
      <c r="AK17" s="16">
        <v>30</v>
      </c>
      <c r="AL17" s="16">
        <v>0</v>
      </c>
      <c r="AM17" s="16">
        <v>0</v>
      </c>
      <c r="AN17" s="16">
        <v>17</v>
      </c>
      <c r="AO17" s="26">
        <v>0</v>
      </c>
      <c r="AP17" s="26">
        <v>0</v>
      </c>
      <c r="AQ17" s="26">
        <v>0</v>
      </c>
      <c r="AR17" s="26">
        <v>63</v>
      </c>
      <c r="AS17" s="26">
        <v>30</v>
      </c>
      <c r="AT17" s="26">
        <v>0</v>
      </c>
      <c r="AU17" s="26">
        <v>85</v>
      </c>
      <c r="AV17" s="26">
        <v>2</v>
      </c>
      <c r="AW17" s="26">
        <v>0</v>
      </c>
      <c r="AX17" s="26">
        <v>1</v>
      </c>
      <c r="AY17" s="16">
        <v>0</v>
      </c>
      <c r="AZ17" s="16">
        <v>0</v>
      </c>
      <c r="BA17" s="16">
        <v>6</v>
      </c>
      <c r="BB17" s="16">
        <v>0</v>
      </c>
      <c r="BC17" s="16">
        <v>0</v>
      </c>
      <c r="BD17" s="16">
        <v>0</v>
      </c>
      <c r="BE17" s="16">
        <v>2</v>
      </c>
      <c r="BF17" s="16">
        <v>3</v>
      </c>
      <c r="BG17" s="16">
        <v>503</v>
      </c>
      <c r="BH17" s="16">
        <v>0</v>
      </c>
      <c r="BI17" s="16">
        <v>0</v>
      </c>
      <c r="BJ17" s="16">
        <v>10</v>
      </c>
      <c r="BK17" s="16">
        <v>33</v>
      </c>
      <c r="BL17" s="16">
        <v>1</v>
      </c>
      <c r="BM17" s="16">
        <v>0</v>
      </c>
      <c r="BN17" s="16">
        <v>0</v>
      </c>
      <c r="BO17" s="16">
        <v>55</v>
      </c>
    </row>
    <row r="18" spans="1:67" s="5" customFormat="1" ht="21.9" customHeight="1" x14ac:dyDescent="0.25">
      <c r="A18" s="125" t="s">
        <v>250</v>
      </c>
      <c r="B18" s="4"/>
      <c r="C18" s="47" t="s">
        <v>75</v>
      </c>
      <c r="D18" s="48"/>
      <c r="E18" s="16">
        <v>51019</v>
      </c>
      <c r="F18" s="16">
        <v>1229</v>
      </c>
      <c r="G18" s="16">
        <v>915</v>
      </c>
      <c r="H18" s="16">
        <v>349</v>
      </c>
      <c r="I18" s="16">
        <v>381</v>
      </c>
      <c r="J18" s="16">
        <v>168</v>
      </c>
      <c r="K18" s="16">
        <v>1310</v>
      </c>
      <c r="L18" s="16">
        <v>1169</v>
      </c>
      <c r="M18" s="16">
        <v>478</v>
      </c>
      <c r="N18" s="16">
        <v>395</v>
      </c>
      <c r="O18" s="16">
        <v>278</v>
      </c>
      <c r="P18" s="16">
        <v>148</v>
      </c>
      <c r="Q18" s="16">
        <v>670</v>
      </c>
      <c r="R18" s="16">
        <v>844</v>
      </c>
      <c r="S18" s="16">
        <v>426</v>
      </c>
      <c r="T18" s="16">
        <v>556</v>
      </c>
      <c r="U18" s="16">
        <v>1633</v>
      </c>
      <c r="V18" s="16">
        <v>383</v>
      </c>
      <c r="W18" s="16">
        <v>1237</v>
      </c>
      <c r="X18" s="16">
        <v>405</v>
      </c>
      <c r="Y18" s="16">
        <v>728</v>
      </c>
      <c r="Z18" s="16">
        <v>1784</v>
      </c>
      <c r="AA18" s="16">
        <v>357</v>
      </c>
      <c r="AB18" s="16">
        <v>416</v>
      </c>
      <c r="AC18" s="16">
        <v>107</v>
      </c>
      <c r="AD18" s="16">
        <v>7180</v>
      </c>
      <c r="AE18" s="16">
        <v>2332</v>
      </c>
      <c r="AF18" s="16">
        <v>104</v>
      </c>
      <c r="AG18" s="16">
        <v>1592</v>
      </c>
      <c r="AH18" s="16">
        <v>629</v>
      </c>
      <c r="AI18" s="16">
        <v>890</v>
      </c>
      <c r="AJ18" s="16">
        <v>291</v>
      </c>
      <c r="AK18" s="16">
        <v>453</v>
      </c>
      <c r="AL18" s="16">
        <v>372</v>
      </c>
      <c r="AM18" s="16">
        <v>280</v>
      </c>
      <c r="AN18" s="16">
        <v>1181</v>
      </c>
      <c r="AO18" s="16">
        <v>291</v>
      </c>
      <c r="AP18" s="16">
        <v>327</v>
      </c>
      <c r="AQ18" s="16">
        <v>240</v>
      </c>
      <c r="AR18" s="16">
        <v>327</v>
      </c>
      <c r="AS18" s="16">
        <v>216</v>
      </c>
      <c r="AT18" s="16">
        <v>683</v>
      </c>
      <c r="AU18" s="16">
        <v>2398</v>
      </c>
      <c r="AV18" s="16">
        <v>1219</v>
      </c>
      <c r="AW18" s="16">
        <v>429</v>
      </c>
      <c r="AX18" s="16">
        <v>677</v>
      </c>
      <c r="AY18" s="16">
        <v>266</v>
      </c>
      <c r="AZ18" s="16">
        <v>0</v>
      </c>
      <c r="BA18" s="16">
        <v>310</v>
      </c>
      <c r="BB18" s="16">
        <v>239</v>
      </c>
      <c r="BC18" s="16">
        <v>324</v>
      </c>
      <c r="BD18" s="16">
        <v>460</v>
      </c>
      <c r="BE18" s="16">
        <v>651</v>
      </c>
      <c r="BF18" s="16">
        <v>518</v>
      </c>
      <c r="BG18" s="16">
        <v>1774</v>
      </c>
      <c r="BH18" s="16">
        <v>579</v>
      </c>
      <c r="BI18" s="16">
        <v>794</v>
      </c>
      <c r="BJ18" s="16">
        <v>1578</v>
      </c>
      <c r="BK18" s="16">
        <v>3151</v>
      </c>
      <c r="BL18" s="16">
        <v>922</v>
      </c>
      <c r="BM18" s="16">
        <v>217</v>
      </c>
      <c r="BN18" s="16">
        <v>1</v>
      </c>
      <c r="BO18" s="16">
        <v>758</v>
      </c>
    </row>
    <row r="19" spans="1:67" s="5" customFormat="1" ht="21.9" customHeight="1" x14ac:dyDescent="0.25">
      <c r="A19" s="125"/>
      <c r="B19" s="4"/>
      <c r="C19" s="47" t="s">
        <v>76</v>
      </c>
      <c r="D19" s="48"/>
      <c r="E19" s="16">
        <v>2279</v>
      </c>
      <c r="F19" s="16">
        <v>2</v>
      </c>
      <c r="G19" s="16">
        <v>0</v>
      </c>
      <c r="H19" s="16">
        <v>0</v>
      </c>
      <c r="I19" s="16">
        <v>3</v>
      </c>
      <c r="J19" s="16">
        <v>0</v>
      </c>
      <c r="K19" s="16">
        <v>0</v>
      </c>
      <c r="L19" s="16">
        <v>21</v>
      </c>
      <c r="M19" s="16">
        <v>2</v>
      </c>
      <c r="N19" s="16">
        <v>0</v>
      </c>
      <c r="O19" s="16">
        <v>4</v>
      </c>
      <c r="P19" s="16">
        <v>0</v>
      </c>
      <c r="Q19" s="16">
        <v>3</v>
      </c>
      <c r="R19" s="16">
        <v>15</v>
      </c>
      <c r="S19" s="16">
        <v>0</v>
      </c>
      <c r="T19" s="16">
        <v>2</v>
      </c>
      <c r="U19" s="16">
        <v>37</v>
      </c>
      <c r="V19" s="16">
        <v>3</v>
      </c>
      <c r="W19" s="16">
        <v>10</v>
      </c>
      <c r="X19" s="16">
        <v>8</v>
      </c>
      <c r="Y19" s="16">
        <v>13</v>
      </c>
      <c r="Z19" s="16">
        <v>18</v>
      </c>
      <c r="AA19" s="16">
        <v>0</v>
      </c>
      <c r="AB19" s="16">
        <v>4</v>
      </c>
      <c r="AC19" s="16">
        <v>5</v>
      </c>
      <c r="AD19" s="16">
        <v>18</v>
      </c>
      <c r="AE19" s="16">
        <v>23</v>
      </c>
      <c r="AF19" s="16">
        <v>4</v>
      </c>
      <c r="AG19" s="16">
        <v>29</v>
      </c>
      <c r="AH19" s="16">
        <v>19</v>
      </c>
      <c r="AI19" s="16">
        <v>1</v>
      </c>
      <c r="AJ19" s="16">
        <v>0</v>
      </c>
      <c r="AK19" s="16">
        <v>10</v>
      </c>
      <c r="AL19" s="16">
        <v>0</v>
      </c>
      <c r="AM19" s="16">
        <v>2</v>
      </c>
      <c r="AN19" s="16">
        <v>21</v>
      </c>
      <c r="AO19" s="16">
        <v>0</v>
      </c>
      <c r="AP19" s="16">
        <v>0</v>
      </c>
      <c r="AQ19" s="16">
        <v>0</v>
      </c>
      <c r="AR19" s="16">
        <v>6</v>
      </c>
      <c r="AS19" s="16">
        <v>0</v>
      </c>
      <c r="AT19" s="16">
        <v>1</v>
      </c>
      <c r="AU19" s="16">
        <v>32</v>
      </c>
      <c r="AV19" s="16">
        <v>30</v>
      </c>
      <c r="AW19" s="16">
        <v>0</v>
      </c>
      <c r="AX19" s="16">
        <v>2</v>
      </c>
      <c r="AY19" s="16">
        <v>1</v>
      </c>
      <c r="AZ19" s="16">
        <v>0</v>
      </c>
      <c r="BA19" s="16">
        <v>2</v>
      </c>
      <c r="BB19" s="16">
        <v>0</v>
      </c>
      <c r="BC19" s="16">
        <v>0</v>
      </c>
      <c r="BD19" s="16">
        <v>2</v>
      </c>
      <c r="BE19" s="16">
        <v>9</v>
      </c>
      <c r="BF19" s="16">
        <v>13</v>
      </c>
      <c r="BG19" s="16">
        <v>1588</v>
      </c>
      <c r="BH19" s="16">
        <v>0</v>
      </c>
      <c r="BI19" s="16">
        <v>9</v>
      </c>
      <c r="BJ19" s="16">
        <v>21</v>
      </c>
      <c r="BK19" s="16">
        <v>17</v>
      </c>
      <c r="BL19" s="16">
        <v>1</v>
      </c>
      <c r="BM19" s="16">
        <v>0</v>
      </c>
      <c r="BN19" s="16">
        <v>1</v>
      </c>
      <c r="BO19" s="16">
        <v>267</v>
      </c>
    </row>
    <row r="20" spans="1:67" s="5" customFormat="1" ht="21.9" customHeight="1" x14ac:dyDescent="0.25">
      <c r="A20" s="125" t="s">
        <v>213</v>
      </c>
      <c r="B20" s="4"/>
      <c r="C20" s="47" t="s">
        <v>75</v>
      </c>
      <c r="D20" s="48"/>
      <c r="E20" s="16">
        <v>42362</v>
      </c>
      <c r="F20" s="16">
        <v>861</v>
      </c>
      <c r="G20" s="16">
        <v>460</v>
      </c>
      <c r="H20" s="16">
        <v>519</v>
      </c>
      <c r="I20" s="16">
        <v>417</v>
      </c>
      <c r="J20" s="16">
        <v>40</v>
      </c>
      <c r="K20" s="16">
        <v>1923</v>
      </c>
      <c r="L20" s="16">
        <v>759</v>
      </c>
      <c r="M20" s="16">
        <v>118</v>
      </c>
      <c r="N20" s="16">
        <v>221</v>
      </c>
      <c r="O20" s="16">
        <v>75</v>
      </c>
      <c r="P20" s="16">
        <v>1</v>
      </c>
      <c r="Q20" s="16">
        <v>152</v>
      </c>
      <c r="R20" s="16">
        <v>464</v>
      </c>
      <c r="S20" s="16">
        <v>386</v>
      </c>
      <c r="T20" s="16">
        <v>1369</v>
      </c>
      <c r="U20" s="16">
        <v>1437</v>
      </c>
      <c r="V20" s="16">
        <v>125</v>
      </c>
      <c r="W20" s="16">
        <v>1018</v>
      </c>
      <c r="X20" s="16">
        <v>261</v>
      </c>
      <c r="Y20" s="16">
        <v>2117</v>
      </c>
      <c r="Z20" s="16">
        <v>1580</v>
      </c>
      <c r="AA20" s="16">
        <v>261</v>
      </c>
      <c r="AB20" s="16">
        <v>169</v>
      </c>
      <c r="AC20" s="16">
        <v>630</v>
      </c>
      <c r="AD20" s="16">
        <v>6413</v>
      </c>
      <c r="AE20" s="16">
        <v>1119</v>
      </c>
      <c r="AF20" s="16">
        <v>726</v>
      </c>
      <c r="AG20" s="16">
        <v>1100</v>
      </c>
      <c r="AH20" s="16">
        <v>284</v>
      </c>
      <c r="AI20" s="16">
        <v>933</v>
      </c>
      <c r="AJ20" s="16">
        <v>23</v>
      </c>
      <c r="AK20" s="16">
        <v>257</v>
      </c>
      <c r="AL20" s="16">
        <v>73</v>
      </c>
      <c r="AM20" s="16">
        <v>61</v>
      </c>
      <c r="AN20" s="16">
        <v>685</v>
      </c>
      <c r="AO20" s="16">
        <v>69</v>
      </c>
      <c r="AP20" s="16">
        <v>4</v>
      </c>
      <c r="AQ20" s="16">
        <v>37</v>
      </c>
      <c r="AR20" s="16">
        <v>421</v>
      </c>
      <c r="AS20" s="16">
        <v>255</v>
      </c>
      <c r="AT20" s="16">
        <v>291</v>
      </c>
      <c r="AU20" s="16">
        <v>2932</v>
      </c>
      <c r="AV20" s="16">
        <v>610</v>
      </c>
      <c r="AW20" s="16">
        <v>17</v>
      </c>
      <c r="AX20" s="16">
        <v>1983</v>
      </c>
      <c r="AY20" s="16">
        <v>111</v>
      </c>
      <c r="AZ20" s="16">
        <v>40</v>
      </c>
      <c r="BA20" s="16">
        <v>40</v>
      </c>
      <c r="BB20" s="16">
        <v>36</v>
      </c>
      <c r="BC20" s="16">
        <v>50</v>
      </c>
      <c r="BD20" s="16">
        <v>284</v>
      </c>
      <c r="BE20" s="16">
        <v>265</v>
      </c>
      <c r="BF20" s="16">
        <v>744</v>
      </c>
      <c r="BG20" s="16">
        <v>1069</v>
      </c>
      <c r="BH20" s="16">
        <v>270</v>
      </c>
      <c r="BI20" s="16">
        <v>221</v>
      </c>
      <c r="BJ20" s="16">
        <v>1833</v>
      </c>
      <c r="BK20" s="16">
        <v>1654</v>
      </c>
      <c r="BL20" s="16">
        <v>1188</v>
      </c>
      <c r="BM20" s="16">
        <v>764</v>
      </c>
      <c r="BN20" s="16">
        <v>2</v>
      </c>
      <c r="BO20" s="16">
        <v>135</v>
      </c>
    </row>
    <row r="21" spans="1:67" s="5" customFormat="1" ht="21.9" customHeight="1" x14ac:dyDescent="0.25">
      <c r="A21" s="125"/>
      <c r="B21" s="4"/>
      <c r="C21" s="47" t="s">
        <v>76</v>
      </c>
      <c r="D21" s="48"/>
      <c r="E21" s="16">
        <v>923</v>
      </c>
      <c r="F21" s="16">
        <v>0</v>
      </c>
      <c r="G21" s="16">
        <v>1</v>
      </c>
      <c r="H21" s="16">
        <v>0</v>
      </c>
      <c r="I21" s="16">
        <v>4</v>
      </c>
      <c r="J21" s="16">
        <v>0</v>
      </c>
      <c r="K21" s="16">
        <v>0</v>
      </c>
      <c r="L21" s="16">
        <v>4</v>
      </c>
      <c r="M21" s="16">
        <v>0</v>
      </c>
      <c r="N21" s="16">
        <v>0</v>
      </c>
      <c r="O21" s="16">
        <v>1</v>
      </c>
      <c r="P21" s="16">
        <v>0</v>
      </c>
      <c r="Q21" s="16">
        <v>0</v>
      </c>
      <c r="R21" s="16">
        <v>9</v>
      </c>
      <c r="S21" s="16">
        <v>1</v>
      </c>
      <c r="T21" s="16">
        <v>1</v>
      </c>
      <c r="U21" s="16">
        <v>18</v>
      </c>
      <c r="V21" s="16">
        <v>0</v>
      </c>
      <c r="W21" s="16">
        <v>4</v>
      </c>
      <c r="X21" s="16">
        <v>4</v>
      </c>
      <c r="Y21" s="16">
        <v>8</v>
      </c>
      <c r="Z21" s="16">
        <v>13</v>
      </c>
      <c r="AA21" s="16">
        <v>0</v>
      </c>
      <c r="AB21" s="16">
        <v>0</v>
      </c>
      <c r="AC21" s="16">
        <v>2</v>
      </c>
      <c r="AD21" s="16">
        <v>9</v>
      </c>
      <c r="AE21" s="16">
        <v>3</v>
      </c>
      <c r="AF21" s="16">
        <v>1</v>
      </c>
      <c r="AG21" s="16">
        <v>13</v>
      </c>
      <c r="AH21" s="16">
        <v>24</v>
      </c>
      <c r="AI21" s="16">
        <v>2</v>
      </c>
      <c r="AJ21" s="16">
        <v>0</v>
      </c>
      <c r="AK21" s="16">
        <v>20</v>
      </c>
      <c r="AL21" s="16">
        <v>1</v>
      </c>
      <c r="AM21" s="16">
        <v>0</v>
      </c>
      <c r="AN21" s="16">
        <v>12</v>
      </c>
      <c r="AO21" s="16">
        <v>0</v>
      </c>
      <c r="AP21" s="16">
        <v>0</v>
      </c>
      <c r="AQ21" s="16">
        <v>0</v>
      </c>
      <c r="AR21" s="16">
        <v>18</v>
      </c>
      <c r="AS21" s="16">
        <v>5</v>
      </c>
      <c r="AT21" s="16">
        <v>0</v>
      </c>
      <c r="AU21" s="16">
        <v>52</v>
      </c>
      <c r="AV21" s="16">
        <v>2</v>
      </c>
      <c r="AW21" s="16">
        <v>0</v>
      </c>
      <c r="AX21" s="16">
        <v>3</v>
      </c>
      <c r="AY21" s="16">
        <v>1</v>
      </c>
      <c r="AZ21" s="16">
        <v>0</v>
      </c>
      <c r="BA21" s="16">
        <v>1</v>
      </c>
      <c r="BB21" s="16">
        <v>0</v>
      </c>
      <c r="BC21" s="16">
        <v>0</v>
      </c>
      <c r="BD21" s="16">
        <v>3</v>
      </c>
      <c r="BE21" s="16">
        <v>0</v>
      </c>
      <c r="BF21" s="16">
        <v>1</v>
      </c>
      <c r="BG21" s="16">
        <v>641</v>
      </c>
      <c r="BH21" s="16">
        <v>6</v>
      </c>
      <c r="BI21" s="16">
        <v>8</v>
      </c>
      <c r="BJ21" s="16">
        <v>2</v>
      </c>
      <c r="BK21" s="16">
        <v>0</v>
      </c>
      <c r="BL21" s="16">
        <v>4</v>
      </c>
      <c r="BM21" s="16">
        <v>0</v>
      </c>
      <c r="BN21" s="16">
        <v>0</v>
      </c>
      <c r="BO21" s="16">
        <v>21</v>
      </c>
    </row>
    <row r="22" spans="1:67" s="5" customFormat="1" ht="21.9" customHeight="1" x14ac:dyDescent="0.25">
      <c r="A22" s="125" t="s">
        <v>280</v>
      </c>
      <c r="B22" s="4"/>
      <c r="C22" s="47" t="s">
        <v>75</v>
      </c>
      <c r="D22" s="48"/>
      <c r="E22" s="16">
        <v>91656</v>
      </c>
      <c r="F22" s="16">
        <v>1573</v>
      </c>
      <c r="G22" s="16">
        <v>948</v>
      </c>
      <c r="H22" s="16">
        <v>587</v>
      </c>
      <c r="I22" s="16">
        <v>600</v>
      </c>
      <c r="J22" s="16">
        <v>292</v>
      </c>
      <c r="K22" s="16">
        <v>2606</v>
      </c>
      <c r="L22" s="16">
        <v>2920</v>
      </c>
      <c r="M22" s="16">
        <v>808</v>
      </c>
      <c r="N22" s="16">
        <v>596</v>
      </c>
      <c r="O22" s="16">
        <v>475</v>
      </c>
      <c r="P22" s="16">
        <v>0</v>
      </c>
      <c r="Q22" s="16">
        <v>2127</v>
      </c>
      <c r="R22" s="16">
        <v>2351</v>
      </c>
      <c r="S22" s="16">
        <v>702</v>
      </c>
      <c r="T22" s="16">
        <v>1847</v>
      </c>
      <c r="U22" s="16">
        <v>3134</v>
      </c>
      <c r="V22" s="16">
        <v>1033</v>
      </c>
      <c r="W22" s="16">
        <v>1961</v>
      </c>
      <c r="X22" s="16">
        <v>1106</v>
      </c>
      <c r="Y22" s="16">
        <v>1405</v>
      </c>
      <c r="Z22" s="16">
        <v>1721</v>
      </c>
      <c r="AA22" s="16">
        <v>1322</v>
      </c>
      <c r="AB22" s="16">
        <v>787</v>
      </c>
      <c r="AC22" s="16">
        <v>495</v>
      </c>
      <c r="AD22" s="16">
        <v>7838</v>
      </c>
      <c r="AE22" s="16">
        <v>2761</v>
      </c>
      <c r="AF22" s="16">
        <v>1015</v>
      </c>
      <c r="AG22" s="16">
        <v>4151</v>
      </c>
      <c r="AH22" s="16">
        <v>1025</v>
      </c>
      <c r="AI22" s="16">
        <v>1086</v>
      </c>
      <c r="AJ22" s="16">
        <v>152</v>
      </c>
      <c r="AK22" s="16">
        <v>1310</v>
      </c>
      <c r="AL22" s="16">
        <v>165</v>
      </c>
      <c r="AM22" s="16">
        <v>519</v>
      </c>
      <c r="AN22" s="16">
        <v>2112</v>
      </c>
      <c r="AO22" s="16">
        <v>166</v>
      </c>
      <c r="AP22" s="16">
        <v>298</v>
      </c>
      <c r="AQ22" s="16">
        <v>81</v>
      </c>
      <c r="AR22" s="16">
        <v>846</v>
      </c>
      <c r="AS22" s="16">
        <v>94</v>
      </c>
      <c r="AT22" s="16">
        <v>1148</v>
      </c>
      <c r="AU22" s="16">
        <v>2304</v>
      </c>
      <c r="AV22" s="16">
        <v>3434</v>
      </c>
      <c r="AW22" s="16">
        <v>621</v>
      </c>
      <c r="AX22" s="16">
        <v>1729</v>
      </c>
      <c r="AY22" s="16">
        <v>328</v>
      </c>
      <c r="AZ22" s="16">
        <v>10</v>
      </c>
      <c r="BA22" s="16">
        <v>304</v>
      </c>
      <c r="BB22" s="16">
        <v>859</v>
      </c>
      <c r="BC22" s="16">
        <v>656</v>
      </c>
      <c r="BD22" s="16">
        <v>1296</v>
      </c>
      <c r="BE22" s="16">
        <v>1937</v>
      </c>
      <c r="BF22" s="16">
        <v>1684</v>
      </c>
      <c r="BG22" s="16">
        <v>11089</v>
      </c>
      <c r="BH22" s="16">
        <v>1027</v>
      </c>
      <c r="BI22" s="16">
        <v>1210</v>
      </c>
      <c r="BJ22" s="16">
        <v>1158</v>
      </c>
      <c r="BK22" s="16">
        <v>1549</v>
      </c>
      <c r="BL22" s="16">
        <v>1124</v>
      </c>
      <c r="BM22" s="16">
        <v>181</v>
      </c>
      <c r="BN22" s="16">
        <v>70</v>
      </c>
      <c r="BO22" s="16">
        <v>2923</v>
      </c>
    </row>
    <row r="23" spans="1:67" s="5" customFormat="1" ht="21.9" customHeight="1" x14ac:dyDescent="0.25">
      <c r="A23" s="125"/>
      <c r="B23" s="4"/>
      <c r="C23" s="47" t="s">
        <v>76</v>
      </c>
      <c r="D23" s="48"/>
      <c r="E23" s="16">
        <v>3179</v>
      </c>
      <c r="F23" s="16">
        <v>0</v>
      </c>
      <c r="G23" s="16">
        <v>0</v>
      </c>
      <c r="H23" s="16">
        <v>0</v>
      </c>
      <c r="I23" s="16">
        <v>0</v>
      </c>
      <c r="J23" s="16">
        <v>0</v>
      </c>
      <c r="K23" s="16">
        <v>2</v>
      </c>
      <c r="L23" s="16">
        <v>7</v>
      </c>
      <c r="M23" s="16">
        <v>0</v>
      </c>
      <c r="N23" s="16">
        <v>0</v>
      </c>
      <c r="O23" s="16">
        <v>0</v>
      </c>
      <c r="P23" s="16">
        <v>0</v>
      </c>
      <c r="Q23" s="16">
        <v>4</v>
      </c>
      <c r="R23" s="16">
        <v>7</v>
      </c>
      <c r="S23" s="16">
        <v>0</v>
      </c>
      <c r="T23" s="16">
        <v>3</v>
      </c>
      <c r="U23" s="16">
        <v>8</v>
      </c>
      <c r="V23" s="16">
        <v>0</v>
      </c>
      <c r="W23" s="16">
        <v>36</v>
      </c>
      <c r="X23" s="16">
        <v>0</v>
      </c>
      <c r="Y23" s="16">
        <v>0</v>
      </c>
      <c r="Z23" s="16">
        <v>17</v>
      </c>
      <c r="AA23" s="16">
        <v>0</v>
      </c>
      <c r="AB23" s="16">
        <v>2</v>
      </c>
      <c r="AC23" s="16">
        <v>2</v>
      </c>
      <c r="AD23" s="16">
        <v>4</v>
      </c>
      <c r="AE23" s="16">
        <v>2</v>
      </c>
      <c r="AF23" s="16">
        <v>0</v>
      </c>
      <c r="AG23" s="16">
        <v>55</v>
      </c>
      <c r="AH23" s="16">
        <v>30</v>
      </c>
      <c r="AI23" s="16">
        <v>4</v>
      </c>
      <c r="AJ23" s="16">
        <v>0</v>
      </c>
      <c r="AK23" s="16">
        <v>13</v>
      </c>
      <c r="AL23" s="16">
        <v>2</v>
      </c>
      <c r="AM23" s="16">
        <v>0</v>
      </c>
      <c r="AN23" s="16">
        <v>24</v>
      </c>
      <c r="AO23" s="16">
        <v>1</v>
      </c>
      <c r="AP23" s="16">
        <v>2</v>
      </c>
      <c r="AQ23" s="16">
        <v>9</v>
      </c>
      <c r="AR23" s="16">
        <v>18</v>
      </c>
      <c r="AS23" s="16">
        <v>2</v>
      </c>
      <c r="AT23" s="16">
        <v>0</v>
      </c>
      <c r="AU23" s="16">
        <v>25</v>
      </c>
      <c r="AV23" s="16">
        <v>145</v>
      </c>
      <c r="AW23" s="16">
        <v>0</v>
      </c>
      <c r="AX23" s="16">
        <v>0</v>
      </c>
      <c r="AY23" s="16">
        <v>0</v>
      </c>
      <c r="AZ23" s="16">
        <v>0</v>
      </c>
      <c r="BA23" s="16">
        <v>0</v>
      </c>
      <c r="BB23" s="16">
        <v>0</v>
      </c>
      <c r="BC23" s="16">
        <v>0</v>
      </c>
      <c r="BD23" s="16">
        <v>2</v>
      </c>
      <c r="BE23" s="16">
        <v>17</v>
      </c>
      <c r="BF23" s="16">
        <v>2</v>
      </c>
      <c r="BG23" s="16">
        <v>2372</v>
      </c>
      <c r="BH23" s="16">
        <v>18</v>
      </c>
      <c r="BI23" s="16">
        <v>19</v>
      </c>
      <c r="BJ23" s="16">
        <v>16</v>
      </c>
      <c r="BK23" s="16">
        <v>23</v>
      </c>
      <c r="BL23" s="16">
        <v>0</v>
      </c>
      <c r="BM23" s="16">
        <v>0</v>
      </c>
      <c r="BN23" s="16">
        <v>0</v>
      </c>
      <c r="BO23" s="16">
        <v>286</v>
      </c>
    </row>
    <row r="24" spans="1:67" s="5" customFormat="1" ht="21.9" customHeight="1" x14ac:dyDescent="0.25">
      <c r="A24" s="125" t="s">
        <v>194</v>
      </c>
      <c r="B24" s="4"/>
      <c r="C24" s="47" t="s">
        <v>75</v>
      </c>
      <c r="D24" s="48"/>
      <c r="E24" s="16">
        <v>16658</v>
      </c>
      <c r="F24" s="16">
        <v>224</v>
      </c>
      <c r="G24" s="16">
        <v>52</v>
      </c>
      <c r="H24" s="16">
        <v>35</v>
      </c>
      <c r="I24" s="16">
        <v>149</v>
      </c>
      <c r="J24" s="16">
        <v>7</v>
      </c>
      <c r="K24" s="16">
        <v>1006</v>
      </c>
      <c r="L24" s="16">
        <v>315</v>
      </c>
      <c r="M24" s="16">
        <v>21</v>
      </c>
      <c r="N24" s="16">
        <v>62</v>
      </c>
      <c r="O24" s="16">
        <v>97</v>
      </c>
      <c r="P24" s="16">
        <v>0</v>
      </c>
      <c r="Q24" s="16">
        <v>130</v>
      </c>
      <c r="R24" s="16">
        <v>263</v>
      </c>
      <c r="S24" s="16">
        <v>118</v>
      </c>
      <c r="T24" s="16">
        <v>191</v>
      </c>
      <c r="U24" s="16">
        <v>621</v>
      </c>
      <c r="V24" s="16">
        <v>109</v>
      </c>
      <c r="W24" s="16">
        <v>103</v>
      </c>
      <c r="X24" s="16">
        <v>93</v>
      </c>
      <c r="Y24" s="16">
        <v>363</v>
      </c>
      <c r="Z24" s="16">
        <v>127</v>
      </c>
      <c r="AA24" s="16">
        <v>93</v>
      </c>
      <c r="AB24" s="16">
        <v>88</v>
      </c>
      <c r="AC24" s="16">
        <v>144</v>
      </c>
      <c r="AD24" s="16">
        <v>2649</v>
      </c>
      <c r="AE24" s="16">
        <v>440</v>
      </c>
      <c r="AF24" s="16">
        <v>125</v>
      </c>
      <c r="AG24" s="16">
        <v>322</v>
      </c>
      <c r="AH24" s="16">
        <v>290</v>
      </c>
      <c r="AI24" s="16">
        <v>135</v>
      </c>
      <c r="AJ24" s="16">
        <v>5</v>
      </c>
      <c r="AK24" s="16">
        <v>119</v>
      </c>
      <c r="AL24" s="16">
        <v>53</v>
      </c>
      <c r="AM24" s="16">
        <v>11</v>
      </c>
      <c r="AN24" s="16">
        <v>806</v>
      </c>
      <c r="AO24" s="16">
        <v>1</v>
      </c>
      <c r="AP24" s="16">
        <v>1</v>
      </c>
      <c r="AQ24" s="16">
        <v>3</v>
      </c>
      <c r="AR24" s="16">
        <v>62</v>
      </c>
      <c r="AS24" s="16">
        <v>63</v>
      </c>
      <c r="AT24" s="16">
        <v>277</v>
      </c>
      <c r="AU24" s="16">
        <v>1623</v>
      </c>
      <c r="AV24" s="16">
        <v>158</v>
      </c>
      <c r="AW24" s="16">
        <v>8</v>
      </c>
      <c r="AX24" s="16">
        <v>272</v>
      </c>
      <c r="AY24" s="16">
        <v>126</v>
      </c>
      <c r="AZ24" s="16">
        <v>25</v>
      </c>
      <c r="BA24" s="16">
        <v>0</v>
      </c>
      <c r="BB24" s="16">
        <v>21</v>
      </c>
      <c r="BC24" s="16">
        <v>0</v>
      </c>
      <c r="BD24" s="16">
        <v>137</v>
      </c>
      <c r="BE24" s="16">
        <v>181</v>
      </c>
      <c r="BF24" s="16">
        <v>369</v>
      </c>
      <c r="BG24" s="16">
        <v>2939</v>
      </c>
      <c r="BH24" s="16">
        <v>17</v>
      </c>
      <c r="BI24" s="16">
        <v>27</v>
      </c>
      <c r="BJ24" s="16">
        <v>155</v>
      </c>
      <c r="BK24" s="16">
        <v>192</v>
      </c>
      <c r="BL24" s="16">
        <v>238</v>
      </c>
      <c r="BM24" s="16">
        <v>367</v>
      </c>
      <c r="BN24" s="16">
        <v>0</v>
      </c>
      <c r="BO24" s="16">
        <v>30</v>
      </c>
    </row>
    <row r="25" spans="1:67" s="5" customFormat="1" ht="21.9" customHeight="1" x14ac:dyDescent="0.25">
      <c r="A25" s="125"/>
      <c r="B25" s="4"/>
      <c r="C25" s="47" t="s">
        <v>76</v>
      </c>
      <c r="D25" s="48"/>
      <c r="E25" s="16">
        <v>1010</v>
      </c>
      <c r="F25" s="26">
        <v>0</v>
      </c>
      <c r="G25" s="26">
        <v>0</v>
      </c>
      <c r="H25" s="26">
        <v>0</v>
      </c>
      <c r="I25" s="26">
        <v>1</v>
      </c>
      <c r="J25" s="26">
        <v>0</v>
      </c>
      <c r="K25" s="26">
        <v>0</v>
      </c>
      <c r="L25" s="26">
        <v>5</v>
      </c>
      <c r="M25" s="26">
        <v>0</v>
      </c>
      <c r="N25" s="26">
        <v>0</v>
      </c>
      <c r="O25" s="26">
        <v>0</v>
      </c>
      <c r="P25" s="26">
        <v>0</v>
      </c>
      <c r="Q25" s="26">
        <v>0</v>
      </c>
      <c r="R25" s="26">
        <v>4</v>
      </c>
      <c r="S25" s="26">
        <v>4</v>
      </c>
      <c r="T25" s="16">
        <v>2</v>
      </c>
      <c r="U25" s="16">
        <v>17</v>
      </c>
      <c r="V25" s="16">
        <v>1</v>
      </c>
      <c r="W25" s="16">
        <v>0</v>
      </c>
      <c r="X25" s="16">
        <v>5</v>
      </c>
      <c r="Y25" s="16">
        <v>9</v>
      </c>
      <c r="Z25" s="16">
        <v>1</v>
      </c>
      <c r="AA25" s="16">
        <v>2</v>
      </c>
      <c r="AB25" s="16">
        <v>2</v>
      </c>
      <c r="AC25" s="16">
        <v>10</v>
      </c>
      <c r="AD25" s="16">
        <v>12</v>
      </c>
      <c r="AE25" s="16">
        <v>15</v>
      </c>
      <c r="AF25" s="16">
        <v>2</v>
      </c>
      <c r="AG25" s="16">
        <v>3</v>
      </c>
      <c r="AH25" s="16">
        <v>15</v>
      </c>
      <c r="AI25" s="16">
        <v>2</v>
      </c>
      <c r="AJ25" s="16">
        <v>0</v>
      </c>
      <c r="AK25" s="16">
        <v>14</v>
      </c>
      <c r="AL25" s="16">
        <v>1</v>
      </c>
      <c r="AM25" s="16">
        <v>0</v>
      </c>
      <c r="AN25" s="16">
        <v>24</v>
      </c>
      <c r="AO25" s="26">
        <v>0</v>
      </c>
      <c r="AP25" s="26">
        <v>0</v>
      </c>
      <c r="AQ25" s="26">
        <v>0</v>
      </c>
      <c r="AR25" s="26">
        <v>13</v>
      </c>
      <c r="AS25" s="26">
        <v>10</v>
      </c>
      <c r="AT25" s="26">
        <v>0</v>
      </c>
      <c r="AU25" s="26">
        <v>1</v>
      </c>
      <c r="AV25" s="26">
        <v>1</v>
      </c>
      <c r="AW25" s="26">
        <v>0</v>
      </c>
      <c r="AX25" s="26">
        <v>1</v>
      </c>
      <c r="AY25" s="16">
        <v>0</v>
      </c>
      <c r="AZ25" s="16">
        <v>0</v>
      </c>
      <c r="BA25" s="16">
        <v>0</v>
      </c>
      <c r="BB25" s="16">
        <v>0</v>
      </c>
      <c r="BC25" s="16">
        <v>0</v>
      </c>
      <c r="BD25" s="16">
        <v>0</v>
      </c>
      <c r="BE25" s="16">
        <v>3</v>
      </c>
      <c r="BF25" s="16">
        <v>7</v>
      </c>
      <c r="BG25" s="16">
        <v>788</v>
      </c>
      <c r="BH25" s="16">
        <v>0</v>
      </c>
      <c r="BI25" s="16">
        <v>3</v>
      </c>
      <c r="BJ25" s="16">
        <v>3</v>
      </c>
      <c r="BK25" s="16">
        <v>1</v>
      </c>
      <c r="BL25" s="16">
        <v>0</v>
      </c>
      <c r="BM25" s="16">
        <v>0</v>
      </c>
      <c r="BN25" s="16">
        <v>0</v>
      </c>
      <c r="BO25" s="16">
        <v>28</v>
      </c>
    </row>
    <row r="26" spans="1:67" s="5" customFormat="1" ht="21.9" customHeight="1" x14ac:dyDescent="0.25">
      <c r="A26" s="125" t="s">
        <v>81</v>
      </c>
      <c r="C26" s="47" t="s">
        <v>75</v>
      </c>
      <c r="D26" s="48"/>
      <c r="E26" s="16">
        <v>23481</v>
      </c>
      <c r="F26" s="16">
        <v>503</v>
      </c>
      <c r="G26" s="16">
        <v>369</v>
      </c>
      <c r="H26" s="16">
        <v>142</v>
      </c>
      <c r="I26" s="16">
        <v>613</v>
      </c>
      <c r="J26" s="16">
        <v>1</v>
      </c>
      <c r="K26" s="16">
        <v>286</v>
      </c>
      <c r="L26" s="16">
        <v>195</v>
      </c>
      <c r="M26" s="16">
        <v>138</v>
      </c>
      <c r="N26" s="16">
        <v>21</v>
      </c>
      <c r="O26" s="16">
        <v>35</v>
      </c>
      <c r="P26" s="16">
        <v>0</v>
      </c>
      <c r="Q26" s="16">
        <v>22</v>
      </c>
      <c r="R26" s="16">
        <v>203</v>
      </c>
      <c r="S26" s="16">
        <v>66</v>
      </c>
      <c r="T26" s="16">
        <v>79</v>
      </c>
      <c r="U26" s="16">
        <v>581</v>
      </c>
      <c r="V26" s="16">
        <v>138</v>
      </c>
      <c r="W26" s="16">
        <v>326</v>
      </c>
      <c r="X26" s="16">
        <v>105</v>
      </c>
      <c r="Y26" s="16">
        <v>752</v>
      </c>
      <c r="Z26" s="16">
        <v>1907</v>
      </c>
      <c r="AA26" s="16">
        <v>113</v>
      </c>
      <c r="AB26" s="16">
        <v>120</v>
      </c>
      <c r="AC26" s="16">
        <v>129</v>
      </c>
      <c r="AD26" s="16">
        <v>5466</v>
      </c>
      <c r="AE26" s="16">
        <v>968</v>
      </c>
      <c r="AF26" s="16">
        <v>141</v>
      </c>
      <c r="AG26" s="16">
        <v>398</v>
      </c>
      <c r="AH26" s="16">
        <v>119</v>
      </c>
      <c r="AI26" s="16">
        <v>208</v>
      </c>
      <c r="AJ26" s="16">
        <v>94</v>
      </c>
      <c r="AK26" s="16">
        <v>191</v>
      </c>
      <c r="AL26" s="16">
        <v>85</v>
      </c>
      <c r="AM26" s="16">
        <v>61</v>
      </c>
      <c r="AN26" s="16">
        <v>539</v>
      </c>
      <c r="AO26" s="16">
        <v>0</v>
      </c>
      <c r="AP26" s="16">
        <v>1</v>
      </c>
      <c r="AQ26" s="16">
        <v>29</v>
      </c>
      <c r="AR26" s="16">
        <v>78</v>
      </c>
      <c r="AS26" s="16">
        <v>34</v>
      </c>
      <c r="AT26" s="16">
        <v>365</v>
      </c>
      <c r="AU26" s="16">
        <v>910</v>
      </c>
      <c r="AV26" s="16">
        <v>153</v>
      </c>
      <c r="AW26" s="16">
        <v>11</v>
      </c>
      <c r="AX26" s="16">
        <v>57</v>
      </c>
      <c r="AY26" s="16">
        <v>3</v>
      </c>
      <c r="AZ26" s="16">
        <v>0</v>
      </c>
      <c r="BA26" s="16">
        <v>0</v>
      </c>
      <c r="BB26" s="16">
        <v>0</v>
      </c>
      <c r="BC26" s="16">
        <v>0</v>
      </c>
      <c r="BD26" s="16">
        <v>9</v>
      </c>
      <c r="BE26" s="16">
        <v>137</v>
      </c>
      <c r="BF26" s="16">
        <v>107</v>
      </c>
      <c r="BG26" s="16">
        <v>948</v>
      </c>
      <c r="BH26" s="16">
        <v>250</v>
      </c>
      <c r="BI26" s="16">
        <v>701</v>
      </c>
      <c r="BJ26" s="16">
        <v>1675</v>
      </c>
      <c r="BK26" s="16">
        <v>1774</v>
      </c>
      <c r="BL26" s="16">
        <v>688</v>
      </c>
      <c r="BM26" s="16">
        <v>25</v>
      </c>
      <c r="BN26" s="16">
        <v>0</v>
      </c>
      <c r="BO26" s="16">
        <v>412</v>
      </c>
    </row>
    <row r="27" spans="1:67" s="5" customFormat="1" ht="21.9" customHeight="1" x14ac:dyDescent="0.25">
      <c r="A27" s="125"/>
      <c r="C27" s="47" t="s">
        <v>76</v>
      </c>
      <c r="D27" s="48"/>
      <c r="E27" s="16">
        <v>1205</v>
      </c>
      <c r="F27" s="26">
        <v>0</v>
      </c>
      <c r="G27" s="26">
        <v>2</v>
      </c>
      <c r="H27" s="26">
        <v>1</v>
      </c>
      <c r="I27" s="26">
        <v>1</v>
      </c>
      <c r="J27" s="26">
        <v>0</v>
      </c>
      <c r="K27" s="26">
        <v>1</v>
      </c>
      <c r="L27" s="26">
        <v>5</v>
      </c>
      <c r="M27" s="26">
        <v>0</v>
      </c>
      <c r="N27" s="26">
        <v>0</v>
      </c>
      <c r="O27" s="26">
        <v>0</v>
      </c>
      <c r="P27" s="26">
        <v>0</v>
      </c>
      <c r="Q27" s="26">
        <v>0</v>
      </c>
      <c r="R27" s="26">
        <v>4</v>
      </c>
      <c r="S27" s="26">
        <v>3</v>
      </c>
      <c r="T27" s="16">
        <v>0</v>
      </c>
      <c r="U27" s="16">
        <v>12</v>
      </c>
      <c r="V27" s="16">
        <v>0</v>
      </c>
      <c r="W27" s="16">
        <v>4</v>
      </c>
      <c r="X27" s="16">
        <v>0</v>
      </c>
      <c r="Y27" s="16">
        <v>10</v>
      </c>
      <c r="Z27" s="16">
        <v>11</v>
      </c>
      <c r="AA27" s="16">
        <v>0</v>
      </c>
      <c r="AB27" s="16">
        <v>0</v>
      </c>
      <c r="AC27" s="16">
        <v>4</v>
      </c>
      <c r="AD27" s="16">
        <v>20</v>
      </c>
      <c r="AE27" s="16">
        <v>16</v>
      </c>
      <c r="AF27" s="16">
        <v>3</v>
      </c>
      <c r="AG27" s="16">
        <v>14</v>
      </c>
      <c r="AH27" s="16">
        <v>15</v>
      </c>
      <c r="AI27" s="16">
        <v>1</v>
      </c>
      <c r="AJ27" s="16">
        <v>0</v>
      </c>
      <c r="AK27" s="16">
        <v>17</v>
      </c>
      <c r="AL27" s="16">
        <v>0</v>
      </c>
      <c r="AM27" s="16">
        <v>0</v>
      </c>
      <c r="AN27" s="16">
        <v>14</v>
      </c>
      <c r="AO27" s="26">
        <v>0</v>
      </c>
      <c r="AP27" s="26">
        <v>0</v>
      </c>
      <c r="AQ27" s="26">
        <v>0</v>
      </c>
      <c r="AR27" s="26">
        <v>6</v>
      </c>
      <c r="AS27" s="26">
        <v>1</v>
      </c>
      <c r="AT27" s="26">
        <v>0</v>
      </c>
      <c r="AU27" s="26">
        <v>19</v>
      </c>
      <c r="AV27" s="26">
        <v>5</v>
      </c>
      <c r="AW27" s="26">
        <v>0</v>
      </c>
      <c r="AX27" s="26">
        <v>0</v>
      </c>
      <c r="AY27" s="16">
        <v>0</v>
      </c>
      <c r="AZ27" s="16">
        <v>0</v>
      </c>
      <c r="BA27" s="16">
        <v>0</v>
      </c>
      <c r="BB27" s="16">
        <v>0</v>
      </c>
      <c r="BC27" s="16">
        <v>0</v>
      </c>
      <c r="BD27" s="16">
        <v>0</v>
      </c>
      <c r="BE27" s="16">
        <v>4</v>
      </c>
      <c r="BF27" s="16">
        <v>14</v>
      </c>
      <c r="BG27" s="16">
        <v>942</v>
      </c>
      <c r="BH27" s="16">
        <v>12</v>
      </c>
      <c r="BI27" s="16">
        <v>5</v>
      </c>
      <c r="BJ27" s="16">
        <v>12</v>
      </c>
      <c r="BK27" s="16">
        <v>8</v>
      </c>
      <c r="BL27" s="16">
        <v>1</v>
      </c>
      <c r="BM27" s="16">
        <v>0</v>
      </c>
      <c r="BN27" s="16">
        <v>0</v>
      </c>
      <c r="BO27" s="16">
        <v>18</v>
      </c>
    </row>
    <row r="28" spans="1:67" s="5" customFormat="1" ht="21.9" customHeight="1" x14ac:dyDescent="0.25">
      <c r="A28" s="125" t="s">
        <v>82</v>
      </c>
      <c r="B28" s="4"/>
      <c r="C28" s="47" t="s">
        <v>75</v>
      </c>
      <c r="D28" s="48"/>
      <c r="E28" s="16">
        <v>64267</v>
      </c>
      <c r="F28" s="16">
        <v>1663</v>
      </c>
      <c r="G28" s="16">
        <v>1373</v>
      </c>
      <c r="H28" s="16">
        <v>405</v>
      </c>
      <c r="I28" s="16">
        <v>1183</v>
      </c>
      <c r="J28" s="16">
        <v>9</v>
      </c>
      <c r="K28" s="16">
        <v>387</v>
      </c>
      <c r="L28" s="16">
        <v>419</v>
      </c>
      <c r="M28" s="16">
        <v>1138</v>
      </c>
      <c r="N28" s="16">
        <v>209</v>
      </c>
      <c r="O28" s="16">
        <v>117</v>
      </c>
      <c r="P28" s="16">
        <v>0</v>
      </c>
      <c r="Q28" s="16">
        <v>29</v>
      </c>
      <c r="R28" s="16">
        <v>165</v>
      </c>
      <c r="S28" s="16">
        <v>1029</v>
      </c>
      <c r="T28" s="16">
        <v>287</v>
      </c>
      <c r="U28" s="16">
        <v>1535</v>
      </c>
      <c r="V28" s="16">
        <v>1110</v>
      </c>
      <c r="W28" s="16">
        <v>321</v>
      </c>
      <c r="X28" s="16">
        <v>87</v>
      </c>
      <c r="Y28" s="16">
        <v>2604</v>
      </c>
      <c r="Z28" s="16">
        <v>534</v>
      </c>
      <c r="AA28" s="16">
        <v>55</v>
      </c>
      <c r="AB28" s="16">
        <v>1141</v>
      </c>
      <c r="AC28" s="16">
        <v>233</v>
      </c>
      <c r="AD28" s="16">
        <v>8084</v>
      </c>
      <c r="AE28" s="16">
        <v>6023</v>
      </c>
      <c r="AF28" s="16">
        <v>978</v>
      </c>
      <c r="AG28" s="16">
        <v>463</v>
      </c>
      <c r="AH28" s="16">
        <v>316</v>
      </c>
      <c r="AI28" s="16">
        <v>1487</v>
      </c>
      <c r="AJ28" s="16">
        <v>2</v>
      </c>
      <c r="AK28" s="16">
        <v>192</v>
      </c>
      <c r="AL28" s="16">
        <v>193</v>
      </c>
      <c r="AM28" s="16">
        <v>321</v>
      </c>
      <c r="AN28" s="16">
        <v>3044</v>
      </c>
      <c r="AO28" s="16">
        <v>29</v>
      </c>
      <c r="AP28" s="16">
        <v>0</v>
      </c>
      <c r="AQ28" s="16">
        <v>38</v>
      </c>
      <c r="AR28" s="16">
        <v>629</v>
      </c>
      <c r="AS28" s="16">
        <v>1083</v>
      </c>
      <c r="AT28" s="16">
        <v>4633</v>
      </c>
      <c r="AU28" s="16">
        <v>9623</v>
      </c>
      <c r="AV28" s="16">
        <v>3155</v>
      </c>
      <c r="AW28" s="16">
        <v>46</v>
      </c>
      <c r="AX28" s="16">
        <v>1596</v>
      </c>
      <c r="AY28" s="16">
        <v>0</v>
      </c>
      <c r="AZ28" s="16">
        <v>1</v>
      </c>
      <c r="BA28" s="16">
        <v>5</v>
      </c>
      <c r="BB28" s="16">
        <v>0</v>
      </c>
      <c r="BC28" s="16">
        <v>47</v>
      </c>
      <c r="BD28" s="16">
        <v>1437</v>
      </c>
      <c r="BE28" s="16">
        <v>1077</v>
      </c>
      <c r="BF28" s="16">
        <v>551</v>
      </c>
      <c r="BG28" s="16">
        <v>49</v>
      </c>
      <c r="BH28" s="16">
        <v>73</v>
      </c>
      <c r="BI28" s="16">
        <v>93</v>
      </c>
      <c r="BJ28" s="16">
        <v>802</v>
      </c>
      <c r="BK28" s="16">
        <v>462</v>
      </c>
      <c r="BL28" s="16">
        <v>959</v>
      </c>
      <c r="BM28" s="16">
        <v>338</v>
      </c>
      <c r="BN28" s="16">
        <v>3</v>
      </c>
      <c r="BO28" s="16">
        <v>402</v>
      </c>
    </row>
    <row r="29" spans="1:67" s="5" customFormat="1" ht="21.9" customHeight="1" x14ac:dyDescent="0.25">
      <c r="A29" s="125"/>
      <c r="B29" s="4"/>
      <c r="C29" s="47" t="s">
        <v>76</v>
      </c>
      <c r="D29" s="48"/>
      <c r="E29" s="16">
        <v>104</v>
      </c>
      <c r="F29" s="26">
        <v>0</v>
      </c>
      <c r="G29" s="26">
        <v>0</v>
      </c>
      <c r="H29" s="26">
        <v>0</v>
      </c>
      <c r="I29" s="26">
        <v>1</v>
      </c>
      <c r="J29" s="26">
        <v>0</v>
      </c>
      <c r="K29" s="26">
        <v>0</v>
      </c>
      <c r="L29" s="26">
        <v>22</v>
      </c>
      <c r="M29" s="26">
        <v>0</v>
      </c>
      <c r="N29" s="26">
        <v>0</v>
      </c>
      <c r="O29" s="26">
        <v>1</v>
      </c>
      <c r="P29" s="26">
        <v>0</v>
      </c>
      <c r="Q29" s="26">
        <v>0</v>
      </c>
      <c r="R29" s="26">
        <v>1</v>
      </c>
      <c r="S29" s="26">
        <v>0</v>
      </c>
      <c r="T29" s="16">
        <v>1</v>
      </c>
      <c r="U29" s="16">
        <v>4</v>
      </c>
      <c r="V29" s="16">
        <v>2</v>
      </c>
      <c r="W29" s="16">
        <v>0</v>
      </c>
      <c r="X29" s="16">
        <v>0</v>
      </c>
      <c r="Y29" s="16">
        <v>0</v>
      </c>
      <c r="Z29" s="16">
        <v>0</v>
      </c>
      <c r="AA29" s="16">
        <v>0</v>
      </c>
      <c r="AB29" s="16">
        <v>3</v>
      </c>
      <c r="AC29" s="16">
        <v>3</v>
      </c>
      <c r="AD29" s="16">
        <v>6</v>
      </c>
      <c r="AE29" s="16">
        <v>2</v>
      </c>
      <c r="AF29" s="16">
        <v>2</v>
      </c>
      <c r="AG29" s="16">
        <v>7</v>
      </c>
      <c r="AH29" s="16">
        <v>7</v>
      </c>
      <c r="AI29" s="16">
        <v>1</v>
      </c>
      <c r="AJ29" s="16">
        <v>0</v>
      </c>
      <c r="AK29" s="16">
        <v>1</v>
      </c>
      <c r="AL29" s="16">
        <v>0</v>
      </c>
      <c r="AM29" s="16">
        <v>0</v>
      </c>
      <c r="AN29" s="16">
        <v>18</v>
      </c>
      <c r="AO29" s="26">
        <v>0</v>
      </c>
      <c r="AP29" s="26">
        <v>0</v>
      </c>
      <c r="AQ29" s="26">
        <v>0</v>
      </c>
      <c r="AR29" s="26">
        <v>2</v>
      </c>
      <c r="AS29" s="26">
        <v>0</v>
      </c>
      <c r="AT29" s="26">
        <v>0</v>
      </c>
      <c r="AU29" s="26">
        <v>11</v>
      </c>
      <c r="AV29" s="26">
        <v>0</v>
      </c>
      <c r="AW29" s="26">
        <v>0</v>
      </c>
      <c r="AX29" s="26">
        <v>1</v>
      </c>
      <c r="AY29" s="26">
        <v>0</v>
      </c>
      <c r="AZ29" s="26">
        <v>0</v>
      </c>
      <c r="BA29" s="26">
        <v>0</v>
      </c>
      <c r="BB29" s="26">
        <v>0</v>
      </c>
      <c r="BC29" s="16">
        <v>0</v>
      </c>
      <c r="BD29" s="16">
        <v>0</v>
      </c>
      <c r="BE29" s="16">
        <v>3</v>
      </c>
      <c r="BF29" s="16">
        <v>1</v>
      </c>
      <c r="BG29" s="16">
        <v>1</v>
      </c>
      <c r="BH29" s="16">
        <v>0</v>
      </c>
      <c r="BI29" s="16">
        <v>0</v>
      </c>
      <c r="BJ29" s="16">
        <v>0</v>
      </c>
      <c r="BK29" s="16">
        <v>0</v>
      </c>
      <c r="BL29" s="16">
        <v>0</v>
      </c>
      <c r="BM29" s="16">
        <v>0</v>
      </c>
      <c r="BN29" s="16">
        <v>0</v>
      </c>
      <c r="BO29" s="16">
        <v>3</v>
      </c>
    </row>
    <row r="30" spans="1:67" s="5" customFormat="1" ht="21.9" customHeight="1" x14ac:dyDescent="0.25">
      <c r="A30" s="125" t="s">
        <v>83</v>
      </c>
      <c r="B30" s="4"/>
      <c r="C30" s="47" t="s">
        <v>75</v>
      </c>
      <c r="D30" s="48"/>
      <c r="E30" s="16">
        <v>10006</v>
      </c>
      <c r="F30" s="16">
        <v>204</v>
      </c>
      <c r="G30" s="16">
        <v>143</v>
      </c>
      <c r="H30" s="16">
        <v>37</v>
      </c>
      <c r="I30" s="16">
        <v>52</v>
      </c>
      <c r="J30" s="16">
        <v>114</v>
      </c>
      <c r="K30" s="16">
        <v>69</v>
      </c>
      <c r="L30" s="16">
        <v>42</v>
      </c>
      <c r="M30" s="16">
        <v>185</v>
      </c>
      <c r="N30" s="16">
        <v>12</v>
      </c>
      <c r="O30" s="16">
        <v>1</v>
      </c>
      <c r="P30" s="16">
        <v>0</v>
      </c>
      <c r="Q30" s="16">
        <v>21</v>
      </c>
      <c r="R30" s="16">
        <v>75</v>
      </c>
      <c r="S30" s="16">
        <v>298</v>
      </c>
      <c r="T30" s="16">
        <v>84</v>
      </c>
      <c r="U30" s="16">
        <v>116</v>
      </c>
      <c r="V30" s="16">
        <v>29</v>
      </c>
      <c r="W30" s="16">
        <v>73</v>
      </c>
      <c r="X30" s="16">
        <v>33</v>
      </c>
      <c r="Y30" s="16">
        <v>489</v>
      </c>
      <c r="Z30" s="16">
        <v>228</v>
      </c>
      <c r="AA30" s="16">
        <v>524</v>
      </c>
      <c r="AB30" s="16">
        <v>46</v>
      </c>
      <c r="AC30" s="16">
        <v>6</v>
      </c>
      <c r="AD30" s="16">
        <v>2666</v>
      </c>
      <c r="AE30" s="16">
        <v>993</v>
      </c>
      <c r="AF30" s="16">
        <v>2</v>
      </c>
      <c r="AG30" s="16">
        <v>112</v>
      </c>
      <c r="AH30" s="16">
        <v>170</v>
      </c>
      <c r="AI30" s="16">
        <v>268</v>
      </c>
      <c r="AJ30" s="16">
        <v>0</v>
      </c>
      <c r="AK30" s="16">
        <v>54</v>
      </c>
      <c r="AL30" s="16">
        <v>197</v>
      </c>
      <c r="AM30" s="16">
        <v>11</v>
      </c>
      <c r="AN30" s="16">
        <v>45</v>
      </c>
      <c r="AO30" s="16">
        <v>40</v>
      </c>
      <c r="AP30" s="16">
        <v>57</v>
      </c>
      <c r="AQ30" s="16">
        <v>26</v>
      </c>
      <c r="AR30" s="16">
        <v>58</v>
      </c>
      <c r="AS30" s="16">
        <v>18</v>
      </c>
      <c r="AT30" s="16">
        <v>260</v>
      </c>
      <c r="AU30" s="16">
        <v>678</v>
      </c>
      <c r="AV30" s="16">
        <v>119</v>
      </c>
      <c r="AW30" s="16">
        <v>38</v>
      </c>
      <c r="AX30" s="16">
        <v>71</v>
      </c>
      <c r="AY30" s="16">
        <v>2</v>
      </c>
      <c r="AZ30" s="16">
        <v>2</v>
      </c>
      <c r="BA30" s="16">
        <v>7</v>
      </c>
      <c r="BB30" s="16">
        <v>16</v>
      </c>
      <c r="BC30" s="16">
        <v>0</v>
      </c>
      <c r="BD30" s="16">
        <v>62</v>
      </c>
      <c r="BE30" s="16">
        <v>87</v>
      </c>
      <c r="BF30" s="16">
        <v>81</v>
      </c>
      <c r="BG30" s="16">
        <v>351</v>
      </c>
      <c r="BH30" s="16">
        <v>59</v>
      </c>
      <c r="BI30" s="16">
        <v>104</v>
      </c>
      <c r="BJ30" s="16">
        <v>203</v>
      </c>
      <c r="BK30" s="16">
        <v>126</v>
      </c>
      <c r="BL30" s="16">
        <v>118</v>
      </c>
      <c r="BM30" s="16">
        <v>23</v>
      </c>
      <c r="BN30" s="16">
        <v>0</v>
      </c>
      <c r="BO30" s="16">
        <v>1</v>
      </c>
    </row>
    <row r="31" spans="1:67" s="5" customFormat="1" ht="21.9" customHeight="1" x14ac:dyDescent="0.25">
      <c r="A31" s="125"/>
      <c r="B31" s="4"/>
      <c r="C31" s="47" t="s">
        <v>76</v>
      </c>
      <c r="D31" s="48"/>
      <c r="E31" s="16">
        <v>336</v>
      </c>
      <c r="F31" s="26">
        <v>2</v>
      </c>
      <c r="G31" s="26">
        <v>0</v>
      </c>
      <c r="H31" s="26">
        <v>0</v>
      </c>
      <c r="I31" s="26">
        <v>0</v>
      </c>
      <c r="J31" s="26">
        <v>0</v>
      </c>
      <c r="K31" s="26">
        <v>0</v>
      </c>
      <c r="L31" s="26">
        <v>2</v>
      </c>
      <c r="M31" s="26">
        <v>0</v>
      </c>
      <c r="N31" s="26">
        <v>0</v>
      </c>
      <c r="O31" s="26">
        <v>0</v>
      </c>
      <c r="P31" s="26">
        <v>0</v>
      </c>
      <c r="Q31" s="26">
        <v>4</v>
      </c>
      <c r="R31" s="26">
        <v>4</v>
      </c>
      <c r="S31" s="26">
        <v>0</v>
      </c>
      <c r="T31" s="16">
        <v>0</v>
      </c>
      <c r="U31" s="16">
        <v>10</v>
      </c>
      <c r="V31" s="16">
        <v>1</v>
      </c>
      <c r="W31" s="16">
        <v>1</v>
      </c>
      <c r="X31" s="16">
        <v>2</v>
      </c>
      <c r="Y31" s="16">
        <v>0</v>
      </c>
      <c r="Z31" s="16">
        <v>6</v>
      </c>
      <c r="AA31" s="16">
        <v>0</v>
      </c>
      <c r="AB31" s="16">
        <v>2</v>
      </c>
      <c r="AC31" s="16">
        <v>0</v>
      </c>
      <c r="AD31" s="16">
        <v>4</v>
      </c>
      <c r="AE31" s="16">
        <v>1</v>
      </c>
      <c r="AF31" s="16">
        <v>0</v>
      </c>
      <c r="AG31" s="16">
        <v>5</v>
      </c>
      <c r="AH31" s="16">
        <v>22</v>
      </c>
      <c r="AI31" s="16">
        <v>0</v>
      </c>
      <c r="AJ31" s="16">
        <v>0</v>
      </c>
      <c r="AK31" s="16">
        <v>9</v>
      </c>
      <c r="AL31" s="16">
        <v>1</v>
      </c>
      <c r="AM31" s="16">
        <v>1</v>
      </c>
      <c r="AN31" s="16">
        <v>5</v>
      </c>
      <c r="AO31" s="26">
        <v>0</v>
      </c>
      <c r="AP31" s="26">
        <v>0</v>
      </c>
      <c r="AQ31" s="26">
        <v>0</v>
      </c>
      <c r="AR31" s="26">
        <v>2</v>
      </c>
      <c r="AS31" s="26">
        <v>0</v>
      </c>
      <c r="AT31" s="26">
        <v>0</v>
      </c>
      <c r="AU31" s="26">
        <v>9</v>
      </c>
      <c r="AV31" s="26">
        <v>0</v>
      </c>
      <c r="AW31" s="26">
        <v>0</v>
      </c>
      <c r="AX31" s="26">
        <v>0</v>
      </c>
      <c r="AY31" s="16">
        <v>0</v>
      </c>
      <c r="AZ31" s="16">
        <v>2</v>
      </c>
      <c r="BA31" s="16">
        <v>0</v>
      </c>
      <c r="BB31" s="16">
        <v>0</v>
      </c>
      <c r="BC31" s="16">
        <v>0</v>
      </c>
      <c r="BD31" s="16">
        <v>0</v>
      </c>
      <c r="BE31" s="16">
        <v>0</v>
      </c>
      <c r="BF31" s="16">
        <v>0</v>
      </c>
      <c r="BG31" s="16">
        <v>231</v>
      </c>
      <c r="BH31" s="16">
        <v>0</v>
      </c>
      <c r="BI31" s="16">
        <v>3</v>
      </c>
      <c r="BJ31" s="16">
        <v>6</v>
      </c>
      <c r="BK31" s="16">
        <v>0</v>
      </c>
      <c r="BL31" s="16">
        <v>0</v>
      </c>
      <c r="BM31" s="16">
        <v>0</v>
      </c>
      <c r="BN31" s="16">
        <v>0</v>
      </c>
      <c r="BO31" s="16">
        <v>1</v>
      </c>
    </row>
    <row r="32" spans="1:67" s="5" customFormat="1" ht="21.9" customHeight="1" x14ac:dyDescent="0.25">
      <c r="A32" s="125" t="s">
        <v>84</v>
      </c>
      <c r="B32" s="4"/>
      <c r="C32" s="47" t="s">
        <v>75</v>
      </c>
      <c r="D32" s="48"/>
      <c r="E32" s="16">
        <v>43200</v>
      </c>
      <c r="F32" s="16">
        <v>990</v>
      </c>
      <c r="G32" s="16">
        <v>130</v>
      </c>
      <c r="H32" s="16">
        <v>283</v>
      </c>
      <c r="I32" s="16">
        <v>857</v>
      </c>
      <c r="J32" s="16">
        <v>19</v>
      </c>
      <c r="K32" s="16">
        <v>261</v>
      </c>
      <c r="L32" s="16">
        <v>711</v>
      </c>
      <c r="M32" s="16">
        <v>89</v>
      </c>
      <c r="N32" s="16">
        <v>18</v>
      </c>
      <c r="O32" s="16">
        <v>86</v>
      </c>
      <c r="P32" s="16">
        <v>0</v>
      </c>
      <c r="Q32" s="16">
        <v>158</v>
      </c>
      <c r="R32" s="16">
        <v>341</v>
      </c>
      <c r="S32" s="16">
        <v>186</v>
      </c>
      <c r="T32" s="16">
        <v>884</v>
      </c>
      <c r="U32" s="16">
        <v>996</v>
      </c>
      <c r="V32" s="16">
        <v>239</v>
      </c>
      <c r="W32" s="16">
        <v>365</v>
      </c>
      <c r="X32" s="16">
        <v>358</v>
      </c>
      <c r="Y32" s="16">
        <v>837</v>
      </c>
      <c r="Z32" s="16">
        <v>484</v>
      </c>
      <c r="AA32" s="16">
        <v>134</v>
      </c>
      <c r="AB32" s="16">
        <v>277</v>
      </c>
      <c r="AC32" s="16">
        <v>907</v>
      </c>
      <c r="AD32" s="16">
        <v>3731</v>
      </c>
      <c r="AE32" s="16">
        <v>2718</v>
      </c>
      <c r="AF32" s="16">
        <v>476</v>
      </c>
      <c r="AG32" s="16">
        <v>704</v>
      </c>
      <c r="AH32" s="16">
        <v>47</v>
      </c>
      <c r="AI32" s="16">
        <v>436</v>
      </c>
      <c r="AJ32" s="16">
        <v>8</v>
      </c>
      <c r="AK32" s="16">
        <v>96</v>
      </c>
      <c r="AL32" s="16">
        <v>264</v>
      </c>
      <c r="AM32" s="16">
        <v>32</v>
      </c>
      <c r="AN32" s="16">
        <v>674</v>
      </c>
      <c r="AO32" s="16">
        <v>117</v>
      </c>
      <c r="AP32" s="16">
        <v>27</v>
      </c>
      <c r="AQ32" s="16">
        <v>174</v>
      </c>
      <c r="AR32" s="16">
        <v>78</v>
      </c>
      <c r="AS32" s="16">
        <v>43</v>
      </c>
      <c r="AT32" s="16">
        <v>1587</v>
      </c>
      <c r="AU32" s="16">
        <v>3645</v>
      </c>
      <c r="AV32" s="16">
        <v>477</v>
      </c>
      <c r="AW32" s="16">
        <v>17</v>
      </c>
      <c r="AX32" s="16">
        <v>2086</v>
      </c>
      <c r="AY32" s="16">
        <v>377</v>
      </c>
      <c r="AZ32" s="16">
        <v>40</v>
      </c>
      <c r="BA32" s="16">
        <v>2</v>
      </c>
      <c r="BB32" s="16">
        <v>6</v>
      </c>
      <c r="BC32" s="16">
        <v>3</v>
      </c>
      <c r="BD32" s="16">
        <v>1990</v>
      </c>
      <c r="BE32" s="16">
        <v>1480</v>
      </c>
      <c r="BF32" s="16">
        <v>3992</v>
      </c>
      <c r="BG32" s="16">
        <v>1000</v>
      </c>
      <c r="BH32" s="16">
        <v>3022</v>
      </c>
      <c r="BI32" s="16">
        <v>96</v>
      </c>
      <c r="BJ32" s="16">
        <v>360</v>
      </c>
      <c r="BK32" s="16">
        <v>179</v>
      </c>
      <c r="BL32" s="16">
        <v>635</v>
      </c>
      <c r="BM32" s="16">
        <v>122</v>
      </c>
      <c r="BN32" s="16">
        <v>2817</v>
      </c>
      <c r="BO32" s="16">
        <v>32</v>
      </c>
    </row>
    <row r="33" spans="1:67" s="5" customFormat="1" ht="21.9" customHeight="1" x14ac:dyDescent="0.25">
      <c r="A33" s="125"/>
      <c r="B33" s="4"/>
      <c r="C33" s="47" t="s">
        <v>76</v>
      </c>
      <c r="D33" s="48"/>
      <c r="E33" s="16">
        <v>306</v>
      </c>
      <c r="F33" s="26">
        <v>0</v>
      </c>
      <c r="G33" s="26">
        <v>0</v>
      </c>
      <c r="H33" s="26">
        <v>0</v>
      </c>
      <c r="I33" s="26">
        <v>0</v>
      </c>
      <c r="J33" s="26">
        <v>0</v>
      </c>
      <c r="K33" s="26">
        <v>0</v>
      </c>
      <c r="L33" s="26">
        <v>1</v>
      </c>
      <c r="M33" s="26">
        <v>0</v>
      </c>
      <c r="N33" s="26">
        <v>0</v>
      </c>
      <c r="O33" s="26">
        <v>0</v>
      </c>
      <c r="P33" s="26">
        <v>0</v>
      </c>
      <c r="Q33" s="26">
        <v>0</v>
      </c>
      <c r="R33" s="26">
        <v>0</v>
      </c>
      <c r="S33" s="26">
        <v>0</v>
      </c>
      <c r="T33" s="16">
        <v>1</v>
      </c>
      <c r="U33" s="16">
        <v>33</v>
      </c>
      <c r="V33" s="16">
        <v>1</v>
      </c>
      <c r="W33" s="16">
        <v>10</v>
      </c>
      <c r="X33" s="16">
        <v>4</v>
      </c>
      <c r="Y33" s="16">
        <v>3</v>
      </c>
      <c r="Z33" s="16">
        <v>15</v>
      </c>
      <c r="AA33" s="16">
        <v>0</v>
      </c>
      <c r="AB33" s="16">
        <v>1</v>
      </c>
      <c r="AC33" s="16">
        <v>0</v>
      </c>
      <c r="AD33" s="16">
        <v>2</v>
      </c>
      <c r="AE33" s="16">
        <v>1</v>
      </c>
      <c r="AF33" s="16">
        <v>1</v>
      </c>
      <c r="AG33" s="16">
        <v>6</v>
      </c>
      <c r="AH33" s="16">
        <v>14</v>
      </c>
      <c r="AI33" s="16">
        <v>3</v>
      </c>
      <c r="AJ33" s="16">
        <v>0</v>
      </c>
      <c r="AK33" s="16">
        <v>2</v>
      </c>
      <c r="AL33" s="16">
        <v>0</v>
      </c>
      <c r="AM33" s="16">
        <v>0</v>
      </c>
      <c r="AN33" s="16">
        <v>9</v>
      </c>
      <c r="AO33" s="26">
        <v>0</v>
      </c>
      <c r="AP33" s="26">
        <v>0</v>
      </c>
      <c r="AQ33" s="26">
        <v>0</v>
      </c>
      <c r="AR33" s="26">
        <v>0</v>
      </c>
      <c r="AS33" s="26">
        <v>0</v>
      </c>
      <c r="AT33" s="26">
        <v>0</v>
      </c>
      <c r="AU33" s="26">
        <v>0</v>
      </c>
      <c r="AV33" s="26">
        <v>0</v>
      </c>
      <c r="AW33" s="26">
        <v>0</v>
      </c>
      <c r="AX33" s="26">
        <v>1</v>
      </c>
      <c r="AY33" s="16">
        <v>0</v>
      </c>
      <c r="AZ33" s="16">
        <v>0</v>
      </c>
      <c r="BA33" s="16">
        <v>0</v>
      </c>
      <c r="BB33" s="16">
        <v>0</v>
      </c>
      <c r="BC33" s="16">
        <v>0</v>
      </c>
      <c r="BD33" s="16">
        <v>0</v>
      </c>
      <c r="BE33" s="16">
        <v>5</v>
      </c>
      <c r="BF33" s="16">
        <v>7</v>
      </c>
      <c r="BG33" s="16">
        <v>170</v>
      </c>
      <c r="BH33" s="16">
        <v>0</v>
      </c>
      <c r="BI33" s="16">
        <v>1</v>
      </c>
      <c r="BJ33" s="16">
        <v>2</v>
      </c>
      <c r="BK33" s="16">
        <v>4</v>
      </c>
      <c r="BL33" s="16">
        <v>3</v>
      </c>
      <c r="BM33" s="16">
        <v>0</v>
      </c>
      <c r="BN33" s="16">
        <v>0</v>
      </c>
      <c r="BO33" s="16">
        <v>6</v>
      </c>
    </row>
    <row r="34" spans="1:67" s="5" customFormat="1" ht="21.9" customHeight="1" x14ac:dyDescent="0.25">
      <c r="A34" s="125" t="s">
        <v>85</v>
      </c>
      <c r="C34" s="47" t="s">
        <v>75</v>
      </c>
      <c r="D34" s="48"/>
      <c r="E34" s="16">
        <v>17194</v>
      </c>
      <c r="F34" s="16">
        <v>587</v>
      </c>
      <c r="G34" s="16">
        <v>407</v>
      </c>
      <c r="H34" s="16">
        <v>80</v>
      </c>
      <c r="I34" s="16">
        <v>87</v>
      </c>
      <c r="J34" s="16">
        <v>4</v>
      </c>
      <c r="K34" s="16">
        <v>394</v>
      </c>
      <c r="L34" s="16">
        <v>426</v>
      </c>
      <c r="M34" s="16">
        <v>141</v>
      </c>
      <c r="N34" s="16">
        <v>66</v>
      </c>
      <c r="O34" s="16">
        <v>45</v>
      </c>
      <c r="P34" s="16">
        <v>0</v>
      </c>
      <c r="Q34" s="16">
        <v>79</v>
      </c>
      <c r="R34" s="16">
        <v>102</v>
      </c>
      <c r="S34" s="16">
        <v>182</v>
      </c>
      <c r="T34" s="16">
        <v>34</v>
      </c>
      <c r="U34" s="16">
        <v>567</v>
      </c>
      <c r="V34" s="16">
        <v>113</v>
      </c>
      <c r="W34" s="16">
        <v>356</v>
      </c>
      <c r="X34" s="16">
        <v>32</v>
      </c>
      <c r="Y34" s="16">
        <v>568</v>
      </c>
      <c r="Z34" s="16">
        <v>388</v>
      </c>
      <c r="AA34" s="16">
        <v>44</v>
      </c>
      <c r="AB34" s="16">
        <v>498</v>
      </c>
      <c r="AC34" s="16">
        <v>117</v>
      </c>
      <c r="AD34" s="16">
        <v>1603</v>
      </c>
      <c r="AE34" s="16">
        <v>854</v>
      </c>
      <c r="AF34" s="16">
        <v>201</v>
      </c>
      <c r="AG34" s="16">
        <v>316</v>
      </c>
      <c r="AH34" s="16">
        <v>174</v>
      </c>
      <c r="AI34" s="16">
        <v>421</v>
      </c>
      <c r="AJ34" s="16">
        <v>11</v>
      </c>
      <c r="AK34" s="16">
        <v>217</v>
      </c>
      <c r="AL34" s="16">
        <v>196</v>
      </c>
      <c r="AM34" s="16">
        <v>73</v>
      </c>
      <c r="AN34" s="16">
        <v>1011</v>
      </c>
      <c r="AO34" s="16">
        <v>8</v>
      </c>
      <c r="AP34" s="16">
        <v>9</v>
      </c>
      <c r="AQ34" s="16">
        <v>24</v>
      </c>
      <c r="AR34" s="16">
        <v>63</v>
      </c>
      <c r="AS34" s="16">
        <v>65</v>
      </c>
      <c r="AT34" s="16">
        <v>610</v>
      </c>
      <c r="AU34" s="16">
        <v>763</v>
      </c>
      <c r="AV34" s="16">
        <v>539</v>
      </c>
      <c r="AW34" s="16">
        <v>18</v>
      </c>
      <c r="AX34" s="16">
        <v>237</v>
      </c>
      <c r="AY34" s="16">
        <v>32</v>
      </c>
      <c r="AZ34" s="16">
        <v>142</v>
      </c>
      <c r="BA34" s="16">
        <v>24</v>
      </c>
      <c r="BB34" s="16">
        <v>46</v>
      </c>
      <c r="BC34" s="16">
        <v>0</v>
      </c>
      <c r="BD34" s="16">
        <v>320</v>
      </c>
      <c r="BE34" s="16">
        <v>257</v>
      </c>
      <c r="BF34" s="16">
        <v>83</v>
      </c>
      <c r="BG34" s="16">
        <v>1085</v>
      </c>
      <c r="BH34" s="16">
        <v>390</v>
      </c>
      <c r="BI34" s="16">
        <v>102</v>
      </c>
      <c r="BJ34" s="16">
        <v>488</v>
      </c>
      <c r="BK34" s="16">
        <v>197</v>
      </c>
      <c r="BL34" s="16">
        <v>540</v>
      </c>
      <c r="BM34" s="16">
        <v>20</v>
      </c>
      <c r="BN34" s="16">
        <v>169</v>
      </c>
      <c r="BO34" s="16">
        <v>569</v>
      </c>
    </row>
    <row r="35" spans="1:67" s="5" customFormat="1" ht="21.9" customHeight="1" x14ac:dyDescent="0.25">
      <c r="A35" s="125"/>
      <c r="C35" s="47" t="s">
        <v>76</v>
      </c>
      <c r="D35" s="48"/>
      <c r="E35" s="16">
        <v>1162</v>
      </c>
      <c r="F35" s="26">
        <v>0</v>
      </c>
      <c r="G35" s="26">
        <v>0</v>
      </c>
      <c r="H35" s="26">
        <v>0</v>
      </c>
      <c r="I35" s="26">
        <v>1</v>
      </c>
      <c r="J35" s="26">
        <v>0</v>
      </c>
      <c r="K35" s="26">
        <v>0</v>
      </c>
      <c r="L35" s="26">
        <v>3</v>
      </c>
      <c r="M35" s="26">
        <v>0</v>
      </c>
      <c r="N35" s="26">
        <v>0</v>
      </c>
      <c r="O35" s="26">
        <v>1</v>
      </c>
      <c r="P35" s="26">
        <v>0</v>
      </c>
      <c r="Q35" s="26">
        <v>0</v>
      </c>
      <c r="R35" s="26">
        <v>2</v>
      </c>
      <c r="S35" s="26">
        <v>3</v>
      </c>
      <c r="T35" s="16">
        <v>5</v>
      </c>
      <c r="U35" s="16">
        <v>12</v>
      </c>
      <c r="V35" s="16">
        <v>1</v>
      </c>
      <c r="W35" s="16">
        <v>4</v>
      </c>
      <c r="X35" s="16">
        <v>0</v>
      </c>
      <c r="Y35" s="16">
        <v>7</v>
      </c>
      <c r="Z35" s="16">
        <v>10</v>
      </c>
      <c r="AA35" s="16">
        <v>0</v>
      </c>
      <c r="AB35" s="16">
        <v>4</v>
      </c>
      <c r="AC35" s="16">
        <v>0</v>
      </c>
      <c r="AD35" s="16">
        <v>18</v>
      </c>
      <c r="AE35" s="16">
        <v>4</v>
      </c>
      <c r="AF35" s="16">
        <v>21</v>
      </c>
      <c r="AG35" s="16">
        <v>36</v>
      </c>
      <c r="AH35" s="16">
        <v>29</v>
      </c>
      <c r="AI35" s="16">
        <v>1</v>
      </c>
      <c r="AJ35" s="16">
        <v>0</v>
      </c>
      <c r="AK35" s="16">
        <v>3</v>
      </c>
      <c r="AL35" s="16">
        <v>1</v>
      </c>
      <c r="AM35" s="16">
        <v>0</v>
      </c>
      <c r="AN35" s="16">
        <v>22</v>
      </c>
      <c r="AO35" s="26">
        <v>0</v>
      </c>
      <c r="AP35" s="26">
        <v>0</v>
      </c>
      <c r="AQ35" s="26">
        <v>0</v>
      </c>
      <c r="AR35" s="26">
        <v>0</v>
      </c>
      <c r="AS35" s="26">
        <v>0</v>
      </c>
      <c r="AT35" s="26">
        <v>1</v>
      </c>
      <c r="AU35" s="26">
        <v>9</v>
      </c>
      <c r="AV35" s="26">
        <v>4</v>
      </c>
      <c r="AW35" s="26">
        <v>0</v>
      </c>
      <c r="AX35" s="26">
        <v>0</v>
      </c>
      <c r="AY35" s="16">
        <v>0</v>
      </c>
      <c r="AZ35" s="16">
        <v>0</v>
      </c>
      <c r="BA35" s="16">
        <v>0</v>
      </c>
      <c r="BB35" s="16">
        <v>0</v>
      </c>
      <c r="BC35" s="16">
        <v>0</v>
      </c>
      <c r="BD35" s="16">
        <v>1</v>
      </c>
      <c r="BE35" s="16">
        <v>11</v>
      </c>
      <c r="BF35" s="16">
        <v>0</v>
      </c>
      <c r="BG35" s="16">
        <v>914</v>
      </c>
      <c r="BH35" s="16"/>
      <c r="BI35" s="16">
        <v>0</v>
      </c>
      <c r="BJ35" s="16">
        <v>0</v>
      </c>
      <c r="BK35" s="16">
        <v>6</v>
      </c>
      <c r="BL35" s="16">
        <v>1</v>
      </c>
      <c r="BM35" s="16">
        <v>0</v>
      </c>
      <c r="BN35" s="16">
        <v>0</v>
      </c>
      <c r="BO35" s="16">
        <v>27</v>
      </c>
    </row>
    <row r="36" spans="1:67" s="5" customFormat="1" ht="21.9" customHeight="1" x14ac:dyDescent="0.25">
      <c r="A36" s="125" t="s">
        <v>251</v>
      </c>
      <c r="B36" s="4"/>
      <c r="C36" s="47" t="s">
        <v>75</v>
      </c>
      <c r="D36" s="48"/>
      <c r="E36" s="16">
        <v>25723</v>
      </c>
      <c r="F36" s="16">
        <v>660</v>
      </c>
      <c r="G36" s="16">
        <v>512</v>
      </c>
      <c r="H36" s="16">
        <v>352</v>
      </c>
      <c r="I36" s="16">
        <v>206</v>
      </c>
      <c r="J36" s="16">
        <v>67</v>
      </c>
      <c r="K36" s="16">
        <v>517</v>
      </c>
      <c r="L36" s="16">
        <v>540</v>
      </c>
      <c r="M36" s="16">
        <v>260</v>
      </c>
      <c r="N36" s="16">
        <v>171</v>
      </c>
      <c r="O36" s="16">
        <v>135</v>
      </c>
      <c r="P36" s="16">
        <v>73</v>
      </c>
      <c r="Q36" s="16">
        <v>131</v>
      </c>
      <c r="R36" s="16">
        <v>290</v>
      </c>
      <c r="S36" s="16">
        <v>167</v>
      </c>
      <c r="T36" s="16">
        <v>406</v>
      </c>
      <c r="U36" s="16">
        <v>604</v>
      </c>
      <c r="V36" s="16">
        <v>207</v>
      </c>
      <c r="W36" s="16">
        <v>187</v>
      </c>
      <c r="X36" s="16">
        <v>182</v>
      </c>
      <c r="Y36" s="16">
        <v>560</v>
      </c>
      <c r="Z36" s="16">
        <v>289</v>
      </c>
      <c r="AA36" s="16">
        <v>147</v>
      </c>
      <c r="AB36" s="16">
        <v>277</v>
      </c>
      <c r="AC36" s="16">
        <v>118</v>
      </c>
      <c r="AD36" s="16">
        <v>2651</v>
      </c>
      <c r="AE36" s="16">
        <v>803</v>
      </c>
      <c r="AF36" s="16">
        <v>269</v>
      </c>
      <c r="AG36" s="16">
        <v>353</v>
      </c>
      <c r="AH36" s="16">
        <v>430</v>
      </c>
      <c r="AI36" s="16">
        <v>675</v>
      </c>
      <c r="AJ36" s="16">
        <v>56</v>
      </c>
      <c r="AK36" s="16">
        <v>361</v>
      </c>
      <c r="AL36" s="16">
        <v>146</v>
      </c>
      <c r="AM36" s="16">
        <v>105</v>
      </c>
      <c r="AN36" s="16">
        <v>374</v>
      </c>
      <c r="AO36" s="16">
        <v>122</v>
      </c>
      <c r="AP36" s="16">
        <v>90</v>
      </c>
      <c r="AQ36" s="16">
        <v>101</v>
      </c>
      <c r="AR36" s="16">
        <v>232</v>
      </c>
      <c r="AS36" s="16">
        <v>198</v>
      </c>
      <c r="AT36" s="16">
        <v>743</v>
      </c>
      <c r="AU36" s="16">
        <v>1132</v>
      </c>
      <c r="AV36" s="16">
        <v>1156</v>
      </c>
      <c r="AW36" s="16">
        <v>167</v>
      </c>
      <c r="AX36" s="16">
        <v>732</v>
      </c>
      <c r="AY36" s="16">
        <v>434</v>
      </c>
      <c r="AZ36" s="16">
        <v>6</v>
      </c>
      <c r="BA36" s="16">
        <v>79</v>
      </c>
      <c r="BB36" s="26">
        <v>73</v>
      </c>
      <c r="BC36" s="16">
        <v>151</v>
      </c>
      <c r="BD36" s="16">
        <v>715</v>
      </c>
      <c r="BE36" s="16">
        <v>602</v>
      </c>
      <c r="BF36" s="16">
        <v>775</v>
      </c>
      <c r="BG36" s="16">
        <v>772</v>
      </c>
      <c r="BH36" s="16">
        <v>798</v>
      </c>
      <c r="BI36" s="16">
        <v>1092</v>
      </c>
      <c r="BJ36" s="16">
        <v>418</v>
      </c>
      <c r="BK36" s="16">
        <v>535</v>
      </c>
      <c r="BL36" s="16">
        <v>528</v>
      </c>
      <c r="BM36" s="16">
        <v>103</v>
      </c>
      <c r="BN36" s="16">
        <v>31</v>
      </c>
      <c r="BO36" s="16">
        <v>657</v>
      </c>
    </row>
    <row r="37" spans="1:67" s="5" customFormat="1" ht="21.9" customHeight="1" x14ac:dyDescent="0.25">
      <c r="A37" s="125"/>
      <c r="B37" s="4"/>
      <c r="C37" s="47" t="s">
        <v>76</v>
      </c>
      <c r="D37" s="48"/>
      <c r="E37" s="16">
        <v>698</v>
      </c>
      <c r="F37" s="26">
        <v>0</v>
      </c>
      <c r="G37" s="26">
        <v>0</v>
      </c>
      <c r="H37" s="26">
        <v>0</v>
      </c>
      <c r="I37" s="26">
        <v>0</v>
      </c>
      <c r="J37" s="26">
        <v>0</v>
      </c>
      <c r="K37" s="26">
        <v>0</v>
      </c>
      <c r="L37" s="26">
        <v>2</v>
      </c>
      <c r="M37" s="26">
        <v>0</v>
      </c>
      <c r="N37" s="26">
        <v>0</v>
      </c>
      <c r="O37" s="26">
        <v>0</v>
      </c>
      <c r="P37" s="26">
        <v>0</v>
      </c>
      <c r="Q37" s="26">
        <v>0</v>
      </c>
      <c r="R37" s="26">
        <v>2</v>
      </c>
      <c r="S37" s="26">
        <v>1</v>
      </c>
      <c r="T37" s="16">
        <v>0</v>
      </c>
      <c r="U37" s="16">
        <v>1</v>
      </c>
      <c r="V37" s="16">
        <v>1</v>
      </c>
      <c r="W37" s="16">
        <v>0</v>
      </c>
      <c r="X37" s="16">
        <v>2</v>
      </c>
      <c r="Y37" s="16">
        <v>1</v>
      </c>
      <c r="Z37" s="16">
        <v>1</v>
      </c>
      <c r="AA37" s="16">
        <v>0</v>
      </c>
      <c r="AB37" s="16">
        <v>0</v>
      </c>
      <c r="AC37" s="16">
        <v>2</v>
      </c>
      <c r="AD37" s="16">
        <v>5</v>
      </c>
      <c r="AE37" s="16">
        <v>5</v>
      </c>
      <c r="AF37" s="16">
        <v>4</v>
      </c>
      <c r="AG37" s="16">
        <v>13</v>
      </c>
      <c r="AH37" s="16">
        <v>11</v>
      </c>
      <c r="AI37" s="16">
        <v>0</v>
      </c>
      <c r="AJ37" s="16">
        <v>0</v>
      </c>
      <c r="AK37" s="16">
        <v>4</v>
      </c>
      <c r="AL37" s="16">
        <v>0</v>
      </c>
      <c r="AM37" s="16">
        <v>0</v>
      </c>
      <c r="AN37" s="16">
        <v>10</v>
      </c>
      <c r="AO37" s="26">
        <v>0</v>
      </c>
      <c r="AP37" s="26">
        <v>0</v>
      </c>
      <c r="AQ37" s="26">
        <v>1</v>
      </c>
      <c r="AR37" s="26">
        <v>0</v>
      </c>
      <c r="AS37" s="26">
        <v>0</v>
      </c>
      <c r="AT37" s="26">
        <v>0</v>
      </c>
      <c r="AU37" s="16">
        <v>9</v>
      </c>
      <c r="AV37" s="26">
        <v>31</v>
      </c>
      <c r="AW37" s="26">
        <v>0</v>
      </c>
      <c r="AX37" s="16">
        <v>0</v>
      </c>
      <c r="AY37" s="16">
        <v>0</v>
      </c>
      <c r="AZ37" s="26">
        <v>0</v>
      </c>
      <c r="BA37" s="26">
        <v>0</v>
      </c>
      <c r="BB37" s="26">
        <v>0</v>
      </c>
      <c r="BC37" s="26">
        <v>0</v>
      </c>
      <c r="BD37" s="16">
        <v>3</v>
      </c>
      <c r="BE37" s="16">
        <v>1</v>
      </c>
      <c r="BF37" s="16">
        <v>6</v>
      </c>
      <c r="BG37" s="16">
        <v>527</v>
      </c>
      <c r="BH37" s="26">
        <v>42</v>
      </c>
      <c r="BI37" s="26">
        <v>0</v>
      </c>
      <c r="BJ37" s="26">
        <v>1</v>
      </c>
      <c r="BK37" s="26">
        <v>3</v>
      </c>
      <c r="BL37" s="26">
        <v>1</v>
      </c>
      <c r="BM37" s="26">
        <v>0</v>
      </c>
      <c r="BN37" s="26">
        <v>0</v>
      </c>
      <c r="BO37" s="16">
        <v>8</v>
      </c>
    </row>
    <row r="38" spans="1:67" s="5" customFormat="1" ht="21.9" customHeight="1" x14ac:dyDescent="0.25">
      <c r="A38" s="125" t="s">
        <v>87</v>
      </c>
      <c r="B38" s="4"/>
      <c r="C38" s="47" t="s">
        <v>142</v>
      </c>
      <c r="D38" s="48"/>
      <c r="E38" s="16">
        <v>19579</v>
      </c>
      <c r="F38" s="16">
        <v>109</v>
      </c>
      <c r="G38" s="16">
        <v>101</v>
      </c>
      <c r="H38" s="16">
        <v>0</v>
      </c>
      <c r="I38" s="16">
        <v>74</v>
      </c>
      <c r="J38" s="16">
        <v>6</v>
      </c>
      <c r="K38" s="16">
        <v>798</v>
      </c>
      <c r="L38" s="16">
        <v>305</v>
      </c>
      <c r="M38" s="16">
        <v>88</v>
      </c>
      <c r="N38" s="16">
        <v>111</v>
      </c>
      <c r="O38" s="16">
        <v>63</v>
      </c>
      <c r="P38" s="16">
        <v>6</v>
      </c>
      <c r="Q38" s="16">
        <v>184</v>
      </c>
      <c r="R38" s="16">
        <v>300</v>
      </c>
      <c r="S38" s="16">
        <v>181</v>
      </c>
      <c r="T38" s="16">
        <v>231</v>
      </c>
      <c r="U38" s="16">
        <v>818</v>
      </c>
      <c r="V38" s="16">
        <v>195</v>
      </c>
      <c r="W38" s="16">
        <v>147</v>
      </c>
      <c r="X38" s="16">
        <v>15</v>
      </c>
      <c r="Y38" s="16">
        <v>697</v>
      </c>
      <c r="Z38" s="16">
        <v>251</v>
      </c>
      <c r="AA38" s="16">
        <v>185</v>
      </c>
      <c r="AB38" s="16">
        <v>207</v>
      </c>
      <c r="AC38" s="16">
        <v>49</v>
      </c>
      <c r="AD38" s="16">
        <v>4704</v>
      </c>
      <c r="AE38" s="16">
        <v>1495</v>
      </c>
      <c r="AF38" s="16">
        <v>551</v>
      </c>
      <c r="AG38" s="16">
        <v>852</v>
      </c>
      <c r="AH38" s="16">
        <v>177</v>
      </c>
      <c r="AI38" s="16">
        <v>233</v>
      </c>
      <c r="AJ38" s="16">
        <v>15</v>
      </c>
      <c r="AK38" s="16">
        <v>72</v>
      </c>
      <c r="AL38" s="16">
        <v>32</v>
      </c>
      <c r="AM38" s="16">
        <v>19</v>
      </c>
      <c r="AN38" s="16">
        <v>505</v>
      </c>
      <c r="AO38" s="16">
        <v>1</v>
      </c>
      <c r="AP38" s="16">
        <v>0</v>
      </c>
      <c r="AQ38" s="16">
        <v>0</v>
      </c>
      <c r="AR38" s="16">
        <v>149</v>
      </c>
      <c r="AS38" s="16">
        <v>287</v>
      </c>
      <c r="AT38" s="16">
        <v>115</v>
      </c>
      <c r="AU38" s="16">
        <v>1140</v>
      </c>
      <c r="AV38" s="16">
        <v>153</v>
      </c>
      <c r="AW38" s="16">
        <v>11</v>
      </c>
      <c r="AX38" s="16">
        <v>421</v>
      </c>
      <c r="AY38" s="16">
        <v>16</v>
      </c>
      <c r="AZ38" s="16">
        <v>0</v>
      </c>
      <c r="BA38" s="26">
        <v>0</v>
      </c>
      <c r="BB38" s="16">
        <v>0</v>
      </c>
      <c r="BC38" s="26">
        <v>0</v>
      </c>
      <c r="BD38" s="16">
        <v>105</v>
      </c>
      <c r="BE38" s="16">
        <v>134</v>
      </c>
      <c r="BF38" s="16">
        <v>498</v>
      </c>
      <c r="BG38" s="16">
        <v>618</v>
      </c>
      <c r="BH38" s="16">
        <v>405</v>
      </c>
      <c r="BI38" s="16">
        <v>56</v>
      </c>
      <c r="BJ38" s="16">
        <v>620</v>
      </c>
      <c r="BK38" s="16">
        <v>403</v>
      </c>
      <c r="BL38" s="16">
        <v>525</v>
      </c>
      <c r="BM38" s="26">
        <v>25</v>
      </c>
      <c r="BN38" s="26">
        <v>0</v>
      </c>
      <c r="BO38" s="16">
        <v>121</v>
      </c>
    </row>
    <row r="39" spans="1:67" s="5" customFormat="1" ht="21.9" customHeight="1" x14ac:dyDescent="0.25">
      <c r="A39" s="125"/>
      <c r="B39" s="4"/>
      <c r="C39" s="47" t="s">
        <v>76</v>
      </c>
      <c r="D39" s="48"/>
      <c r="E39" s="16">
        <v>700</v>
      </c>
      <c r="F39" s="26">
        <v>0</v>
      </c>
      <c r="G39" s="26">
        <v>0</v>
      </c>
      <c r="H39" s="26">
        <v>0</v>
      </c>
      <c r="I39" s="26">
        <v>1</v>
      </c>
      <c r="J39" s="26">
        <v>0</v>
      </c>
      <c r="K39" s="26">
        <v>0</v>
      </c>
      <c r="L39" s="26">
        <v>2</v>
      </c>
      <c r="M39" s="26">
        <v>0</v>
      </c>
      <c r="N39" s="26">
        <v>0</v>
      </c>
      <c r="O39" s="26">
        <v>0</v>
      </c>
      <c r="P39" s="26">
        <v>0</v>
      </c>
      <c r="Q39" s="26">
        <v>1</v>
      </c>
      <c r="R39" s="26">
        <v>3</v>
      </c>
      <c r="S39" s="26">
        <v>0</v>
      </c>
      <c r="T39" s="16">
        <v>0</v>
      </c>
      <c r="U39" s="16">
        <v>10</v>
      </c>
      <c r="V39" s="16">
        <v>1</v>
      </c>
      <c r="W39" s="16">
        <v>2</v>
      </c>
      <c r="X39" s="16">
        <v>2</v>
      </c>
      <c r="Y39" s="16">
        <v>6</v>
      </c>
      <c r="Z39" s="16">
        <v>1</v>
      </c>
      <c r="AA39" s="16">
        <v>1</v>
      </c>
      <c r="AB39" s="16">
        <v>3</v>
      </c>
      <c r="AC39" s="16">
        <v>8</v>
      </c>
      <c r="AD39" s="16">
        <v>8</v>
      </c>
      <c r="AE39" s="16">
        <v>5</v>
      </c>
      <c r="AF39" s="16">
        <v>1</v>
      </c>
      <c r="AG39" s="16">
        <v>9</v>
      </c>
      <c r="AH39" s="16">
        <v>16</v>
      </c>
      <c r="AI39" s="16">
        <v>5</v>
      </c>
      <c r="AJ39" s="16">
        <v>0</v>
      </c>
      <c r="AK39" s="16">
        <v>8</v>
      </c>
      <c r="AL39" s="16">
        <v>0</v>
      </c>
      <c r="AM39" s="16">
        <v>0</v>
      </c>
      <c r="AN39" s="16">
        <v>0</v>
      </c>
      <c r="AO39" s="26">
        <v>0</v>
      </c>
      <c r="AP39" s="26">
        <v>0</v>
      </c>
      <c r="AQ39" s="26">
        <v>0</v>
      </c>
      <c r="AR39" s="16">
        <v>5</v>
      </c>
      <c r="AS39" s="16">
        <v>0</v>
      </c>
      <c r="AT39" s="26">
        <v>0</v>
      </c>
      <c r="AU39" s="16">
        <v>0</v>
      </c>
      <c r="AV39" s="26">
        <v>0</v>
      </c>
      <c r="AW39" s="26">
        <v>0</v>
      </c>
      <c r="AX39" s="16">
        <v>4</v>
      </c>
      <c r="AY39" s="16">
        <v>0</v>
      </c>
      <c r="AZ39" s="26">
        <v>0</v>
      </c>
      <c r="BA39" s="26">
        <v>0</v>
      </c>
      <c r="BB39" s="26">
        <v>0</v>
      </c>
      <c r="BC39" s="26">
        <v>0</v>
      </c>
      <c r="BD39" s="26">
        <v>0</v>
      </c>
      <c r="BE39" s="16">
        <v>4</v>
      </c>
      <c r="BF39" s="16">
        <v>3</v>
      </c>
      <c r="BG39" s="16">
        <v>576</v>
      </c>
      <c r="BH39" s="16">
        <v>0</v>
      </c>
      <c r="BI39" s="16">
        <v>0</v>
      </c>
      <c r="BJ39" s="26">
        <v>0</v>
      </c>
      <c r="BK39" s="16">
        <v>0</v>
      </c>
      <c r="BL39" s="16">
        <v>0</v>
      </c>
      <c r="BM39" s="26">
        <v>0</v>
      </c>
      <c r="BN39" s="26">
        <v>0</v>
      </c>
      <c r="BO39" s="26">
        <v>15</v>
      </c>
    </row>
    <row r="40" spans="1:67" s="5" customFormat="1" ht="21.9" customHeight="1" x14ac:dyDescent="0.25">
      <c r="A40" s="125" t="s">
        <v>252</v>
      </c>
      <c r="C40" s="47" t="s">
        <v>75</v>
      </c>
      <c r="D40" s="48"/>
      <c r="E40" s="16">
        <v>8997</v>
      </c>
      <c r="F40" s="16">
        <v>226</v>
      </c>
      <c r="G40" s="16">
        <v>472</v>
      </c>
      <c r="H40" s="16">
        <v>161</v>
      </c>
      <c r="I40" s="16">
        <v>21</v>
      </c>
      <c r="J40" s="16">
        <v>0</v>
      </c>
      <c r="K40" s="16">
        <v>18</v>
      </c>
      <c r="L40" s="16">
        <v>256</v>
      </c>
      <c r="M40" s="16">
        <v>48</v>
      </c>
      <c r="N40" s="16">
        <v>16</v>
      </c>
      <c r="O40" s="16">
        <v>41</v>
      </c>
      <c r="P40" s="16">
        <v>0</v>
      </c>
      <c r="Q40" s="16">
        <v>1</v>
      </c>
      <c r="R40" s="16">
        <v>152</v>
      </c>
      <c r="S40" s="16">
        <v>38</v>
      </c>
      <c r="T40" s="16">
        <v>39</v>
      </c>
      <c r="U40" s="16">
        <v>83</v>
      </c>
      <c r="V40" s="16">
        <v>83</v>
      </c>
      <c r="W40" s="16">
        <v>138</v>
      </c>
      <c r="X40" s="16">
        <v>11</v>
      </c>
      <c r="Y40" s="16">
        <v>114</v>
      </c>
      <c r="Z40" s="16">
        <v>26</v>
      </c>
      <c r="AA40" s="16">
        <v>8</v>
      </c>
      <c r="AB40" s="16">
        <v>93</v>
      </c>
      <c r="AC40" s="16">
        <v>114</v>
      </c>
      <c r="AD40" s="16">
        <v>405</v>
      </c>
      <c r="AE40" s="16">
        <v>296</v>
      </c>
      <c r="AF40" s="16">
        <v>32</v>
      </c>
      <c r="AG40" s="16">
        <v>44</v>
      </c>
      <c r="AH40" s="16">
        <v>29</v>
      </c>
      <c r="AI40" s="16">
        <v>16</v>
      </c>
      <c r="AJ40" s="16">
        <v>3</v>
      </c>
      <c r="AK40" s="16">
        <v>27</v>
      </c>
      <c r="AL40" s="16">
        <v>39</v>
      </c>
      <c r="AM40" s="16">
        <v>2</v>
      </c>
      <c r="AN40" s="16">
        <v>154</v>
      </c>
      <c r="AO40" s="16">
        <v>24</v>
      </c>
      <c r="AP40" s="16">
        <v>34</v>
      </c>
      <c r="AQ40" s="16">
        <v>41</v>
      </c>
      <c r="AR40" s="16">
        <v>91</v>
      </c>
      <c r="AS40" s="16">
        <v>197</v>
      </c>
      <c r="AT40" s="16">
        <v>213</v>
      </c>
      <c r="AU40" s="16">
        <v>427</v>
      </c>
      <c r="AV40" s="16">
        <v>308</v>
      </c>
      <c r="AW40" s="16">
        <v>243</v>
      </c>
      <c r="AX40" s="16">
        <v>247</v>
      </c>
      <c r="AY40" s="16">
        <v>226</v>
      </c>
      <c r="AZ40" s="16">
        <v>0</v>
      </c>
      <c r="BA40" s="16">
        <v>0</v>
      </c>
      <c r="BB40" s="16">
        <v>0</v>
      </c>
      <c r="BC40" s="16">
        <v>399</v>
      </c>
      <c r="BD40" s="16">
        <v>185</v>
      </c>
      <c r="BE40" s="16">
        <v>354</v>
      </c>
      <c r="BF40" s="16">
        <v>125</v>
      </c>
      <c r="BG40" s="16">
        <v>53</v>
      </c>
      <c r="BH40" s="16">
        <v>48</v>
      </c>
      <c r="BI40" s="26">
        <v>1632</v>
      </c>
      <c r="BJ40" s="16">
        <v>648</v>
      </c>
      <c r="BK40" s="16">
        <v>116</v>
      </c>
      <c r="BL40" s="16">
        <v>25</v>
      </c>
      <c r="BM40" s="16">
        <v>105</v>
      </c>
      <c r="BN40" s="16">
        <v>0</v>
      </c>
      <c r="BO40" s="16">
        <v>50</v>
      </c>
    </row>
    <row r="41" spans="1:67" s="5" customFormat="1" ht="21.9" customHeight="1" x14ac:dyDescent="0.25">
      <c r="A41" s="125"/>
      <c r="C41" s="47" t="s">
        <v>76</v>
      </c>
      <c r="D41" s="48"/>
      <c r="E41" s="16">
        <v>70</v>
      </c>
      <c r="F41" s="26">
        <v>0</v>
      </c>
      <c r="G41" s="26">
        <v>0</v>
      </c>
      <c r="H41" s="26">
        <v>0</v>
      </c>
      <c r="I41" s="26">
        <v>0</v>
      </c>
      <c r="J41" s="26">
        <v>0</v>
      </c>
      <c r="K41" s="26">
        <v>0</v>
      </c>
      <c r="L41" s="26">
        <v>1</v>
      </c>
      <c r="M41" s="26">
        <v>0</v>
      </c>
      <c r="N41" s="26">
        <v>0</v>
      </c>
      <c r="O41" s="26">
        <v>0</v>
      </c>
      <c r="P41" s="26">
        <v>0</v>
      </c>
      <c r="Q41" s="26">
        <v>1</v>
      </c>
      <c r="R41" s="26">
        <v>7</v>
      </c>
      <c r="S41" s="26">
        <v>0</v>
      </c>
      <c r="T41" s="26">
        <v>0</v>
      </c>
      <c r="U41" s="16">
        <v>4</v>
      </c>
      <c r="V41" s="26">
        <v>0</v>
      </c>
      <c r="W41" s="26">
        <v>9</v>
      </c>
      <c r="X41" s="26">
        <v>0</v>
      </c>
      <c r="Y41" s="26">
        <v>0</v>
      </c>
      <c r="Z41" s="16">
        <v>5</v>
      </c>
      <c r="AA41" s="26">
        <v>0</v>
      </c>
      <c r="AB41" s="26">
        <v>0</v>
      </c>
      <c r="AC41" s="16">
        <v>0</v>
      </c>
      <c r="AD41" s="16">
        <v>5</v>
      </c>
      <c r="AE41" s="26">
        <v>0</v>
      </c>
      <c r="AF41" s="16">
        <v>0</v>
      </c>
      <c r="AG41" s="16">
        <v>6</v>
      </c>
      <c r="AH41" s="16">
        <v>1</v>
      </c>
      <c r="AI41" s="26">
        <v>0</v>
      </c>
      <c r="AJ41" s="26">
        <v>0</v>
      </c>
      <c r="AK41" s="16">
        <v>0</v>
      </c>
      <c r="AL41" s="26">
        <v>0</v>
      </c>
      <c r="AM41" s="26">
        <v>0</v>
      </c>
      <c r="AN41" s="16">
        <v>9</v>
      </c>
      <c r="AO41" s="26">
        <v>0</v>
      </c>
      <c r="AP41" s="26">
        <v>0</v>
      </c>
      <c r="AQ41" s="26">
        <v>4</v>
      </c>
      <c r="AR41" s="26">
        <v>0</v>
      </c>
      <c r="AS41" s="26">
        <v>3</v>
      </c>
      <c r="AT41" s="26">
        <v>0</v>
      </c>
      <c r="AU41" s="16">
        <v>0</v>
      </c>
      <c r="AV41" s="26">
        <v>0</v>
      </c>
      <c r="AW41" s="26">
        <v>0</v>
      </c>
      <c r="AX41" s="26">
        <v>0</v>
      </c>
      <c r="AY41" s="26">
        <v>0</v>
      </c>
      <c r="AZ41" s="26">
        <v>0</v>
      </c>
      <c r="BA41" s="26">
        <v>0</v>
      </c>
      <c r="BB41" s="26">
        <v>0</v>
      </c>
      <c r="BC41" s="26">
        <v>0</v>
      </c>
      <c r="BD41" s="26">
        <v>1</v>
      </c>
      <c r="BE41" s="26">
        <v>3</v>
      </c>
      <c r="BF41" s="16">
        <v>0</v>
      </c>
      <c r="BG41" s="26">
        <v>10</v>
      </c>
      <c r="BH41" s="26">
        <v>0</v>
      </c>
      <c r="BI41" s="26">
        <v>0</v>
      </c>
      <c r="BJ41" s="26">
        <v>1</v>
      </c>
      <c r="BK41" s="26">
        <v>0</v>
      </c>
      <c r="BL41" s="26">
        <v>0</v>
      </c>
      <c r="BM41" s="26">
        <v>0</v>
      </c>
      <c r="BN41" s="26">
        <v>0</v>
      </c>
      <c r="BO41" s="16">
        <v>0</v>
      </c>
    </row>
    <row r="42" spans="1:67" s="5" customFormat="1" ht="21.9" customHeight="1" x14ac:dyDescent="0.25">
      <c r="A42" s="125" t="s">
        <v>89</v>
      </c>
      <c r="B42" s="4"/>
      <c r="C42" s="47" t="s">
        <v>75</v>
      </c>
      <c r="D42" s="48"/>
      <c r="E42" s="16">
        <v>55225</v>
      </c>
      <c r="F42" s="16">
        <v>1045</v>
      </c>
      <c r="G42" s="16">
        <v>638</v>
      </c>
      <c r="H42" s="16">
        <v>214</v>
      </c>
      <c r="I42" s="16">
        <v>124</v>
      </c>
      <c r="J42" s="16">
        <v>242</v>
      </c>
      <c r="K42" s="16">
        <v>504</v>
      </c>
      <c r="L42" s="16">
        <v>543</v>
      </c>
      <c r="M42" s="16">
        <v>2279</v>
      </c>
      <c r="N42" s="16">
        <v>446</v>
      </c>
      <c r="O42" s="16">
        <v>245</v>
      </c>
      <c r="P42" s="16">
        <v>26</v>
      </c>
      <c r="Q42" s="16">
        <v>146</v>
      </c>
      <c r="R42" s="16">
        <v>252</v>
      </c>
      <c r="S42" s="16">
        <v>2535</v>
      </c>
      <c r="T42" s="16">
        <v>700</v>
      </c>
      <c r="U42" s="16">
        <v>1552</v>
      </c>
      <c r="V42" s="16">
        <v>535</v>
      </c>
      <c r="W42" s="16">
        <v>136</v>
      </c>
      <c r="X42" s="16">
        <v>165</v>
      </c>
      <c r="Y42" s="16">
        <v>4328</v>
      </c>
      <c r="Z42" s="16">
        <v>521</v>
      </c>
      <c r="AA42" s="16">
        <v>502</v>
      </c>
      <c r="AB42" s="16">
        <v>343</v>
      </c>
      <c r="AC42" s="16">
        <v>451</v>
      </c>
      <c r="AD42" s="16">
        <v>5713</v>
      </c>
      <c r="AE42" s="16">
        <v>4076</v>
      </c>
      <c r="AF42" s="16">
        <v>887</v>
      </c>
      <c r="AG42" s="16">
        <v>739</v>
      </c>
      <c r="AH42" s="16">
        <v>455</v>
      </c>
      <c r="AI42" s="16">
        <v>2570</v>
      </c>
      <c r="AJ42" s="16">
        <v>35</v>
      </c>
      <c r="AK42" s="16">
        <v>345</v>
      </c>
      <c r="AL42" s="16">
        <v>187</v>
      </c>
      <c r="AM42" s="16">
        <v>45</v>
      </c>
      <c r="AN42" s="16">
        <v>631</v>
      </c>
      <c r="AO42" s="16">
        <v>19</v>
      </c>
      <c r="AP42" s="16">
        <v>16</v>
      </c>
      <c r="AQ42" s="16">
        <v>12</v>
      </c>
      <c r="AR42" s="16">
        <v>374</v>
      </c>
      <c r="AS42" s="16">
        <v>88</v>
      </c>
      <c r="AT42" s="16">
        <v>2842</v>
      </c>
      <c r="AU42" s="16">
        <v>4697</v>
      </c>
      <c r="AV42" s="16">
        <v>1513</v>
      </c>
      <c r="AW42" s="16">
        <v>142</v>
      </c>
      <c r="AX42" s="16">
        <v>1137</v>
      </c>
      <c r="AY42" s="16">
        <v>407</v>
      </c>
      <c r="AZ42" s="26">
        <v>0</v>
      </c>
      <c r="BA42" s="16">
        <v>55</v>
      </c>
      <c r="BB42" s="16">
        <v>94</v>
      </c>
      <c r="BC42" s="16">
        <v>145</v>
      </c>
      <c r="BD42" s="16">
        <v>1254</v>
      </c>
      <c r="BE42" s="16">
        <v>974</v>
      </c>
      <c r="BF42" s="16">
        <v>698</v>
      </c>
      <c r="BG42" s="16">
        <v>762</v>
      </c>
      <c r="BH42" s="16">
        <v>273</v>
      </c>
      <c r="BI42" s="16">
        <v>257</v>
      </c>
      <c r="BJ42" s="16">
        <v>924</v>
      </c>
      <c r="BK42" s="16">
        <v>623</v>
      </c>
      <c r="BL42" s="16">
        <v>1896</v>
      </c>
      <c r="BM42" s="16">
        <v>1528</v>
      </c>
      <c r="BN42" s="16">
        <v>3</v>
      </c>
      <c r="BO42" s="16">
        <v>337</v>
      </c>
    </row>
    <row r="43" spans="1:67" s="5" customFormat="1" ht="21.9" customHeight="1" x14ac:dyDescent="0.25">
      <c r="A43" s="125"/>
      <c r="B43" s="4"/>
      <c r="C43" s="47" t="s">
        <v>76</v>
      </c>
      <c r="D43" s="48"/>
      <c r="E43" s="16">
        <v>735</v>
      </c>
      <c r="F43" s="26">
        <v>1</v>
      </c>
      <c r="G43" s="26">
        <v>0</v>
      </c>
      <c r="H43" s="26">
        <v>0</v>
      </c>
      <c r="I43" s="26">
        <v>0</v>
      </c>
      <c r="J43" s="26">
        <v>0</v>
      </c>
      <c r="K43" s="26">
        <v>0</v>
      </c>
      <c r="L43" s="26">
        <v>6</v>
      </c>
      <c r="M43" s="26">
        <v>1</v>
      </c>
      <c r="N43" s="26">
        <v>0</v>
      </c>
      <c r="O43" s="26">
        <v>2</v>
      </c>
      <c r="P43" s="26">
        <v>0</v>
      </c>
      <c r="Q43" s="26">
        <v>0</v>
      </c>
      <c r="R43" s="26">
        <v>0</v>
      </c>
      <c r="S43" s="26">
        <v>25</v>
      </c>
      <c r="T43" s="26">
        <v>3</v>
      </c>
      <c r="U43" s="16">
        <v>19</v>
      </c>
      <c r="V43" s="26">
        <v>8</v>
      </c>
      <c r="W43" s="16">
        <v>1</v>
      </c>
      <c r="X43" s="16">
        <v>2</v>
      </c>
      <c r="Y43" s="16">
        <v>87</v>
      </c>
      <c r="Z43" s="16">
        <v>0</v>
      </c>
      <c r="AA43" s="26">
        <v>2</v>
      </c>
      <c r="AB43" s="26">
        <v>10</v>
      </c>
      <c r="AC43" s="16">
        <v>9</v>
      </c>
      <c r="AD43" s="16">
        <v>55</v>
      </c>
      <c r="AE43" s="16">
        <v>16</v>
      </c>
      <c r="AF43" s="16">
        <v>0</v>
      </c>
      <c r="AG43" s="26">
        <v>3</v>
      </c>
      <c r="AH43" s="26">
        <v>12</v>
      </c>
      <c r="AI43" s="16">
        <v>56</v>
      </c>
      <c r="AJ43" s="26">
        <v>0</v>
      </c>
      <c r="AK43" s="16">
        <v>8</v>
      </c>
      <c r="AL43" s="26">
        <v>1</v>
      </c>
      <c r="AM43" s="26">
        <v>1</v>
      </c>
      <c r="AN43" s="16">
        <v>94</v>
      </c>
      <c r="AO43" s="16">
        <v>0</v>
      </c>
      <c r="AP43" s="26">
        <v>0</v>
      </c>
      <c r="AQ43" s="26">
        <v>0</v>
      </c>
      <c r="AR43" s="16">
        <v>17</v>
      </c>
      <c r="AS43" s="16">
        <v>0</v>
      </c>
      <c r="AT43" s="26">
        <v>0</v>
      </c>
      <c r="AU43" s="16">
        <v>43</v>
      </c>
      <c r="AV43" s="26">
        <v>0</v>
      </c>
      <c r="AW43" s="26">
        <v>0</v>
      </c>
      <c r="AX43" s="26">
        <v>9</v>
      </c>
      <c r="AY43" s="26">
        <v>0</v>
      </c>
      <c r="AZ43" s="26">
        <v>0</v>
      </c>
      <c r="BA43" s="26">
        <v>0</v>
      </c>
      <c r="BB43" s="26">
        <v>0</v>
      </c>
      <c r="BC43" s="26">
        <v>0</v>
      </c>
      <c r="BD43" s="26">
        <v>4</v>
      </c>
      <c r="BE43" s="16">
        <v>35</v>
      </c>
      <c r="BF43" s="16">
        <v>10</v>
      </c>
      <c r="BG43" s="16">
        <v>118</v>
      </c>
      <c r="BH43" s="16">
        <v>0</v>
      </c>
      <c r="BI43" s="26">
        <v>0</v>
      </c>
      <c r="BJ43" s="16">
        <v>2</v>
      </c>
      <c r="BK43" s="26">
        <v>1</v>
      </c>
      <c r="BL43" s="16">
        <v>69</v>
      </c>
      <c r="BM43" s="16">
        <v>2</v>
      </c>
      <c r="BN43" s="26">
        <v>0</v>
      </c>
      <c r="BO43" s="16">
        <v>3</v>
      </c>
    </row>
    <row r="44" spans="1:67" s="5" customFormat="1" ht="21.9" customHeight="1" x14ac:dyDescent="0.25">
      <c r="A44" s="125" t="s">
        <v>90</v>
      </c>
      <c r="B44" s="4"/>
      <c r="C44" s="47" t="s">
        <v>75</v>
      </c>
      <c r="D44" s="48"/>
      <c r="E44" s="16">
        <v>3741</v>
      </c>
      <c r="F44" s="16">
        <v>7</v>
      </c>
      <c r="G44" s="16">
        <v>5</v>
      </c>
      <c r="H44" s="16">
        <v>1</v>
      </c>
      <c r="I44" s="16">
        <v>4</v>
      </c>
      <c r="J44" s="16">
        <v>23</v>
      </c>
      <c r="K44" s="16">
        <v>117</v>
      </c>
      <c r="L44" s="16">
        <v>78</v>
      </c>
      <c r="M44" s="16">
        <v>45</v>
      </c>
      <c r="N44" s="16">
        <v>15</v>
      </c>
      <c r="O44" s="16">
        <v>7</v>
      </c>
      <c r="P44" s="16">
        <v>0</v>
      </c>
      <c r="Q44" s="16">
        <v>35</v>
      </c>
      <c r="R44" s="16">
        <v>20</v>
      </c>
      <c r="S44" s="16">
        <v>136</v>
      </c>
      <c r="T44" s="16">
        <v>38</v>
      </c>
      <c r="U44" s="16">
        <v>246</v>
      </c>
      <c r="V44" s="16">
        <v>0</v>
      </c>
      <c r="W44" s="16">
        <v>148</v>
      </c>
      <c r="X44" s="16">
        <v>2</v>
      </c>
      <c r="Y44" s="16">
        <v>116</v>
      </c>
      <c r="Z44" s="16">
        <v>96</v>
      </c>
      <c r="AA44" s="16">
        <v>75</v>
      </c>
      <c r="AB44" s="16">
        <v>43</v>
      </c>
      <c r="AC44" s="16">
        <v>1</v>
      </c>
      <c r="AD44" s="16">
        <v>714</v>
      </c>
      <c r="AE44" s="16">
        <v>49</v>
      </c>
      <c r="AF44" s="16">
        <v>65</v>
      </c>
      <c r="AG44" s="16">
        <v>146</v>
      </c>
      <c r="AH44" s="16">
        <v>18</v>
      </c>
      <c r="AI44" s="16">
        <v>146</v>
      </c>
      <c r="AJ44" s="16">
        <v>1</v>
      </c>
      <c r="AK44" s="16">
        <v>7</v>
      </c>
      <c r="AL44" s="16">
        <v>1</v>
      </c>
      <c r="AM44" s="16">
        <v>0</v>
      </c>
      <c r="AN44" s="16">
        <v>39</v>
      </c>
      <c r="AO44" s="16">
        <v>0</v>
      </c>
      <c r="AP44" s="16">
        <v>0</v>
      </c>
      <c r="AQ44" s="16">
        <v>0</v>
      </c>
      <c r="AR44" s="16">
        <v>32</v>
      </c>
      <c r="AS44" s="16">
        <v>9</v>
      </c>
      <c r="AT44" s="16">
        <v>1</v>
      </c>
      <c r="AU44" s="16">
        <v>183</v>
      </c>
      <c r="AV44" s="16">
        <v>47</v>
      </c>
      <c r="AW44" s="16">
        <v>10</v>
      </c>
      <c r="AX44" s="16">
        <v>53</v>
      </c>
      <c r="AY44" s="16">
        <v>0</v>
      </c>
      <c r="AZ44" s="16">
        <v>0</v>
      </c>
      <c r="BA44" s="26">
        <v>0</v>
      </c>
      <c r="BB44" s="26">
        <v>0</v>
      </c>
      <c r="BC44" s="26">
        <v>0</v>
      </c>
      <c r="BD44" s="16">
        <v>13</v>
      </c>
      <c r="BE44" s="16">
        <v>3</v>
      </c>
      <c r="BF44" s="16">
        <v>139</v>
      </c>
      <c r="BG44" s="26">
        <v>0</v>
      </c>
      <c r="BH44" s="16">
        <v>0</v>
      </c>
      <c r="BI44" s="16">
        <v>54</v>
      </c>
      <c r="BJ44" s="16">
        <v>190</v>
      </c>
      <c r="BK44" s="16">
        <v>6</v>
      </c>
      <c r="BL44" s="16">
        <v>4</v>
      </c>
      <c r="BM44" s="16">
        <v>23</v>
      </c>
      <c r="BN44" s="26">
        <v>0</v>
      </c>
      <c r="BO44" s="16">
        <v>530</v>
      </c>
    </row>
    <row r="45" spans="1:67" s="5" customFormat="1" ht="21.9" customHeight="1" x14ac:dyDescent="0.25">
      <c r="A45" s="125"/>
      <c r="B45" s="4"/>
      <c r="C45" s="47" t="s">
        <v>76</v>
      </c>
      <c r="D45" s="48"/>
      <c r="E45" s="1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c r="AA45" s="26">
        <v>0</v>
      </c>
      <c r="AB45" s="26">
        <v>0</v>
      </c>
      <c r="AC45" s="26">
        <v>0</v>
      </c>
      <c r="AD45" s="26">
        <v>0</v>
      </c>
      <c r="AE45" s="26">
        <v>0</v>
      </c>
      <c r="AF45" s="26">
        <v>0</v>
      </c>
      <c r="AG45" s="26">
        <v>0</v>
      </c>
      <c r="AH45" s="26">
        <v>0</v>
      </c>
      <c r="AI45" s="26">
        <v>0</v>
      </c>
      <c r="AJ45" s="26">
        <v>0</v>
      </c>
      <c r="AK45" s="26">
        <v>0</v>
      </c>
      <c r="AL45" s="26">
        <v>0</v>
      </c>
      <c r="AM45" s="26">
        <v>0</v>
      </c>
      <c r="AN45" s="26">
        <v>0</v>
      </c>
      <c r="AO45" s="26">
        <v>0</v>
      </c>
      <c r="AP45" s="26">
        <v>0</v>
      </c>
      <c r="AQ45" s="26">
        <v>0</v>
      </c>
      <c r="AR45" s="26">
        <v>0</v>
      </c>
      <c r="AS45" s="26">
        <v>0</v>
      </c>
      <c r="AT45" s="26">
        <v>0</v>
      </c>
      <c r="AU45" s="26">
        <v>0</v>
      </c>
      <c r="AV45" s="26">
        <v>0</v>
      </c>
      <c r="AW45" s="26">
        <v>0</v>
      </c>
      <c r="AX45" s="26">
        <v>0</v>
      </c>
      <c r="AY45" s="26">
        <v>0</v>
      </c>
      <c r="AZ45" s="26">
        <v>0</v>
      </c>
      <c r="BA45" s="26">
        <v>0</v>
      </c>
      <c r="BB45" s="26">
        <v>0</v>
      </c>
      <c r="BC45" s="26">
        <v>0</v>
      </c>
      <c r="BD45" s="26">
        <v>0</v>
      </c>
      <c r="BE45" s="26">
        <v>0</v>
      </c>
      <c r="BF45" s="26">
        <v>0</v>
      </c>
      <c r="BG45" s="26">
        <v>0</v>
      </c>
      <c r="BH45" s="26">
        <v>0</v>
      </c>
      <c r="BI45" s="26">
        <v>0</v>
      </c>
      <c r="BJ45" s="26">
        <v>0</v>
      </c>
      <c r="BK45" s="26">
        <v>0</v>
      </c>
      <c r="BL45" s="26">
        <v>0</v>
      </c>
      <c r="BM45" s="26">
        <v>0</v>
      </c>
      <c r="BN45" s="26">
        <v>0</v>
      </c>
      <c r="BO45" s="26">
        <v>0</v>
      </c>
    </row>
    <row r="46" spans="1:67" s="5" customFormat="1" ht="21.9" customHeight="1" x14ac:dyDescent="0.25">
      <c r="A46" s="125" t="s">
        <v>253</v>
      </c>
      <c r="B46" s="4"/>
      <c r="C46" s="47" t="s">
        <v>75</v>
      </c>
      <c r="D46" s="48"/>
      <c r="E46" s="16">
        <v>41802</v>
      </c>
      <c r="F46" s="16">
        <v>362</v>
      </c>
      <c r="G46" s="16">
        <v>811</v>
      </c>
      <c r="H46" s="16">
        <v>287</v>
      </c>
      <c r="I46" s="16">
        <v>167</v>
      </c>
      <c r="J46" s="16">
        <v>16</v>
      </c>
      <c r="K46" s="16">
        <v>209</v>
      </c>
      <c r="L46" s="16">
        <v>329</v>
      </c>
      <c r="M46" s="16">
        <v>1121</v>
      </c>
      <c r="N46" s="16">
        <v>140</v>
      </c>
      <c r="O46" s="16">
        <v>53</v>
      </c>
      <c r="P46" s="16">
        <v>126</v>
      </c>
      <c r="Q46" s="16">
        <v>56</v>
      </c>
      <c r="R46" s="16">
        <v>305</v>
      </c>
      <c r="S46" s="16">
        <v>1390</v>
      </c>
      <c r="T46" s="16">
        <v>435</v>
      </c>
      <c r="U46" s="16">
        <v>552</v>
      </c>
      <c r="V46" s="16">
        <v>362</v>
      </c>
      <c r="W46" s="16">
        <v>225</v>
      </c>
      <c r="X46" s="16">
        <v>42</v>
      </c>
      <c r="Y46" s="16">
        <v>2228</v>
      </c>
      <c r="Z46" s="16">
        <v>475</v>
      </c>
      <c r="AA46" s="16">
        <v>581</v>
      </c>
      <c r="AB46" s="16">
        <v>483</v>
      </c>
      <c r="AC46" s="16">
        <v>26</v>
      </c>
      <c r="AD46" s="16">
        <v>4578</v>
      </c>
      <c r="AE46" s="16">
        <v>2156</v>
      </c>
      <c r="AF46" s="16">
        <v>358</v>
      </c>
      <c r="AG46" s="16">
        <v>379</v>
      </c>
      <c r="AH46" s="16">
        <v>179</v>
      </c>
      <c r="AI46" s="16">
        <v>1233</v>
      </c>
      <c r="AJ46" s="16">
        <v>177</v>
      </c>
      <c r="AK46" s="16">
        <v>45</v>
      </c>
      <c r="AL46" s="16">
        <v>184</v>
      </c>
      <c r="AM46" s="16">
        <v>132</v>
      </c>
      <c r="AN46" s="16">
        <v>1439</v>
      </c>
      <c r="AO46" s="16">
        <v>28</v>
      </c>
      <c r="AP46" s="16">
        <v>39</v>
      </c>
      <c r="AQ46" s="16">
        <v>43</v>
      </c>
      <c r="AR46" s="16">
        <v>295</v>
      </c>
      <c r="AS46" s="16">
        <v>335</v>
      </c>
      <c r="AT46" s="16">
        <v>3423</v>
      </c>
      <c r="AU46" s="16">
        <v>4395</v>
      </c>
      <c r="AV46" s="16">
        <v>1969</v>
      </c>
      <c r="AW46" s="16">
        <v>4</v>
      </c>
      <c r="AX46" s="16">
        <v>1098</v>
      </c>
      <c r="AY46" s="16">
        <v>415</v>
      </c>
      <c r="AZ46" s="16">
        <v>5</v>
      </c>
      <c r="BA46" s="16">
        <v>0</v>
      </c>
      <c r="BB46" s="26">
        <v>0</v>
      </c>
      <c r="BC46" s="16">
        <v>361</v>
      </c>
      <c r="BD46" s="16">
        <v>1313</v>
      </c>
      <c r="BE46" s="16">
        <v>1800</v>
      </c>
      <c r="BF46" s="16">
        <v>369</v>
      </c>
      <c r="BG46" s="16">
        <v>634</v>
      </c>
      <c r="BH46" s="16">
        <v>306</v>
      </c>
      <c r="BI46" s="16">
        <v>304</v>
      </c>
      <c r="BJ46" s="16">
        <v>461</v>
      </c>
      <c r="BK46" s="16">
        <v>53</v>
      </c>
      <c r="BL46" s="16">
        <v>313</v>
      </c>
      <c r="BM46" s="16">
        <v>1581</v>
      </c>
      <c r="BN46" s="16">
        <v>331</v>
      </c>
      <c r="BO46" s="16">
        <v>286</v>
      </c>
    </row>
    <row r="47" spans="1:67" s="5" customFormat="1" ht="21.9" customHeight="1" x14ac:dyDescent="0.25">
      <c r="A47" s="125"/>
      <c r="B47" s="4"/>
      <c r="C47" s="47" t="s">
        <v>76</v>
      </c>
      <c r="D47" s="48"/>
      <c r="E47" s="16">
        <v>898</v>
      </c>
      <c r="F47" s="26">
        <v>0</v>
      </c>
      <c r="G47" s="26">
        <v>0</v>
      </c>
      <c r="H47" s="26">
        <v>0</v>
      </c>
      <c r="I47" s="26">
        <v>4</v>
      </c>
      <c r="J47" s="26">
        <v>0</v>
      </c>
      <c r="K47" s="26">
        <v>0</v>
      </c>
      <c r="L47" s="26">
        <v>0</v>
      </c>
      <c r="M47" s="26">
        <v>0</v>
      </c>
      <c r="N47" s="26">
        <v>0</v>
      </c>
      <c r="O47" s="26">
        <v>1</v>
      </c>
      <c r="P47" s="26">
        <v>0</v>
      </c>
      <c r="Q47" s="26">
        <v>0</v>
      </c>
      <c r="R47" s="26">
        <v>111</v>
      </c>
      <c r="S47" s="26">
        <v>0</v>
      </c>
      <c r="T47" s="26">
        <v>0</v>
      </c>
      <c r="U47" s="16">
        <v>0</v>
      </c>
      <c r="V47" s="16">
        <v>0</v>
      </c>
      <c r="W47" s="26">
        <v>5</v>
      </c>
      <c r="X47" s="26">
        <v>0</v>
      </c>
      <c r="Y47" s="26">
        <v>10</v>
      </c>
      <c r="Z47" s="26">
        <v>3</v>
      </c>
      <c r="AA47" s="26">
        <v>2</v>
      </c>
      <c r="AB47" s="16">
        <v>20</v>
      </c>
      <c r="AC47" s="26">
        <v>2</v>
      </c>
      <c r="AD47" s="16">
        <v>30</v>
      </c>
      <c r="AE47" s="26">
        <v>3</v>
      </c>
      <c r="AF47" s="26">
        <v>1</v>
      </c>
      <c r="AG47" s="16">
        <v>16</v>
      </c>
      <c r="AH47" s="26">
        <v>0</v>
      </c>
      <c r="AI47" s="26">
        <v>0</v>
      </c>
      <c r="AJ47" s="26">
        <v>0</v>
      </c>
      <c r="AK47" s="16">
        <v>1</v>
      </c>
      <c r="AL47" s="26">
        <v>0</v>
      </c>
      <c r="AM47" s="26">
        <v>0</v>
      </c>
      <c r="AN47" s="26">
        <v>5</v>
      </c>
      <c r="AO47" s="16">
        <v>0</v>
      </c>
      <c r="AP47" s="26">
        <v>0</v>
      </c>
      <c r="AQ47" s="26">
        <v>0</v>
      </c>
      <c r="AR47" s="26">
        <v>2</v>
      </c>
      <c r="AS47" s="16">
        <v>3</v>
      </c>
      <c r="AT47" s="26">
        <v>0</v>
      </c>
      <c r="AU47" s="16">
        <v>21</v>
      </c>
      <c r="AV47" s="16">
        <v>0</v>
      </c>
      <c r="AW47" s="26">
        <v>0</v>
      </c>
      <c r="AX47" s="16">
        <v>0</v>
      </c>
      <c r="AY47" s="26">
        <v>0</v>
      </c>
      <c r="AZ47" s="26">
        <v>0</v>
      </c>
      <c r="BA47" s="26">
        <v>0</v>
      </c>
      <c r="BB47" s="26">
        <v>0</v>
      </c>
      <c r="BC47" s="26">
        <v>0</v>
      </c>
      <c r="BD47" s="26">
        <v>0</v>
      </c>
      <c r="BE47" s="26">
        <v>0</v>
      </c>
      <c r="BF47" s="26">
        <v>11</v>
      </c>
      <c r="BG47" s="16">
        <v>634</v>
      </c>
      <c r="BH47" s="26">
        <v>0</v>
      </c>
      <c r="BI47" s="16">
        <v>4</v>
      </c>
      <c r="BJ47" s="26">
        <v>0</v>
      </c>
      <c r="BK47" s="26">
        <v>0</v>
      </c>
      <c r="BL47" s="26">
        <v>0</v>
      </c>
      <c r="BM47" s="26">
        <v>0</v>
      </c>
      <c r="BN47" s="26">
        <v>0</v>
      </c>
      <c r="BO47" s="16">
        <v>9</v>
      </c>
    </row>
    <row r="48" spans="1:67" s="5" customFormat="1" ht="21.9" customHeight="1" x14ac:dyDescent="0.25">
      <c r="A48" s="125" t="s">
        <v>92</v>
      </c>
      <c r="B48" s="4"/>
      <c r="C48" s="47" t="s">
        <v>75</v>
      </c>
      <c r="D48" s="48"/>
      <c r="E48" s="16">
        <v>12295</v>
      </c>
      <c r="F48" s="16">
        <v>57</v>
      </c>
      <c r="G48" s="16">
        <v>122</v>
      </c>
      <c r="H48" s="16">
        <v>20</v>
      </c>
      <c r="I48" s="16">
        <v>48</v>
      </c>
      <c r="J48" s="16">
        <v>7</v>
      </c>
      <c r="K48" s="16">
        <v>1496</v>
      </c>
      <c r="L48" s="16">
        <v>310</v>
      </c>
      <c r="M48" s="16">
        <v>27</v>
      </c>
      <c r="N48" s="16">
        <v>171</v>
      </c>
      <c r="O48" s="16">
        <v>78</v>
      </c>
      <c r="P48" s="16">
        <v>0</v>
      </c>
      <c r="Q48" s="16">
        <v>189</v>
      </c>
      <c r="R48" s="16">
        <v>196</v>
      </c>
      <c r="S48" s="16">
        <v>50</v>
      </c>
      <c r="T48" s="16">
        <v>229</v>
      </c>
      <c r="U48" s="16">
        <v>303</v>
      </c>
      <c r="V48" s="16">
        <v>58</v>
      </c>
      <c r="W48" s="16">
        <v>100</v>
      </c>
      <c r="X48" s="16">
        <v>45</v>
      </c>
      <c r="Y48" s="16">
        <v>189</v>
      </c>
      <c r="Z48" s="16">
        <v>334</v>
      </c>
      <c r="AA48" s="16">
        <v>87</v>
      </c>
      <c r="AB48" s="16">
        <v>37</v>
      </c>
      <c r="AC48" s="16">
        <v>146</v>
      </c>
      <c r="AD48" s="16">
        <v>2012</v>
      </c>
      <c r="AE48" s="16">
        <v>673</v>
      </c>
      <c r="AF48" s="16">
        <v>115</v>
      </c>
      <c r="AG48" s="16">
        <v>467</v>
      </c>
      <c r="AH48" s="16">
        <v>53</v>
      </c>
      <c r="AI48" s="16">
        <v>170</v>
      </c>
      <c r="AJ48" s="16">
        <v>4</v>
      </c>
      <c r="AK48" s="16">
        <v>79</v>
      </c>
      <c r="AL48" s="16">
        <v>30</v>
      </c>
      <c r="AM48" s="16">
        <v>1</v>
      </c>
      <c r="AN48" s="16">
        <v>220</v>
      </c>
      <c r="AO48" s="16">
        <v>5</v>
      </c>
      <c r="AP48" s="16">
        <v>1</v>
      </c>
      <c r="AQ48" s="16">
        <v>36</v>
      </c>
      <c r="AR48" s="16">
        <v>16</v>
      </c>
      <c r="AS48" s="16">
        <v>35</v>
      </c>
      <c r="AT48" s="16">
        <v>130</v>
      </c>
      <c r="AU48" s="16">
        <v>786</v>
      </c>
      <c r="AV48" s="16">
        <v>56</v>
      </c>
      <c r="AW48" s="16">
        <v>8</v>
      </c>
      <c r="AX48" s="16">
        <v>429</v>
      </c>
      <c r="AY48" s="16">
        <v>6</v>
      </c>
      <c r="AZ48" s="16">
        <v>2</v>
      </c>
      <c r="BA48" s="26">
        <v>30</v>
      </c>
      <c r="BB48" s="26">
        <v>60</v>
      </c>
      <c r="BC48" s="16">
        <v>132</v>
      </c>
      <c r="BD48" s="16">
        <v>188</v>
      </c>
      <c r="BE48" s="16">
        <v>136</v>
      </c>
      <c r="BF48" s="16">
        <v>469</v>
      </c>
      <c r="BG48" s="16">
        <v>209</v>
      </c>
      <c r="BH48" s="16">
        <v>17</v>
      </c>
      <c r="BI48" s="16">
        <v>40</v>
      </c>
      <c r="BJ48" s="16">
        <v>454</v>
      </c>
      <c r="BK48" s="16">
        <v>76</v>
      </c>
      <c r="BL48" s="16">
        <v>742</v>
      </c>
      <c r="BM48" s="16">
        <v>48</v>
      </c>
      <c r="BN48" s="16">
        <v>0</v>
      </c>
      <c r="BO48" s="16">
        <v>61</v>
      </c>
    </row>
    <row r="49" spans="1:68" s="5" customFormat="1" ht="21.9" customHeight="1" x14ac:dyDescent="0.25">
      <c r="A49" s="125"/>
      <c r="B49" s="4"/>
      <c r="C49" s="47" t="s">
        <v>76</v>
      </c>
      <c r="D49" s="48"/>
      <c r="E49" s="16">
        <v>231</v>
      </c>
      <c r="F49" s="26">
        <v>0</v>
      </c>
      <c r="G49" s="26">
        <v>0</v>
      </c>
      <c r="H49" s="26">
        <v>0</v>
      </c>
      <c r="I49" s="26">
        <v>1</v>
      </c>
      <c r="J49" s="26">
        <v>0</v>
      </c>
      <c r="K49" s="26">
        <v>5</v>
      </c>
      <c r="L49" s="26">
        <v>5</v>
      </c>
      <c r="M49" s="26">
        <v>0</v>
      </c>
      <c r="N49" s="26">
        <v>0</v>
      </c>
      <c r="O49" s="26">
        <v>0</v>
      </c>
      <c r="P49" s="26">
        <v>0</v>
      </c>
      <c r="Q49" s="26">
        <v>1</v>
      </c>
      <c r="R49" s="26">
        <v>5</v>
      </c>
      <c r="S49" s="26">
        <v>0</v>
      </c>
      <c r="T49" s="16">
        <v>1</v>
      </c>
      <c r="U49" s="16">
        <v>6</v>
      </c>
      <c r="V49" s="16">
        <v>0</v>
      </c>
      <c r="W49" s="16">
        <v>0</v>
      </c>
      <c r="X49" s="16">
        <v>2</v>
      </c>
      <c r="Y49" s="16">
        <v>2</v>
      </c>
      <c r="Z49" s="16">
        <v>5</v>
      </c>
      <c r="AA49" s="16">
        <v>0</v>
      </c>
      <c r="AB49" s="16">
        <v>2</v>
      </c>
      <c r="AC49" s="16">
        <v>6</v>
      </c>
      <c r="AD49" s="16">
        <v>32</v>
      </c>
      <c r="AE49" s="16">
        <v>22</v>
      </c>
      <c r="AF49" s="16">
        <v>1</v>
      </c>
      <c r="AG49" s="16">
        <v>17</v>
      </c>
      <c r="AH49" s="16">
        <v>1</v>
      </c>
      <c r="AI49" s="16">
        <v>2</v>
      </c>
      <c r="AJ49" s="26">
        <v>1</v>
      </c>
      <c r="AK49" s="16">
        <v>11</v>
      </c>
      <c r="AL49" s="26">
        <v>0</v>
      </c>
      <c r="AM49" s="26">
        <v>0</v>
      </c>
      <c r="AN49" s="16">
        <v>12</v>
      </c>
      <c r="AO49" s="16">
        <v>0</v>
      </c>
      <c r="AP49" s="26">
        <v>0</v>
      </c>
      <c r="AQ49" s="16">
        <v>0</v>
      </c>
      <c r="AR49" s="16">
        <v>1</v>
      </c>
      <c r="AS49" s="16">
        <v>0</v>
      </c>
      <c r="AT49" s="26">
        <v>0</v>
      </c>
      <c r="AU49" s="16">
        <v>23</v>
      </c>
      <c r="AV49" s="26">
        <v>5</v>
      </c>
      <c r="AW49" s="26">
        <v>0</v>
      </c>
      <c r="AX49" s="16">
        <v>4</v>
      </c>
      <c r="AY49" s="26">
        <v>0</v>
      </c>
      <c r="AZ49" s="26">
        <v>0</v>
      </c>
      <c r="BA49" s="26">
        <v>0</v>
      </c>
      <c r="BB49" s="26">
        <v>0</v>
      </c>
      <c r="BC49" s="26">
        <v>0</v>
      </c>
      <c r="BD49" s="26">
        <v>2</v>
      </c>
      <c r="BE49" s="16">
        <v>0</v>
      </c>
      <c r="BF49" s="16">
        <v>16</v>
      </c>
      <c r="BG49" s="16">
        <v>33</v>
      </c>
      <c r="BH49" s="26">
        <v>0</v>
      </c>
      <c r="BI49" s="16">
        <v>0</v>
      </c>
      <c r="BJ49" s="26">
        <v>5</v>
      </c>
      <c r="BK49" s="26">
        <v>1</v>
      </c>
      <c r="BL49" s="16">
        <v>1</v>
      </c>
      <c r="BM49" s="26">
        <v>0</v>
      </c>
      <c r="BN49" s="26">
        <v>0</v>
      </c>
      <c r="BO49" s="26">
        <v>0</v>
      </c>
    </row>
    <row r="50" spans="1:68" s="5" customFormat="1" ht="21.9" customHeight="1" x14ac:dyDescent="0.25">
      <c r="A50" s="125" t="s">
        <v>93</v>
      </c>
      <c r="C50" s="47" t="s">
        <v>75</v>
      </c>
      <c r="D50" s="48"/>
      <c r="E50" s="16">
        <v>54473</v>
      </c>
      <c r="F50" s="16">
        <v>1626</v>
      </c>
      <c r="G50" s="16">
        <v>883</v>
      </c>
      <c r="H50" s="16">
        <v>481</v>
      </c>
      <c r="I50" s="16">
        <v>533</v>
      </c>
      <c r="J50" s="16">
        <v>110</v>
      </c>
      <c r="K50" s="16">
        <v>470</v>
      </c>
      <c r="L50" s="16">
        <v>850</v>
      </c>
      <c r="M50" s="16">
        <v>463</v>
      </c>
      <c r="N50" s="16">
        <v>181</v>
      </c>
      <c r="O50" s="16">
        <v>245</v>
      </c>
      <c r="P50" s="16">
        <v>0</v>
      </c>
      <c r="Q50" s="16">
        <v>197</v>
      </c>
      <c r="R50" s="16">
        <v>442</v>
      </c>
      <c r="S50" s="16">
        <v>305</v>
      </c>
      <c r="T50" s="16">
        <v>249</v>
      </c>
      <c r="U50" s="16">
        <v>1591</v>
      </c>
      <c r="V50" s="16">
        <v>471</v>
      </c>
      <c r="W50" s="16">
        <v>338</v>
      </c>
      <c r="X50" s="16">
        <v>277</v>
      </c>
      <c r="Y50" s="16">
        <v>4375</v>
      </c>
      <c r="Z50" s="16">
        <v>951</v>
      </c>
      <c r="AA50" s="16">
        <v>185</v>
      </c>
      <c r="AB50" s="16">
        <v>388</v>
      </c>
      <c r="AC50" s="16">
        <v>389</v>
      </c>
      <c r="AD50" s="16">
        <v>4634</v>
      </c>
      <c r="AE50" s="16">
        <v>6936</v>
      </c>
      <c r="AF50" s="16">
        <v>392</v>
      </c>
      <c r="AG50" s="16">
        <v>503</v>
      </c>
      <c r="AH50" s="16">
        <v>355</v>
      </c>
      <c r="AI50" s="16">
        <v>2242</v>
      </c>
      <c r="AJ50" s="16">
        <v>147</v>
      </c>
      <c r="AK50" s="16">
        <v>426</v>
      </c>
      <c r="AL50" s="16">
        <v>192</v>
      </c>
      <c r="AM50" s="16">
        <v>271</v>
      </c>
      <c r="AN50" s="16">
        <v>1313</v>
      </c>
      <c r="AO50" s="16">
        <v>241</v>
      </c>
      <c r="AP50" s="16">
        <v>279</v>
      </c>
      <c r="AQ50" s="16">
        <v>485</v>
      </c>
      <c r="AR50" s="16">
        <v>170</v>
      </c>
      <c r="AS50" s="16">
        <v>448</v>
      </c>
      <c r="AT50" s="16">
        <v>1328</v>
      </c>
      <c r="AU50" s="16">
        <v>4451</v>
      </c>
      <c r="AV50" s="16">
        <v>1310</v>
      </c>
      <c r="AW50" s="16">
        <v>52</v>
      </c>
      <c r="AX50" s="16">
        <v>722</v>
      </c>
      <c r="AY50" s="16">
        <v>556</v>
      </c>
      <c r="AZ50" s="16">
        <v>0</v>
      </c>
      <c r="BA50" s="16">
        <v>55</v>
      </c>
      <c r="BB50" s="16">
        <v>182</v>
      </c>
      <c r="BC50" s="16">
        <v>166</v>
      </c>
      <c r="BD50" s="16">
        <v>389</v>
      </c>
      <c r="BE50" s="16">
        <v>925</v>
      </c>
      <c r="BF50" s="16">
        <v>1098</v>
      </c>
      <c r="BG50" s="16">
        <v>3150</v>
      </c>
      <c r="BH50" s="16">
        <v>601</v>
      </c>
      <c r="BI50" s="16">
        <v>105</v>
      </c>
      <c r="BJ50" s="16">
        <v>1062</v>
      </c>
      <c r="BK50" s="16">
        <v>1493</v>
      </c>
      <c r="BL50" s="16">
        <v>1035</v>
      </c>
      <c r="BM50" s="16">
        <v>407</v>
      </c>
      <c r="BN50" s="16">
        <v>7</v>
      </c>
      <c r="BO50" s="16">
        <v>345</v>
      </c>
      <c r="BP50" s="16"/>
    </row>
    <row r="51" spans="1:68" s="5" customFormat="1" ht="21.9" customHeight="1" x14ac:dyDescent="0.25">
      <c r="A51" s="125"/>
      <c r="C51" s="47" t="s">
        <v>76</v>
      </c>
      <c r="D51" s="48"/>
      <c r="E51" s="16">
        <v>408</v>
      </c>
      <c r="F51" s="26">
        <v>0</v>
      </c>
      <c r="G51" s="26">
        <v>1</v>
      </c>
      <c r="H51" s="26">
        <v>0</v>
      </c>
      <c r="I51" s="26">
        <v>1</v>
      </c>
      <c r="J51" s="26">
        <v>0</v>
      </c>
      <c r="K51" s="26">
        <v>0</v>
      </c>
      <c r="L51" s="26">
        <v>6</v>
      </c>
      <c r="M51" s="26">
        <v>0</v>
      </c>
      <c r="N51" s="26">
        <v>1</v>
      </c>
      <c r="O51" s="26">
        <v>0</v>
      </c>
      <c r="P51" s="26">
        <v>0</v>
      </c>
      <c r="Q51" s="26">
        <v>0</v>
      </c>
      <c r="R51" s="26">
        <v>3</v>
      </c>
      <c r="S51" s="26">
        <v>0</v>
      </c>
      <c r="T51" s="16">
        <v>0</v>
      </c>
      <c r="U51" s="16">
        <v>7</v>
      </c>
      <c r="V51" s="16">
        <v>4</v>
      </c>
      <c r="W51" s="16">
        <v>4</v>
      </c>
      <c r="X51" s="16">
        <v>2</v>
      </c>
      <c r="Y51" s="16">
        <v>0</v>
      </c>
      <c r="Z51" s="16">
        <v>2</v>
      </c>
      <c r="AA51" s="16">
        <v>0</v>
      </c>
      <c r="AB51" s="16">
        <v>1</v>
      </c>
      <c r="AC51" s="16">
        <v>0</v>
      </c>
      <c r="AD51" s="16">
        <v>0</v>
      </c>
      <c r="AE51" s="16">
        <v>0</v>
      </c>
      <c r="AF51" s="16">
        <v>4</v>
      </c>
      <c r="AG51" s="16">
        <v>4</v>
      </c>
      <c r="AH51" s="16">
        <v>2</v>
      </c>
      <c r="AI51" s="16">
        <v>0</v>
      </c>
      <c r="AJ51" s="16">
        <v>0</v>
      </c>
      <c r="AK51" s="16">
        <v>1</v>
      </c>
      <c r="AL51" s="16">
        <v>2</v>
      </c>
      <c r="AM51" s="16">
        <v>0</v>
      </c>
      <c r="AN51" s="16">
        <v>0</v>
      </c>
      <c r="AO51" s="26">
        <v>0</v>
      </c>
      <c r="AP51" s="26">
        <v>0</v>
      </c>
      <c r="AQ51" s="16">
        <v>0</v>
      </c>
      <c r="AR51" s="26">
        <v>0</v>
      </c>
      <c r="AS51" s="26">
        <v>0</v>
      </c>
      <c r="AT51" s="26">
        <v>0</v>
      </c>
      <c r="AU51" s="16">
        <v>5</v>
      </c>
      <c r="AV51" s="26">
        <v>2</v>
      </c>
      <c r="AW51" s="26">
        <v>0</v>
      </c>
      <c r="AX51" s="26">
        <v>0</v>
      </c>
      <c r="AY51" s="16">
        <v>0</v>
      </c>
      <c r="AZ51" s="26">
        <v>0</v>
      </c>
      <c r="BA51" s="26">
        <v>0</v>
      </c>
      <c r="BB51" s="26">
        <v>0</v>
      </c>
      <c r="BC51" s="26">
        <v>0</v>
      </c>
      <c r="BD51" s="26">
        <v>0</v>
      </c>
      <c r="BE51" s="16">
        <v>1</v>
      </c>
      <c r="BF51" s="16">
        <v>2</v>
      </c>
      <c r="BG51" s="16">
        <v>348</v>
      </c>
      <c r="BH51" s="16">
        <v>0</v>
      </c>
      <c r="BI51" s="26">
        <v>5</v>
      </c>
      <c r="BJ51" s="26">
        <v>0</v>
      </c>
      <c r="BK51" s="26">
        <v>0</v>
      </c>
      <c r="BL51" s="26">
        <v>0</v>
      </c>
      <c r="BM51" s="26">
        <v>0</v>
      </c>
      <c r="BN51" s="26">
        <v>0</v>
      </c>
      <c r="BO51" s="16">
        <v>0</v>
      </c>
      <c r="BP51" s="16"/>
    </row>
    <row r="52" spans="1:68" s="5" customFormat="1" ht="21.9" customHeight="1" x14ac:dyDescent="0.25">
      <c r="A52" s="125" t="s">
        <v>94</v>
      </c>
      <c r="B52" s="4"/>
      <c r="C52" s="47" t="s">
        <v>75</v>
      </c>
      <c r="D52" s="48"/>
      <c r="E52" s="16">
        <v>93723</v>
      </c>
      <c r="F52" s="16">
        <v>1266</v>
      </c>
      <c r="G52" s="16">
        <v>1599</v>
      </c>
      <c r="H52" s="16">
        <v>927</v>
      </c>
      <c r="I52" s="16">
        <v>1285</v>
      </c>
      <c r="J52" s="16">
        <v>20</v>
      </c>
      <c r="K52" s="16">
        <v>882</v>
      </c>
      <c r="L52" s="16">
        <v>3065</v>
      </c>
      <c r="M52" s="16">
        <v>1195</v>
      </c>
      <c r="N52" s="16">
        <v>427</v>
      </c>
      <c r="O52" s="16">
        <v>1705</v>
      </c>
      <c r="P52" s="16">
        <v>0</v>
      </c>
      <c r="Q52" s="16">
        <v>722</v>
      </c>
      <c r="R52" s="16">
        <v>2899</v>
      </c>
      <c r="S52" s="16">
        <v>1230</v>
      </c>
      <c r="T52" s="16">
        <v>714</v>
      </c>
      <c r="U52" s="16">
        <v>2597</v>
      </c>
      <c r="V52" s="16">
        <v>650</v>
      </c>
      <c r="W52" s="16">
        <v>1260</v>
      </c>
      <c r="X52" s="16">
        <v>780</v>
      </c>
      <c r="Y52" s="16">
        <v>2185</v>
      </c>
      <c r="Z52" s="16">
        <v>1668</v>
      </c>
      <c r="AA52" s="16">
        <v>98</v>
      </c>
      <c r="AB52" s="16">
        <v>1495</v>
      </c>
      <c r="AC52" s="16">
        <v>350</v>
      </c>
      <c r="AD52" s="16">
        <v>5839</v>
      </c>
      <c r="AE52" s="16">
        <v>3570</v>
      </c>
      <c r="AF52" s="16">
        <v>1339</v>
      </c>
      <c r="AG52" s="16">
        <v>723</v>
      </c>
      <c r="AH52" s="16">
        <v>1841</v>
      </c>
      <c r="AI52" s="16">
        <v>3220</v>
      </c>
      <c r="AJ52" s="16">
        <v>695</v>
      </c>
      <c r="AK52" s="16">
        <v>653</v>
      </c>
      <c r="AL52" s="16">
        <v>1103</v>
      </c>
      <c r="AM52" s="16">
        <v>735</v>
      </c>
      <c r="AN52" s="16">
        <v>5134</v>
      </c>
      <c r="AO52" s="16">
        <v>345</v>
      </c>
      <c r="AP52" s="16">
        <v>1045</v>
      </c>
      <c r="AQ52" s="16">
        <v>265</v>
      </c>
      <c r="AR52" s="16">
        <v>960</v>
      </c>
      <c r="AS52" s="16">
        <v>1945</v>
      </c>
      <c r="AT52" s="16">
        <v>1576</v>
      </c>
      <c r="AU52" s="16">
        <v>5605</v>
      </c>
      <c r="AV52" s="16">
        <v>3455</v>
      </c>
      <c r="AW52" s="16">
        <v>298</v>
      </c>
      <c r="AX52" s="16">
        <v>1455</v>
      </c>
      <c r="AY52" s="16">
        <v>0</v>
      </c>
      <c r="AZ52" s="26">
        <v>0</v>
      </c>
      <c r="BA52" s="26">
        <v>0</v>
      </c>
      <c r="BB52" s="26">
        <v>0</v>
      </c>
      <c r="BC52" s="16">
        <v>5</v>
      </c>
      <c r="BD52" s="16">
        <v>1165</v>
      </c>
      <c r="BE52" s="16">
        <v>2690</v>
      </c>
      <c r="BF52" s="16">
        <v>2849</v>
      </c>
      <c r="BG52" s="16">
        <v>10686</v>
      </c>
      <c r="BH52" s="16">
        <v>1340</v>
      </c>
      <c r="BI52" s="16">
        <v>516</v>
      </c>
      <c r="BJ52" s="16">
        <v>887</v>
      </c>
      <c r="BK52" s="16">
        <v>668</v>
      </c>
      <c r="BL52" s="26">
        <v>0</v>
      </c>
      <c r="BM52" s="16">
        <v>311</v>
      </c>
      <c r="BN52" s="16">
        <v>945</v>
      </c>
      <c r="BO52" s="16">
        <v>841</v>
      </c>
    </row>
    <row r="53" spans="1:68" s="5" customFormat="1" ht="21.9" customHeight="1" x14ac:dyDescent="0.25">
      <c r="A53" s="125"/>
      <c r="B53" s="4"/>
      <c r="C53" s="47" t="s">
        <v>76</v>
      </c>
      <c r="D53" s="48"/>
      <c r="E53" s="16">
        <v>698</v>
      </c>
      <c r="F53" s="26">
        <v>0</v>
      </c>
      <c r="G53" s="26">
        <v>0</v>
      </c>
      <c r="H53" s="26">
        <v>1</v>
      </c>
      <c r="I53" s="26">
        <v>0</v>
      </c>
      <c r="J53" s="26">
        <v>0</v>
      </c>
      <c r="K53" s="26">
        <v>0</v>
      </c>
      <c r="L53" s="26">
        <v>2</v>
      </c>
      <c r="M53" s="26">
        <v>0</v>
      </c>
      <c r="N53" s="26">
        <v>0</v>
      </c>
      <c r="O53" s="26">
        <v>1</v>
      </c>
      <c r="P53" s="26">
        <v>0</v>
      </c>
      <c r="Q53" s="26">
        <v>0</v>
      </c>
      <c r="R53" s="26">
        <v>7</v>
      </c>
      <c r="S53" s="26">
        <v>0</v>
      </c>
      <c r="T53" s="16">
        <v>0</v>
      </c>
      <c r="U53" s="16">
        <v>12</v>
      </c>
      <c r="V53" s="16">
        <v>1</v>
      </c>
      <c r="W53" s="16">
        <v>0</v>
      </c>
      <c r="X53" s="16">
        <v>1</v>
      </c>
      <c r="Y53" s="16">
        <v>2</v>
      </c>
      <c r="Z53" s="16">
        <v>0</v>
      </c>
      <c r="AA53" s="16">
        <v>0</v>
      </c>
      <c r="AB53" s="16">
        <v>1</v>
      </c>
      <c r="AC53" s="16">
        <v>0</v>
      </c>
      <c r="AD53" s="16">
        <v>10</v>
      </c>
      <c r="AE53" s="16">
        <v>14</v>
      </c>
      <c r="AF53" s="16">
        <v>1</v>
      </c>
      <c r="AG53" s="16">
        <v>7</v>
      </c>
      <c r="AH53" s="16">
        <v>1</v>
      </c>
      <c r="AI53" s="16">
        <v>0</v>
      </c>
      <c r="AJ53" s="16">
        <v>0</v>
      </c>
      <c r="AK53" s="16">
        <v>5</v>
      </c>
      <c r="AL53" s="16">
        <v>0</v>
      </c>
      <c r="AM53" s="16">
        <v>0</v>
      </c>
      <c r="AN53" s="16">
        <v>9</v>
      </c>
      <c r="AO53" s="26">
        <v>0</v>
      </c>
      <c r="AP53" s="26">
        <v>0</v>
      </c>
      <c r="AQ53" s="26">
        <v>0</v>
      </c>
      <c r="AR53" s="16">
        <v>2</v>
      </c>
      <c r="AS53" s="16">
        <v>0</v>
      </c>
      <c r="AT53" s="26">
        <v>0</v>
      </c>
      <c r="AU53" s="16">
        <v>7</v>
      </c>
      <c r="AV53" s="16">
        <v>0</v>
      </c>
      <c r="AW53" s="26">
        <v>0</v>
      </c>
      <c r="AX53" s="16">
        <v>0</v>
      </c>
      <c r="AY53" s="16">
        <v>0</v>
      </c>
      <c r="AZ53" s="26">
        <v>0</v>
      </c>
      <c r="BA53" s="26">
        <v>0</v>
      </c>
      <c r="BB53" s="26">
        <v>0</v>
      </c>
      <c r="BC53" s="26">
        <v>0</v>
      </c>
      <c r="BD53" s="26">
        <v>1</v>
      </c>
      <c r="BE53" s="16">
        <v>3</v>
      </c>
      <c r="BF53" s="26">
        <v>0</v>
      </c>
      <c r="BG53" s="16">
        <v>604</v>
      </c>
      <c r="BH53" s="26">
        <v>0</v>
      </c>
      <c r="BI53" s="16">
        <v>0</v>
      </c>
      <c r="BJ53" s="16">
        <v>5</v>
      </c>
      <c r="BK53" s="16">
        <v>0</v>
      </c>
      <c r="BL53" s="26">
        <v>0</v>
      </c>
      <c r="BM53" s="26">
        <v>0</v>
      </c>
      <c r="BN53" s="26">
        <v>0</v>
      </c>
      <c r="BO53" s="26">
        <v>1</v>
      </c>
    </row>
    <row r="54" spans="1:68" s="5" customFormat="1" ht="21.9" customHeight="1" x14ac:dyDescent="0.25">
      <c r="A54" s="125" t="s">
        <v>95</v>
      </c>
      <c r="B54" s="4"/>
      <c r="C54" s="47" t="s">
        <v>75</v>
      </c>
      <c r="D54" s="48"/>
      <c r="E54" s="16">
        <v>12702</v>
      </c>
      <c r="F54" s="16">
        <v>28</v>
      </c>
      <c r="G54" s="16">
        <v>21</v>
      </c>
      <c r="H54" s="16">
        <v>0</v>
      </c>
      <c r="I54" s="16">
        <v>0</v>
      </c>
      <c r="J54" s="16">
        <v>0</v>
      </c>
      <c r="K54" s="16">
        <v>2799</v>
      </c>
      <c r="L54" s="16">
        <v>1388</v>
      </c>
      <c r="M54" s="16">
        <v>0</v>
      </c>
      <c r="N54" s="16">
        <v>0</v>
      </c>
      <c r="O54" s="16">
        <v>0</v>
      </c>
      <c r="P54" s="16">
        <v>0</v>
      </c>
      <c r="Q54" s="16">
        <v>117</v>
      </c>
      <c r="R54" s="16">
        <v>116</v>
      </c>
      <c r="S54" s="16">
        <v>0</v>
      </c>
      <c r="T54" s="16">
        <v>287</v>
      </c>
      <c r="U54" s="16">
        <v>235</v>
      </c>
      <c r="V54" s="26">
        <v>230</v>
      </c>
      <c r="W54" s="16">
        <v>101</v>
      </c>
      <c r="X54" s="16">
        <v>15</v>
      </c>
      <c r="Y54" s="16">
        <v>530</v>
      </c>
      <c r="Z54" s="16">
        <v>281</v>
      </c>
      <c r="AA54" s="26">
        <v>0</v>
      </c>
      <c r="AB54" s="16">
        <v>1948</v>
      </c>
      <c r="AC54" s="26">
        <v>0</v>
      </c>
      <c r="AD54" s="16">
        <v>1979</v>
      </c>
      <c r="AE54" s="26">
        <v>640</v>
      </c>
      <c r="AF54" s="26">
        <v>0</v>
      </c>
      <c r="AG54" s="16">
        <v>749</v>
      </c>
      <c r="AH54" s="16">
        <v>35</v>
      </c>
      <c r="AI54" s="26">
        <v>0</v>
      </c>
      <c r="AJ54" s="26">
        <v>0</v>
      </c>
      <c r="AK54" s="16">
        <v>15</v>
      </c>
      <c r="AL54" s="16">
        <v>80</v>
      </c>
      <c r="AM54" s="26">
        <v>0</v>
      </c>
      <c r="AN54" s="26">
        <v>0</v>
      </c>
      <c r="AO54" s="26">
        <v>0</v>
      </c>
      <c r="AP54" s="26">
        <v>0</v>
      </c>
      <c r="AQ54" s="26">
        <v>0</v>
      </c>
      <c r="AR54" s="16">
        <v>29</v>
      </c>
      <c r="AS54" s="16">
        <v>88</v>
      </c>
      <c r="AT54" s="16">
        <v>0</v>
      </c>
      <c r="AU54" s="16">
        <v>30</v>
      </c>
      <c r="AV54" s="16">
        <v>86</v>
      </c>
      <c r="AW54" s="26">
        <v>0</v>
      </c>
      <c r="AX54" s="16">
        <v>0</v>
      </c>
      <c r="AY54" s="26">
        <v>0</v>
      </c>
      <c r="AZ54" s="26">
        <v>0</v>
      </c>
      <c r="BA54" s="26">
        <v>0</v>
      </c>
      <c r="BB54" s="26">
        <v>0</v>
      </c>
      <c r="BC54" s="26">
        <v>0</v>
      </c>
      <c r="BD54" s="26">
        <v>0</v>
      </c>
      <c r="BE54" s="16">
        <v>330</v>
      </c>
      <c r="BF54" s="16">
        <v>0</v>
      </c>
      <c r="BG54" s="26">
        <v>0</v>
      </c>
      <c r="BH54" s="26">
        <v>0</v>
      </c>
      <c r="BI54" s="16">
        <v>10</v>
      </c>
      <c r="BJ54" s="26">
        <v>0</v>
      </c>
      <c r="BK54" s="26">
        <v>129</v>
      </c>
      <c r="BL54" s="16">
        <v>381</v>
      </c>
      <c r="BM54" s="16">
        <v>2</v>
      </c>
      <c r="BN54" s="26">
        <v>0</v>
      </c>
      <c r="BO54" s="16">
        <v>23</v>
      </c>
    </row>
    <row r="55" spans="1:68" s="5" customFormat="1" ht="21.9" customHeight="1" x14ac:dyDescent="0.25">
      <c r="A55" s="125"/>
      <c r="B55" s="4"/>
      <c r="C55" s="47" t="s">
        <v>76</v>
      </c>
      <c r="D55" s="48"/>
      <c r="E55" s="16">
        <v>1</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0</v>
      </c>
      <c r="AE55" s="26">
        <v>0</v>
      </c>
      <c r="AF55" s="26">
        <v>0</v>
      </c>
      <c r="AG55" s="26">
        <v>0</v>
      </c>
      <c r="AH55" s="26">
        <v>0</v>
      </c>
      <c r="AI55" s="26">
        <v>0</v>
      </c>
      <c r="AJ55" s="26">
        <v>0</v>
      </c>
      <c r="AK55" s="26">
        <v>0</v>
      </c>
      <c r="AL55" s="26">
        <v>0</v>
      </c>
      <c r="AM55" s="26">
        <v>0</v>
      </c>
      <c r="AN55" s="26">
        <v>0</v>
      </c>
      <c r="AO55" s="26">
        <v>0</v>
      </c>
      <c r="AP55" s="26">
        <v>0</v>
      </c>
      <c r="AQ55" s="26">
        <v>0</v>
      </c>
      <c r="AR55" s="26">
        <v>0</v>
      </c>
      <c r="AS55" s="26">
        <v>0</v>
      </c>
      <c r="AT55" s="26">
        <v>0</v>
      </c>
      <c r="AU55" s="26">
        <v>0</v>
      </c>
      <c r="AV55" s="26">
        <v>0</v>
      </c>
      <c r="AW55" s="26">
        <v>0</v>
      </c>
      <c r="AX55" s="26">
        <v>0</v>
      </c>
      <c r="AY55" s="26">
        <v>0</v>
      </c>
      <c r="AZ55" s="26">
        <v>0</v>
      </c>
      <c r="BA55" s="26">
        <v>0</v>
      </c>
      <c r="BB55" s="26">
        <v>0</v>
      </c>
      <c r="BC55" s="26">
        <v>0</v>
      </c>
      <c r="BD55" s="26">
        <v>0</v>
      </c>
      <c r="BE55" s="26">
        <v>0</v>
      </c>
      <c r="BF55" s="16">
        <v>0</v>
      </c>
      <c r="BG55" s="26">
        <v>0</v>
      </c>
      <c r="BH55" s="26">
        <v>0</v>
      </c>
      <c r="BI55" s="26">
        <v>0</v>
      </c>
      <c r="BJ55" s="26">
        <v>0</v>
      </c>
      <c r="BK55" s="26">
        <v>0</v>
      </c>
      <c r="BL55" s="26">
        <v>0</v>
      </c>
      <c r="BM55" s="26">
        <v>0</v>
      </c>
      <c r="BN55" s="26">
        <v>0</v>
      </c>
      <c r="BO55" s="26">
        <v>1</v>
      </c>
    </row>
    <row r="56" spans="1:68" s="5" customFormat="1" ht="21.9" customHeight="1" x14ac:dyDescent="0.25">
      <c r="A56" s="125" t="s">
        <v>96</v>
      </c>
      <c r="B56" s="4"/>
      <c r="C56" s="47" t="s">
        <v>75</v>
      </c>
      <c r="D56" s="48"/>
      <c r="E56" s="16">
        <v>1349</v>
      </c>
      <c r="F56" s="16">
        <v>22</v>
      </c>
      <c r="G56" s="16">
        <v>16</v>
      </c>
      <c r="H56" s="16">
        <v>3</v>
      </c>
      <c r="I56" s="16">
        <v>0</v>
      </c>
      <c r="J56" s="16">
        <v>0</v>
      </c>
      <c r="K56" s="16">
        <v>6</v>
      </c>
      <c r="L56" s="16">
        <v>13</v>
      </c>
      <c r="M56" s="16">
        <v>10</v>
      </c>
      <c r="N56" s="16">
        <v>2</v>
      </c>
      <c r="O56" s="16">
        <v>0</v>
      </c>
      <c r="P56" s="16">
        <v>0</v>
      </c>
      <c r="Q56" s="16">
        <v>11</v>
      </c>
      <c r="R56" s="16">
        <v>45</v>
      </c>
      <c r="S56" s="16">
        <v>54</v>
      </c>
      <c r="T56" s="16">
        <v>5</v>
      </c>
      <c r="U56" s="16">
        <v>41</v>
      </c>
      <c r="V56" s="16">
        <v>2</v>
      </c>
      <c r="W56" s="16">
        <v>4</v>
      </c>
      <c r="X56" s="16">
        <v>21</v>
      </c>
      <c r="Y56" s="16">
        <v>69</v>
      </c>
      <c r="Z56" s="16">
        <v>11</v>
      </c>
      <c r="AA56" s="16">
        <v>5</v>
      </c>
      <c r="AB56" s="16">
        <v>28</v>
      </c>
      <c r="AC56" s="16">
        <v>0</v>
      </c>
      <c r="AD56" s="16">
        <v>253</v>
      </c>
      <c r="AE56" s="26">
        <v>10</v>
      </c>
      <c r="AF56" s="16">
        <v>7</v>
      </c>
      <c r="AG56" s="16">
        <v>489</v>
      </c>
      <c r="AH56" s="16">
        <v>0</v>
      </c>
      <c r="AI56" s="16">
        <v>63</v>
      </c>
      <c r="AJ56" s="26">
        <v>0</v>
      </c>
      <c r="AK56" s="16">
        <v>1</v>
      </c>
      <c r="AL56" s="16">
        <v>0</v>
      </c>
      <c r="AM56" s="16">
        <v>0</v>
      </c>
      <c r="AN56" s="16">
        <v>5</v>
      </c>
      <c r="AO56" s="26">
        <v>0</v>
      </c>
      <c r="AP56" s="26">
        <v>0</v>
      </c>
      <c r="AQ56" s="26">
        <v>0</v>
      </c>
      <c r="AR56" s="16">
        <v>3</v>
      </c>
      <c r="AS56" s="16">
        <v>57</v>
      </c>
      <c r="AT56" s="26">
        <v>5</v>
      </c>
      <c r="AU56" s="16">
        <v>38</v>
      </c>
      <c r="AV56" s="16">
        <v>0</v>
      </c>
      <c r="AW56" s="26">
        <v>0</v>
      </c>
      <c r="AX56" s="16">
        <v>0</v>
      </c>
      <c r="AY56" s="26">
        <v>0</v>
      </c>
      <c r="AZ56" s="26">
        <v>0</v>
      </c>
      <c r="BA56" s="26">
        <v>0</v>
      </c>
      <c r="BB56" s="26">
        <v>0</v>
      </c>
      <c r="BC56" s="26">
        <v>0</v>
      </c>
      <c r="BD56" s="26">
        <v>4</v>
      </c>
      <c r="BE56" s="16">
        <v>8</v>
      </c>
      <c r="BF56" s="16">
        <v>0</v>
      </c>
      <c r="BG56" s="26">
        <v>0</v>
      </c>
      <c r="BH56" s="26">
        <v>0</v>
      </c>
      <c r="BI56" s="26">
        <v>0</v>
      </c>
      <c r="BJ56" s="26">
        <v>0</v>
      </c>
      <c r="BK56" s="16">
        <v>32</v>
      </c>
      <c r="BL56" s="16">
        <v>0</v>
      </c>
      <c r="BM56" s="26">
        <v>0</v>
      </c>
      <c r="BN56" s="26">
        <v>0</v>
      </c>
      <c r="BO56" s="16">
        <v>6</v>
      </c>
    </row>
    <row r="57" spans="1:68" s="5" customFormat="1" ht="21.9" customHeight="1" x14ac:dyDescent="0.25">
      <c r="A57" s="134"/>
      <c r="B57" s="6"/>
      <c r="C57" s="49" t="s">
        <v>76</v>
      </c>
      <c r="D57" s="50"/>
      <c r="E57" s="55">
        <v>14</v>
      </c>
      <c r="F57" s="56">
        <v>0</v>
      </c>
      <c r="G57" s="56">
        <v>0</v>
      </c>
      <c r="H57" s="56">
        <v>0</v>
      </c>
      <c r="I57" s="56">
        <v>0</v>
      </c>
      <c r="J57" s="56">
        <v>0</v>
      </c>
      <c r="K57" s="56">
        <v>0</v>
      </c>
      <c r="L57" s="56">
        <v>0</v>
      </c>
      <c r="M57" s="56">
        <v>0</v>
      </c>
      <c r="N57" s="56">
        <v>0</v>
      </c>
      <c r="O57" s="56">
        <v>0</v>
      </c>
      <c r="P57" s="56">
        <v>0</v>
      </c>
      <c r="Q57" s="56">
        <v>0</v>
      </c>
      <c r="R57" s="56">
        <v>0</v>
      </c>
      <c r="S57" s="56">
        <v>0</v>
      </c>
      <c r="T57" s="56">
        <v>0</v>
      </c>
      <c r="U57" s="56">
        <v>0</v>
      </c>
      <c r="V57" s="56">
        <v>0</v>
      </c>
      <c r="W57" s="57">
        <v>0</v>
      </c>
      <c r="X57" s="56">
        <v>0</v>
      </c>
      <c r="Y57" s="56">
        <v>0</v>
      </c>
      <c r="Z57" s="56">
        <v>0</v>
      </c>
      <c r="AA57" s="56">
        <v>0</v>
      </c>
      <c r="AB57" s="56">
        <v>1</v>
      </c>
      <c r="AC57" s="57">
        <v>0</v>
      </c>
      <c r="AD57" s="56">
        <v>0</v>
      </c>
      <c r="AE57" s="56">
        <v>0</v>
      </c>
      <c r="AF57" s="56">
        <v>0</v>
      </c>
      <c r="AG57" s="57">
        <v>9</v>
      </c>
      <c r="AH57" s="56">
        <v>0</v>
      </c>
      <c r="AI57" s="56">
        <v>0</v>
      </c>
      <c r="AJ57" s="56">
        <v>0</v>
      </c>
      <c r="AK57" s="57">
        <v>1</v>
      </c>
      <c r="AL57" s="56">
        <v>0</v>
      </c>
      <c r="AM57" s="56">
        <v>0</v>
      </c>
      <c r="AN57" s="56">
        <v>0</v>
      </c>
      <c r="AO57" s="56">
        <v>0</v>
      </c>
      <c r="AP57" s="56">
        <v>0</v>
      </c>
      <c r="AQ57" s="56">
        <v>0</v>
      </c>
      <c r="AR57" s="56">
        <v>1</v>
      </c>
      <c r="AS57" s="56">
        <v>2</v>
      </c>
      <c r="AT57" s="56">
        <v>0</v>
      </c>
      <c r="AU57" s="56">
        <v>0</v>
      </c>
      <c r="AV57" s="56">
        <v>0</v>
      </c>
      <c r="AW57" s="56">
        <v>0</v>
      </c>
      <c r="AX57" s="56">
        <v>0</v>
      </c>
      <c r="AY57" s="56">
        <v>0</v>
      </c>
      <c r="AZ57" s="56">
        <v>0</v>
      </c>
      <c r="BA57" s="56">
        <v>0</v>
      </c>
      <c r="BB57" s="56">
        <v>0</v>
      </c>
      <c r="BC57" s="56">
        <v>0</v>
      </c>
      <c r="BD57" s="56">
        <v>0</v>
      </c>
      <c r="BE57" s="56">
        <v>0</v>
      </c>
      <c r="BF57" s="56">
        <v>0</v>
      </c>
      <c r="BG57" s="56">
        <v>0</v>
      </c>
      <c r="BH57" s="56">
        <v>0</v>
      </c>
      <c r="BI57" s="56">
        <v>0</v>
      </c>
      <c r="BJ57" s="56">
        <v>0</v>
      </c>
      <c r="BK57" s="56">
        <v>0</v>
      </c>
      <c r="BL57" s="56">
        <v>0</v>
      </c>
      <c r="BM57" s="56">
        <v>0</v>
      </c>
      <c r="BN57" s="56">
        <v>0</v>
      </c>
      <c r="BO57" s="57">
        <v>0</v>
      </c>
    </row>
    <row r="58" spans="1:68" s="5" customFormat="1" ht="21.9" customHeight="1" x14ac:dyDescent="0.3">
      <c r="A58" s="76" t="s">
        <v>188</v>
      </c>
      <c r="AK58" s="63" t="s">
        <v>191</v>
      </c>
      <c r="AL58" s="63"/>
      <c r="AM58" s="63"/>
      <c r="AN58" s="64"/>
      <c r="AO58" s="64"/>
      <c r="AP58" s="63" t="s">
        <v>178</v>
      </c>
      <c r="AQ58" s="63"/>
      <c r="AS58" s="63"/>
      <c r="AU58" s="58"/>
      <c r="AV58" s="63"/>
      <c r="AW58" s="5" t="s">
        <v>179</v>
      </c>
      <c r="AX58" s="64"/>
      <c r="AY58" s="64"/>
      <c r="BA58" s="58"/>
      <c r="BB58" s="63"/>
      <c r="BD58" s="65"/>
      <c r="BE58" s="64"/>
      <c r="BF58" s="5" t="s">
        <v>180</v>
      </c>
      <c r="BG58" s="58"/>
      <c r="BH58" s="76"/>
      <c r="BI58" s="62"/>
      <c r="BJ58" s="62"/>
    </row>
    <row r="59" spans="1:68" s="5" customFormat="1" ht="21.9" customHeight="1" x14ac:dyDescent="0.3">
      <c r="AK59" s="63"/>
      <c r="AL59" s="63"/>
      <c r="AM59" s="63"/>
      <c r="AN59" s="64"/>
      <c r="AO59" s="64"/>
      <c r="AP59" s="64"/>
      <c r="AQ59" s="65"/>
      <c r="AR59" s="63"/>
      <c r="AS59" s="63"/>
      <c r="AT59" s="63"/>
      <c r="AU59" s="58"/>
      <c r="AV59" s="63"/>
      <c r="AW59" s="65" t="s">
        <v>181</v>
      </c>
      <c r="AX59" s="63"/>
      <c r="AY59" s="63"/>
      <c r="BA59" s="63"/>
      <c r="BB59" s="63"/>
      <c r="BD59" s="65"/>
      <c r="BE59" s="63"/>
      <c r="BG59" s="59"/>
      <c r="BH59" s="58"/>
      <c r="BI59" s="62"/>
      <c r="BJ59" s="62"/>
    </row>
    <row r="60" spans="1:68" s="5" customFormat="1" ht="21.9" customHeight="1" x14ac:dyDescent="0.3">
      <c r="AK60" s="76" t="s">
        <v>192</v>
      </c>
      <c r="AM60" s="58"/>
      <c r="AN60" s="76"/>
      <c r="AO60" s="76"/>
      <c r="AP60" s="77"/>
      <c r="AQ60" s="76"/>
      <c r="AR60" s="104"/>
      <c r="AS60" s="76"/>
      <c r="AT60" s="76"/>
      <c r="AU60" s="76"/>
      <c r="AV60" s="76"/>
      <c r="AW60" s="76"/>
      <c r="AX60" s="77"/>
      <c r="AY60" s="76"/>
      <c r="AZ60" s="76"/>
      <c r="BA60" s="76"/>
      <c r="BB60" s="76"/>
      <c r="BC60" s="59"/>
      <c r="BD60" s="59"/>
      <c r="BE60" s="59"/>
      <c r="BF60" s="75"/>
      <c r="BG60" s="59"/>
      <c r="BH60" s="58"/>
      <c r="BI60" s="62"/>
      <c r="BJ60" s="62"/>
    </row>
    <row r="61" spans="1:68" s="5" customFormat="1" ht="21.9" customHeight="1" x14ac:dyDescent="0.3">
      <c r="E61" s="16"/>
      <c r="AK61" s="5" t="s">
        <v>195</v>
      </c>
      <c r="AM61" s="58"/>
      <c r="AN61" s="76"/>
      <c r="AO61" s="76"/>
      <c r="AP61" s="77"/>
      <c r="AQ61" s="76"/>
      <c r="AR61" s="104"/>
      <c r="AS61" s="76"/>
      <c r="AT61" s="76"/>
      <c r="AU61" s="76"/>
      <c r="AV61" s="76"/>
      <c r="AW61" s="76"/>
      <c r="AX61" s="77"/>
      <c r="AY61" s="76"/>
      <c r="AZ61" s="76"/>
      <c r="BA61" s="76"/>
      <c r="BB61" s="76"/>
      <c r="BC61" s="59"/>
      <c r="BD61" s="59"/>
      <c r="BE61" s="59"/>
      <c r="BF61" s="75"/>
      <c r="BG61" s="78"/>
      <c r="BH61" s="78"/>
      <c r="BI61" s="62"/>
      <c r="BJ61" s="62"/>
    </row>
    <row r="62" spans="1:68" s="5" customFormat="1" ht="21.9" customHeight="1" x14ac:dyDescent="0.3">
      <c r="E62" s="16"/>
      <c r="AK62" s="76" t="s">
        <v>193</v>
      </c>
      <c r="AL62" s="76"/>
      <c r="AM62" s="76"/>
      <c r="AN62" s="77"/>
      <c r="AO62" s="76"/>
      <c r="AP62" s="104"/>
      <c r="AQ62" s="104"/>
      <c r="AR62" s="104"/>
      <c r="AS62" s="76"/>
      <c r="AT62" s="76"/>
      <c r="AU62" s="76"/>
      <c r="AV62" s="76"/>
      <c r="AW62" s="76"/>
      <c r="AX62" s="77"/>
      <c r="AY62" s="76"/>
      <c r="AZ62" s="76"/>
      <c r="BA62" s="76"/>
      <c r="BB62" s="76"/>
      <c r="BC62" s="59"/>
      <c r="BD62" s="59"/>
      <c r="BE62" s="59"/>
      <c r="BF62" s="75"/>
      <c r="BG62" s="78"/>
      <c r="BH62" s="78"/>
      <c r="BI62" s="62"/>
      <c r="BJ62" s="62"/>
    </row>
    <row r="63" spans="1:68" s="5" customFormat="1" ht="21.9" customHeight="1" x14ac:dyDescent="0.25"/>
    <row r="64" spans="1:68" s="5" customFormat="1" ht="21.9" customHeight="1" x14ac:dyDescent="0.25"/>
    <row r="65" s="5" customFormat="1" ht="21.9" customHeight="1" x14ac:dyDescent="0.25"/>
  </sheetData>
  <mergeCells count="119">
    <mergeCell ref="A3:AJ3"/>
    <mergeCell ref="Q7:Q11"/>
    <mergeCell ref="AK7:AK11"/>
    <mergeCell ref="AL7:AL11"/>
    <mergeCell ref="AM7:AM11"/>
    <mergeCell ref="AH1:AJ1"/>
    <mergeCell ref="BK1:BL1"/>
    <mergeCell ref="A4:AJ4"/>
    <mergeCell ref="AK4:BO4"/>
    <mergeCell ref="AG6:AJ6"/>
    <mergeCell ref="AK6:AN6"/>
    <mergeCell ref="AK1:AL1"/>
    <mergeCell ref="AK2:AL2"/>
    <mergeCell ref="AR6:AS6"/>
    <mergeCell ref="BM1:BO1"/>
    <mergeCell ref="AF1:AG1"/>
    <mergeCell ref="K6:M6"/>
    <mergeCell ref="N6:P6"/>
    <mergeCell ref="T6:AF6"/>
    <mergeCell ref="AF2:AG2"/>
    <mergeCell ref="AT6:AV6"/>
    <mergeCell ref="AW6:AX6"/>
    <mergeCell ref="AH2:AJ2"/>
    <mergeCell ref="BK2:BL2"/>
    <mergeCell ref="BM2:BO2"/>
    <mergeCell ref="I7:I11"/>
    <mergeCell ref="J7:J11"/>
    <mergeCell ref="AK3:BO3"/>
    <mergeCell ref="Q6:S6"/>
    <mergeCell ref="A1:B1"/>
    <mergeCell ref="A2:B2"/>
    <mergeCell ref="A42:A43"/>
    <mergeCell ref="A44:A45"/>
    <mergeCell ref="A6:D11"/>
    <mergeCell ref="AO6:AQ6"/>
    <mergeCell ref="BD6:BF6"/>
    <mergeCell ref="BD7:BD11"/>
    <mergeCell ref="BE7:BE11"/>
    <mergeCell ref="BF7:BF11"/>
    <mergeCell ref="BA6:BB6"/>
    <mergeCell ref="BO7:BO11"/>
    <mergeCell ref="AR7:AR11"/>
    <mergeCell ref="AS7:AS11"/>
    <mergeCell ref="AT7:AT11"/>
    <mergeCell ref="AU7:AU11"/>
    <mergeCell ref="BC6:BC11"/>
    <mergeCell ref="AV7:AV11"/>
    <mergeCell ref="AX7:AX11"/>
    <mergeCell ref="A46:A47"/>
    <mergeCell ref="A34:A35"/>
    <mergeCell ref="A32:A33"/>
    <mergeCell ref="A30:A31"/>
    <mergeCell ref="A26:A27"/>
    <mergeCell ref="A28:A29"/>
    <mergeCell ref="A20:A21"/>
    <mergeCell ref="A18:A19"/>
    <mergeCell ref="A16:A17"/>
    <mergeCell ref="G7:G11"/>
    <mergeCell ref="AY6:AZ6"/>
    <mergeCell ref="BM6:BO6"/>
    <mergeCell ref="AY7:AY11"/>
    <mergeCell ref="AZ7:AZ11"/>
    <mergeCell ref="BA7:BA11"/>
    <mergeCell ref="BB7:BB11"/>
    <mergeCell ref="BM7:BM11"/>
    <mergeCell ref="BI7:BI11"/>
    <mergeCell ref="BJ7:BJ11"/>
    <mergeCell ref="BK7:BK11"/>
    <mergeCell ref="BL7:BL11"/>
    <mergeCell ref="BH6:BH11"/>
    <mergeCell ref="BG6:BG11"/>
    <mergeCell ref="T7:T11"/>
    <mergeCell ref="AW7:AW11"/>
    <mergeCell ref="BI6:BL6"/>
    <mergeCell ref="AQ7:AQ11"/>
    <mergeCell ref="F6:J6"/>
    <mergeCell ref="BN7:BN11"/>
    <mergeCell ref="AN7:AN11"/>
    <mergeCell ref="AO7:AO11"/>
    <mergeCell ref="AP7:AP11"/>
    <mergeCell ref="P7:P11"/>
    <mergeCell ref="A56:A57"/>
    <mergeCell ref="A36:A37"/>
    <mergeCell ref="A38:A39"/>
    <mergeCell ref="AC7:AC11"/>
    <mergeCell ref="A40:A41"/>
    <mergeCell ref="A22:A23"/>
    <mergeCell ref="A24:A25"/>
    <mergeCell ref="AH7:AH11"/>
    <mergeCell ref="A54:A55"/>
    <mergeCell ref="M7:M11"/>
    <mergeCell ref="R7:R11"/>
    <mergeCell ref="A48:A49"/>
    <mergeCell ref="A50:A51"/>
    <mergeCell ref="A12:A13"/>
    <mergeCell ref="A14:A15"/>
    <mergeCell ref="L7:L11"/>
    <mergeCell ref="K7:K11"/>
    <mergeCell ref="F7:F11"/>
    <mergeCell ref="E6:E11"/>
    <mergeCell ref="U7:U11"/>
    <mergeCell ref="H7:H11"/>
    <mergeCell ref="A52:A53"/>
    <mergeCell ref="N7:N11"/>
    <mergeCell ref="O7:O11"/>
    <mergeCell ref="S7:S11"/>
    <mergeCell ref="AD7:AD11"/>
    <mergeCell ref="V7:V11"/>
    <mergeCell ref="AE7:AE11"/>
    <mergeCell ref="AF7:AF11"/>
    <mergeCell ref="AG7:AG11"/>
    <mergeCell ref="AB7:AB11"/>
    <mergeCell ref="AJ7:AJ11"/>
    <mergeCell ref="AI7:AI11"/>
    <mergeCell ref="Z7:Z11"/>
    <mergeCell ref="AA7:AA11"/>
    <mergeCell ref="W7:W11"/>
    <mergeCell ref="X7:X11"/>
    <mergeCell ref="Y7:Y11"/>
  </mergeCells>
  <phoneticPr fontId="5" type="noConversion"/>
  <printOptions horizontalCentered="1"/>
  <pageMargins left="0.74803149606299213" right="0.74803149606299213" top="1.1811023622047245" bottom="0.78740157480314965" header="0" footer="0"/>
  <pageSetup paperSize="8" scale="6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Q88"/>
  <sheetViews>
    <sheetView zoomScale="80" zoomScaleNormal="80" workbookViewId="0">
      <selection activeCell="G7" sqref="G7:G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68" width="10.6640625" style="1" bestFit="1" customWidth="1"/>
    <col min="69"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E1" s="70"/>
      <c r="AF1" s="183" t="s">
        <v>45</v>
      </c>
      <c r="AG1" s="171"/>
      <c r="AH1" s="133" t="s">
        <v>334</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J1" s="69"/>
      <c r="BK1" s="170" t="s">
        <v>45</v>
      </c>
      <c r="BL1" s="171"/>
      <c r="BM1" s="133" t="s">
        <v>334</v>
      </c>
      <c r="BN1" s="173"/>
      <c r="BO1" s="174"/>
      <c r="BP1" s="38"/>
      <c r="BQ1" s="38"/>
    </row>
    <row r="2" spans="1:69"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41"/>
      <c r="AE2" s="71"/>
      <c r="AF2" s="184" t="s">
        <v>187</v>
      </c>
      <c r="AG2" s="166"/>
      <c r="AH2" s="167" t="s">
        <v>337</v>
      </c>
      <c r="AI2" s="168"/>
      <c r="AJ2" s="169"/>
      <c r="AK2" s="163" t="s">
        <v>279</v>
      </c>
      <c r="AL2" s="164"/>
      <c r="AM2" s="7" t="s">
        <v>290</v>
      </c>
      <c r="AN2" s="33"/>
      <c r="AO2" s="33"/>
      <c r="AP2" s="33"/>
      <c r="AQ2" s="33"/>
      <c r="AR2" s="33"/>
      <c r="AS2" s="33"/>
      <c r="AT2" s="33"/>
      <c r="AU2" s="33"/>
      <c r="AV2" s="33"/>
      <c r="AW2" s="33"/>
      <c r="AX2" s="33"/>
      <c r="AY2" s="33"/>
      <c r="AZ2" s="33"/>
      <c r="BA2" s="33"/>
      <c r="BB2" s="33"/>
      <c r="BC2" s="33"/>
      <c r="BD2" s="33"/>
      <c r="BE2" s="33"/>
      <c r="BF2" s="33"/>
      <c r="BG2" s="33"/>
      <c r="BH2" s="42"/>
      <c r="BI2" s="41"/>
      <c r="BJ2" s="72"/>
      <c r="BK2" s="165" t="s">
        <v>187</v>
      </c>
      <c r="BL2" s="166"/>
      <c r="BM2" s="167" t="s">
        <v>5</v>
      </c>
      <c r="BN2" s="168"/>
      <c r="BO2" s="169"/>
      <c r="BP2" s="43"/>
      <c r="BQ2" s="43"/>
    </row>
    <row r="3" spans="1:69" s="53" customFormat="1" ht="30" customHeight="1" x14ac:dyDescent="0.25">
      <c r="A3" s="159" t="s">
        <v>385</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388</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row>
    <row r="4" spans="1:69" s="37" customFormat="1" ht="26.1" customHeight="1" x14ac:dyDescent="0.25">
      <c r="A4" s="205" t="s">
        <v>349</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206" t="s">
        <v>349</v>
      </c>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row>
    <row r="5" spans="1:69" s="37" customFormat="1" ht="20.100000000000001" customHeight="1" x14ac:dyDescent="0.25">
      <c r="A5" s="40"/>
      <c r="B5" s="41"/>
      <c r="C5" s="41"/>
      <c r="D5" s="67"/>
      <c r="E5" s="67"/>
      <c r="F5" s="67"/>
      <c r="G5" s="67"/>
      <c r="H5" s="67"/>
      <c r="I5" s="67"/>
      <c r="J5" s="41"/>
      <c r="K5" s="67"/>
      <c r="L5" s="67"/>
      <c r="M5" s="67"/>
      <c r="N5" s="41"/>
      <c r="O5" s="67"/>
      <c r="P5" s="41"/>
      <c r="Q5" s="67"/>
      <c r="R5" s="44"/>
      <c r="S5" s="67"/>
      <c r="T5" s="33"/>
      <c r="U5" s="33"/>
      <c r="V5" s="33"/>
      <c r="W5" s="68"/>
      <c r="X5" s="5"/>
      <c r="Y5" s="33"/>
      <c r="Z5" s="33"/>
      <c r="AA5" s="33"/>
      <c r="AB5" s="33"/>
      <c r="AC5" s="33"/>
      <c r="AD5" s="33"/>
      <c r="AE5" s="33"/>
      <c r="AG5" s="33"/>
      <c r="AH5" s="33"/>
      <c r="AJ5" s="45" t="s">
        <v>48</v>
      </c>
      <c r="AK5" s="33"/>
      <c r="AL5" s="33"/>
      <c r="AM5" s="33"/>
      <c r="AN5" s="5"/>
      <c r="AO5" s="33"/>
      <c r="AP5" s="33"/>
      <c r="AQ5" s="33"/>
      <c r="AR5" s="33"/>
      <c r="AS5" s="33"/>
      <c r="AT5" s="33"/>
      <c r="AU5" s="33"/>
      <c r="AV5" s="33"/>
      <c r="AW5" s="44"/>
      <c r="AX5" s="45"/>
      <c r="AY5" s="45"/>
      <c r="AZ5" s="45"/>
      <c r="BA5" s="45"/>
      <c r="BB5" s="5"/>
      <c r="BC5" s="33"/>
      <c r="BD5" s="33"/>
      <c r="BE5" s="33"/>
      <c r="BF5" s="33"/>
      <c r="BG5" s="33"/>
      <c r="BH5" s="33"/>
      <c r="BI5" s="5"/>
      <c r="BJ5" s="5"/>
      <c r="BK5" s="5"/>
      <c r="BL5" s="5"/>
      <c r="BM5" s="5"/>
      <c r="BN5" s="5"/>
      <c r="BO5" s="46" t="s">
        <v>49</v>
      </c>
    </row>
    <row r="6" spans="1:69" s="5" customFormat="1" ht="27.9" customHeight="1" x14ac:dyDescent="0.25">
      <c r="A6" s="125" t="s">
        <v>144</v>
      </c>
      <c r="B6" s="125"/>
      <c r="C6" s="125"/>
      <c r="D6" s="125"/>
      <c r="E6" s="136" t="s">
        <v>50</v>
      </c>
      <c r="F6" s="187" t="s">
        <v>254</v>
      </c>
      <c r="G6" s="188"/>
      <c r="H6" s="188"/>
      <c r="I6" s="188"/>
      <c r="J6" s="189"/>
      <c r="K6" s="190" t="s">
        <v>52</v>
      </c>
      <c r="L6" s="191"/>
      <c r="M6" s="192"/>
      <c r="N6" s="193" t="s">
        <v>53</v>
      </c>
      <c r="O6" s="194"/>
      <c r="P6" s="195"/>
      <c r="Q6" s="193" t="s">
        <v>54</v>
      </c>
      <c r="R6" s="194"/>
      <c r="S6" s="195"/>
      <c r="T6" s="187" t="s">
        <v>55</v>
      </c>
      <c r="U6" s="188"/>
      <c r="V6" s="188"/>
      <c r="W6" s="188"/>
      <c r="X6" s="188"/>
      <c r="Y6" s="188"/>
      <c r="Z6" s="188"/>
      <c r="AA6" s="188"/>
      <c r="AB6" s="188"/>
      <c r="AC6" s="188"/>
      <c r="AD6" s="188"/>
      <c r="AE6" s="188"/>
      <c r="AF6" s="189"/>
      <c r="AG6" s="187" t="s">
        <v>121</v>
      </c>
      <c r="AH6" s="188"/>
      <c r="AI6" s="188"/>
      <c r="AJ6" s="189"/>
      <c r="AK6" s="187" t="s">
        <v>217</v>
      </c>
      <c r="AL6" s="188"/>
      <c r="AM6" s="188"/>
      <c r="AN6" s="188"/>
      <c r="AO6" s="187" t="s">
        <v>56</v>
      </c>
      <c r="AP6" s="188"/>
      <c r="AQ6" s="189"/>
      <c r="AR6" s="187" t="s">
        <v>57</v>
      </c>
      <c r="AS6" s="189"/>
      <c r="AT6" s="187" t="s">
        <v>58</v>
      </c>
      <c r="AU6" s="188"/>
      <c r="AV6" s="189"/>
      <c r="AW6" s="187" t="s">
        <v>59</v>
      </c>
      <c r="AX6" s="189"/>
      <c r="AY6" s="196" t="s">
        <v>60</v>
      </c>
      <c r="AZ6" s="197"/>
      <c r="BA6" s="196" t="s">
        <v>61</v>
      </c>
      <c r="BB6" s="197"/>
      <c r="BC6" s="180" t="s">
        <v>62</v>
      </c>
      <c r="BD6" s="196" t="s">
        <v>63</v>
      </c>
      <c r="BE6" s="201"/>
      <c r="BF6" s="197"/>
      <c r="BG6" s="176" t="s">
        <v>36</v>
      </c>
      <c r="BH6" s="180" t="s">
        <v>64</v>
      </c>
      <c r="BI6" s="187" t="s">
        <v>97</v>
      </c>
      <c r="BJ6" s="188"/>
      <c r="BK6" s="188"/>
      <c r="BL6" s="189"/>
      <c r="BM6" s="187" t="s">
        <v>65</v>
      </c>
      <c r="BN6" s="188"/>
      <c r="BO6" s="189"/>
    </row>
    <row r="7" spans="1:69" s="5" customFormat="1" ht="30" customHeight="1" x14ac:dyDescent="0.25">
      <c r="A7" s="125"/>
      <c r="B7" s="125"/>
      <c r="C7" s="125"/>
      <c r="D7" s="125"/>
      <c r="E7" s="136"/>
      <c r="F7" s="139" t="s">
        <v>221</v>
      </c>
      <c r="G7" s="139" t="s">
        <v>291</v>
      </c>
      <c r="H7" s="139" t="s">
        <v>66</v>
      </c>
      <c r="I7" s="130" t="s">
        <v>330</v>
      </c>
      <c r="J7" s="130" t="s">
        <v>331</v>
      </c>
      <c r="K7" s="139" t="s">
        <v>67</v>
      </c>
      <c r="L7" s="130" t="s">
        <v>333</v>
      </c>
      <c r="M7" s="139" t="s">
        <v>68</v>
      </c>
      <c r="N7" s="139" t="s">
        <v>293</v>
      </c>
      <c r="O7" s="139" t="s">
        <v>70</v>
      </c>
      <c r="P7" s="139" t="s">
        <v>71</v>
      </c>
      <c r="Q7" s="139" t="s">
        <v>294</v>
      </c>
      <c r="R7" s="130" t="s">
        <v>332</v>
      </c>
      <c r="S7" s="139" t="s">
        <v>72</v>
      </c>
      <c r="T7" s="139" t="s">
        <v>328</v>
      </c>
      <c r="U7" s="139" t="s">
        <v>296</v>
      </c>
      <c r="V7" s="139" t="s">
        <v>182</v>
      </c>
      <c r="W7" s="139" t="s">
        <v>118</v>
      </c>
      <c r="X7" s="139" t="s">
        <v>107</v>
      </c>
      <c r="Y7" s="139" t="s">
        <v>98</v>
      </c>
      <c r="Z7" s="139" t="s">
        <v>108</v>
      </c>
      <c r="AA7" s="130" t="s">
        <v>319</v>
      </c>
      <c r="AB7" s="139" t="s">
        <v>99</v>
      </c>
      <c r="AC7" s="139" t="s">
        <v>329</v>
      </c>
      <c r="AD7" s="139" t="s">
        <v>136</v>
      </c>
      <c r="AE7" s="139" t="s">
        <v>206</v>
      </c>
      <c r="AF7" s="139" t="s">
        <v>128</v>
      </c>
      <c r="AG7" s="139" t="s">
        <v>122</v>
      </c>
      <c r="AH7" s="139" t="s">
        <v>207</v>
      </c>
      <c r="AI7" s="139" t="s">
        <v>139</v>
      </c>
      <c r="AJ7" s="139" t="s">
        <v>211</v>
      </c>
      <c r="AK7" s="139" t="s">
        <v>129</v>
      </c>
      <c r="AL7" s="139" t="s">
        <v>102</v>
      </c>
      <c r="AM7" s="139" t="s">
        <v>130</v>
      </c>
      <c r="AN7" s="139" t="s">
        <v>208</v>
      </c>
      <c r="AO7" s="130" t="s">
        <v>274</v>
      </c>
      <c r="AP7" s="157" t="s">
        <v>233</v>
      </c>
      <c r="AQ7" s="139" t="s">
        <v>183</v>
      </c>
      <c r="AR7" s="139" t="s">
        <v>308</v>
      </c>
      <c r="AS7" s="139" t="s">
        <v>309</v>
      </c>
      <c r="AT7" s="130" t="s">
        <v>318</v>
      </c>
      <c r="AU7" s="139" t="s">
        <v>310</v>
      </c>
      <c r="AV7" s="139" t="s">
        <v>311</v>
      </c>
      <c r="AW7" s="139" t="s">
        <v>312</v>
      </c>
      <c r="AX7" s="139" t="s">
        <v>313</v>
      </c>
      <c r="AY7" s="139" t="s">
        <v>314</v>
      </c>
      <c r="AZ7" s="139" t="s">
        <v>315</v>
      </c>
      <c r="BA7" s="139" t="s">
        <v>316</v>
      </c>
      <c r="BB7" s="139" t="s">
        <v>317</v>
      </c>
      <c r="BC7" s="177"/>
      <c r="BD7" s="139" t="s">
        <v>116</v>
      </c>
      <c r="BE7" s="139" t="s">
        <v>73</v>
      </c>
      <c r="BF7" s="139" t="s">
        <v>138</v>
      </c>
      <c r="BG7" s="177"/>
      <c r="BH7" s="177"/>
      <c r="BI7" s="139" t="s">
        <v>119</v>
      </c>
      <c r="BJ7" s="139" t="s">
        <v>74</v>
      </c>
      <c r="BK7" s="132" t="s">
        <v>272</v>
      </c>
      <c r="BL7" s="139" t="s">
        <v>126</v>
      </c>
      <c r="BM7" s="139" t="s">
        <v>112</v>
      </c>
      <c r="BN7" s="139" t="s">
        <v>117</v>
      </c>
      <c r="BO7" s="139" t="s">
        <v>65</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58"/>
      <c r="AQ8" s="139"/>
      <c r="AR8" s="139"/>
      <c r="AS8" s="139"/>
      <c r="AT8" s="139"/>
      <c r="AU8" s="139"/>
      <c r="AV8" s="139"/>
      <c r="AW8" s="139"/>
      <c r="AX8" s="139"/>
      <c r="AY8" s="139"/>
      <c r="AZ8" s="139"/>
      <c r="BA8" s="139"/>
      <c r="BB8" s="139"/>
      <c r="BC8" s="177"/>
      <c r="BD8" s="139"/>
      <c r="BE8" s="139"/>
      <c r="BF8" s="139"/>
      <c r="BG8" s="177"/>
      <c r="BH8" s="177"/>
      <c r="BI8" s="139"/>
      <c r="BJ8" s="139"/>
      <c r="BK8" s="139"/>
      <c r="BL8" s="139"/>
      <c r="BM8" s="139"/>
      <c r="BN8" s="139"/>
      <c r="BO8" s="139"/>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58"/>
      <c r="AQ9" s="139"/>
      <c r="AR9" s="139"/>
      <c r="AS9" s="139"/>
      <c r="AT9" s="139"/>
      <c r="AU9" s="139"/>
      <c r="AV9" s="139"/>
      <c r="AW9" s="139"/>
      <c r="AX9" s="139"/>
      <c r="AY9" s="139"/>
      <c r="AZ9" s="139"/>
      <c r="BA9" s="139"/>
      <c r="BB9" s="139"/>
      <c r="BC9" s="177"/>
      <c r="BD9" s="139"/>
      <c r="BE9" s="139"/>
      <c r="BF9" s="139"/>
      <c r="BG9" s="177"/>
      <c r="BH9" s="177"/>
      <c r="BI9" s="139"/>
      <c r="BJ9" s="139"/>
      <c r="BK9" s="139"/>
      <c r="BL9" s="139"/>
      <c r="BM9" s="139"/>
      <c r="BN9" s="139"/>
      <c r="BO9" s="139"/>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58"/>
      <c r="AQ10" s="139"/>
      <c r="AR10" s="139"/>
      <c r="AS10" s="139"/>
      <c r="AT10" s="139"/>
      <c r="AU10" s="139"/>
      <c r="AV10" s="139"/>
      <c r="AW10" s="139"/>
      <c r="AX10" s="139"/>
      <c r="AY10" s="139"/>
      <c r="AZ10" s="139"/>
      <c r="BA10" s="139"/>
      <c r="BB10" s="139"/>
      <c r="BC10" s="177"/>
      <c r="BD10" s="139"/>
      <c r="BE10" s="139"/>
      <c r="BF10" s="139"/>
      <c r="BG10" s="177"/>
      <c r="BH10" s="177"/>
      <c r="BI10" s="139"/>
      <c r="BJ10" s="139"/>
      <c r="BK10" s="139"/>
      <c r="BL10" s="139"/>
      <c r="BM10" s="139"/>
      <c r="BN10" s="139"/>
      <c r="BO10" s="139"/>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58"/>
      <c r="AQ11" s="139"/>
      <c r="AR11" s="139"/>
      <c r="AS11" s="139"/>
      <c r="AT11" s="139"/>
      <c r="AU11" s="139"/>
      <c r="AV11" s="139"/>
      <c r="AW11" s="139"/>
      <c r="AX11" s="139"/>
      <c r="AY11" s="139"/>
      <c r="AZ11" s="139"/>
      <c r="BA11" s="139"/>
      <c r="BB11" s="139"/>
      <c r="BC11" s="178"/>
      <c r="BD11" s="139"/>
      <c r="BE11" s="139"/>
      <c r="BF11" s="139"/>
      <c r="BG11" s="178"/>
      <c r="BH11" s="178"/>
      <c r="BI11" s="139"/>
      <c r="BJ11" s="139"/>
      <c r="BK11" s="139"/>
      <c r="BL11" s="139"/>
      <c r="BM11" s="139"/>
      <c r="BN11" s="139"/>
      <c r="BO11" s="139"/>
    </row>
    <row r="12" spans="1:69" s="3" customFormat="1" ht="21.9" customHeight="1" x14ac:dyDescent="0.25">
      <c r="A12" s="125" t="s">
        <v>343</v>
      </c>
      <c r="B12" s="32"/>
      <c r="C12" s="51" t="s">
        <v>132</v>
      </c>
      <c r="D12" s="52"/>
      <c r="E12" s="16">
        <v>913729</v>
      </c>
      <c r="F12" s="16">
        <v>24705</v>
      </c>
      <c r="G12" s="16">
        <v>15130</v>
      </c>
      <c r="H12" s="16">
        <v>7725</v>
      </c>
      <c r="I12" s="16">
        <v>12900</v>
      </c>
      <c r="J12" s="16">
        <v>2028</v>
      </c>
      <c r="K12" s="16">
        <v>24262</v>
      </c>
      <c r="L12" s="16">
        <v>13495</v>
      </c>
      <c r="M12" s="16">
        <v>8245</v>
      </c>
      <c r="N12" s="16">
        <v>3042</v>
      </c>
      <c r="O12" s="16">
        <v>3460</v>
      </c>
      <c r="P12" s="16">
        <v>361</v>
      </c>
      <c r="Q12" s="16">
        <v>7004</v>
      </c>
      <c r="R12" s="16">
        <v>10212</v>
      </c>
      <c r="S12" s="16">
        <v>10365</v>
      </c>
      <c r="T12" s="16">
        <v>9632</v>
      </c>
      <c r="U12" s="16">
        <v>23558</v>
      </c>
      <c r="V12" s="16">
        <v>8825</v>
      </c>
      <c r="W12" s="16">
        <v>10176</v>
      </c>
      <c r="X12" s="16">
        <v>6096</v>
      </c>
      <c r="Y12" s="16">
        <v>27303</v>
      </c>
      <c r="Z12" s="16">
        <v>15519</v>
      </c>
      <c r="AA12" s="16">
        <v>6758</v>
      </c>
      <c r="AB12" s="16">
        <v>10279</v>
      </c>
      <c r="AC12" s="16">
        <v>4742</v>
      </c>
      <c r="AD12" s="16">
        <v>95860</v>
      </c>
      <c r="AE12" s="16">
        <v>52531</v>
      </c>
      <c r="AF12" s="16">
        <v>9799</v>
      </c>
      <c r="AG12" s="16">
        <v>15400</v>
      </c>
      <c r="AH12" s="16">
        <v>6912</v>
      </c>
      <c r="AI12" s="16">
        <v>18781</v>
      </c>
      <c r="AJ12" s="16">
        <v>1731</v>
      </c>
      <c r="AK12" s="103">
        <v>6245</v>
      </c>
      <c r="AL12" s="16">
        <v>5219</v>
      </c>
      <c r="AM12" s="16">
        <v>4100</v>
      </c>
      <c r="AN12" s="16">
        <v>22333</v>
      </c>
      <c r="AO12" s="16">
        <v>2682</v>
      </c>
      <c r="AP12" s="16">
        <v>2013</v>
      </c>
      <c r="AQ12" s="16">
        <v>1117</v>
      </c>
      <c r="AR12" s="16">
        <v>7062</v>
      </c>
      <c r="AS12" s="16">
        <v>9091</v>
      </c>
      <c r="AT12" s="16">
        <v>38561</v>
      </c>
      <c r="AU12" s="16">
        <v>77256</v>
      </c>
      <c r="AV12" s="16">
        <v>26726</v>
      </c>
      <c r="AW12" s="16">
        <v>2952</v>
      </c>
      <c r="AX12" s="16">
        <v>26146</v>
      </c>
      <c r="AY12" s="16">
        <v>6653</v>
      </c>
      <c r="AZ12" s="16">
        <v>343</v>
      </c>
      <c r="BA12" s="16">
        <v>1096</v>
      </c>
      <c r="BB12" s="16">
        <v>1756</v>
      </c>
      <c r="BC12" s="16">
        <v>2763</v>
      </c>
      <c r="BD12" s="16">
        <v>22935</v>
      </c>
      <c r="BE12" s="16">
        <v>23457</v>
      </c>
      <c r="BF12" s="16">
        <v>24389</v>
      </c>
      <c r="BG12" s="16">
        <v>33553</v>
      </c>
      <c r="BH12" s="16">
        <v>13418</v>
      </c>
      <c r="BI12" s="16">
        <v>7615</v>
      </c>
      <c r="BJ12" s="16">
        <v>15872</v>
      </c>
      <c r="BK12" s="16">
        <v>12844</v>
      </c>
      <c r="BL12" s="16">
        <v>17595</v>
      </c>
      <c r="BM12" s="16">
        <v>9571</v>
      </c>
      <c r="BN12" s="16">
        <v>7817</v>
      </c>
      <c r="BO12" s="16">
        <v>13713</v>
      </c>
    </row>
    <row r="13" spans="1:69" s="3" customFormat="1" ht="21.9" customHeight="1" x14ac:dyDescent="0.25">
      <c r="A13" s="125"/>
      <c r="B13" s="5"/>
      <c r="C13" s="47" t="s">
        <v>76</v>
      </c>
      <c r="D13" s="48"/>
      <c r="E13" s="16">
        <v>20216</v>
      </c>
      <c r="F13" s="26">
        <v>1</v>
      </c>
      <c r="G13" s="26">
        <v>2</v>
      </c>
      <c r="H13" s="26">
        <v>1</v>
      </c>
      <c r="I13" s="26">
        <v>33</v>
      </c>
      <c r="J13" s="26">
        <v>4</v>
      </c>
      <c r="K13" s="26">
        <v>1132</v>
      </c>
      <c r="L13" s="26">
        <v>67</v>
      </c>
      <c r="M13" s="26">
        <v>10</v>
      </c>
      <c r="N13" s="26">
        <v>1</v>
      </c>
      <c r="O13" s="26">
        <v>12</v>
      </c>
      <c r="P13" s="26">
        <v>0</v>
      </c>
      <c r="Q13" s="26">
        <v>40</v>
      </c>
      <c r="R13" s="26">
        <v>106</v>
      </c>
      <c r="S13" s="26">
        <v>6</v>
      </c>
      <c r="T13" s="26">
        <v>33</v>
      </c>
      <c r="U13" s="26">
        <v>311</v>
      </c>
      <c r="V13" s="26">
        <v>19</v>
      </c>
      <c r="W13" s="26">
        <v>134</v>
      </c>
      <c r="X13" s="26">
        <v>29</v>
      </c>
      <c r="Y13" s="26">
        <v>87</v>
      </c>
      <c r="Z13" s="26">
        <v>137</v>
      </c>
      <c r="AA13" s="26">
        <v>8</v>
      </c>
      <c r="AB13" s="26">
        <v>27</v>
      </c>
      <c r="AC13" s="26">
        <v>40</v>
      </c>
      <c r="AD13" s="26">
        <v>282</v>
      </c>
      <c r="AE13" s="26">
        <v>246</v>
      </c>
      <c r="AF13" s="26">
        <v>55</v>
      </c>
      <c r="AG13" s="26">
        <v>253</v>
      </c>
      <c r="AH13" s="26">
        <v>271</v>
      </c>
      <c r="AI13" s="26">
        <v>46</v>
      </c>
      <c r="AJ13" s="26">
        <v>2</v>
      </c>
      <c r="AK13" s="99">
        <v>170</v>
      </c>
      <c r="AL13" s="26">
        <v>26</v>
      </c>
      <c r="AM13" s="26">
        <v>8</v>
      </c>
      <c r="AN13" s="26">
        <v>348</v>
      </c>
      <c r="AO13" s="26">
        <v>0</v>
      </c>
      <c r="AP13" s="26">
        <v>2</v>
      </c>
      <c r="AQ13" s="26">
        <v>1</v>
      </c>
      <c r="AR13" s="26">
        <v>192</v>
      </c>
      <c r="AS13" s="26">
        <v>121</v>
      </c>
      <c r="AT13" s="26">
        <v>29</v>
      </c>
      <c r="AU13" s="26">
        <v>327</v>
      </c>
      <c r="AV13" s="26">
        <v>194</v>
      </c>
      <c r="AW13" s="26">
        <v>8</v>
      </c>
      <c r="AX13" s="26">
        <v>142</v>
      </c>
      <c r="AY13" s="26">
        <v>7</v>
      </c>
      <c r="AZ13" s="26">
        <v>3</v>
      </c>
      <c r="BA13" s="26">
        <v>2</v>
      </c>
      <c r="BB13" s="26">
        <v>1</v>
      </c>
      <c r="BC13" s="26">
        <v>0</v>
      </c>
      <c r="BD13" s="26">
        <v>10</v>
      </c>
      <c r="BE13" s="26">
        <v>65</v>
      </c>
      <c r="BF13" s="26">
        <v>115</v>
      </c>
      <c r="BG13" s="26">
        <v>13623</v>
      </c>
      <c r="BH13" s="26">
        <v>29</v>
      </c>
      <c r="BI13" s="26">
        <v>70</v>
      </c>
      <c r="BJ13" s="26">
        <v>112</v>
      </c>
      <c r="BK13" s="26">
        <v>121</v>
      </c>
      <c r="BL13" s="26">
        <v>58</v>
      </c>
      <c r="BM13" s="26">
        <v>2</v>
      </c>
      <c r="BN13" s="26">
        <v>3</v>
      </c>
      <c r="BO13" s="26">
        <v>1032</v>
      </c>
    </row>
    <row r="14" spans="1:69" s="5" customFormat="1" ht="21.9" customHeight="1" x14ac:dyDescent="0.25">
      <c r="A14" s="125" t="s">
        <v>285</v>
      </c>
      <c r="B14" s="4"/>
      <c r="C14" s="47" t="s">
        <v>75</v>
      </c>
      <c r="D14" s="48"/>
      <c r="E14" s="16">
        <v>27575</v>
      </c>
      <c r="F14" s="16">
        <v>451</v>
      </c>
      <c r="G14" s="16">
        <v>396</v>
      </c>
      <c r="H14" s="16">
        <v>1</v>
      </c>
      <c r="I14" s="16">
        <v>746</v>
      </c>
      <c r="J14" s="16">
        <v>58</v>
      </c>
      <c r="K14" s="16">
        <v>426</v>
      </c>
      <c r="L14" s="16">
        <v>317</v>
      </c>
      <c r="M14" s="16">
        <v>51</v>
      </c>
      <c r="N14" s="16">
        <v>87</v>
      </c>
      <c r="O14" s="16">
        <v>116</v>
      </c>
      <c r="P14" s="16">
        <v>0</v>
      </c>
      <c r="Q14" s="16">
        <v>223</v>
      </c>
      <c r="R14" s="16">
        <v>1091</v>
      </c>
      <c r="S14" s="16">
        <v>90</v>
      </c>
      <c r="T14" s="16">
        <v>141</v>
      </c>
      <c r="U14" s="16">
        <v>554</v>
      </c>
      <c r="V14" s="16">
        <v>0</v>
      </c>
      <c r="W14" s="16">
        <v>422</v>
      </c>
      <c r="X14" s="16">
        <v>105</v>
      </c>
      <c r="Y14" s="16">
        <v>734</v>
      </c>
      <c r="Z14" s="16">
        <v>279</v>
      </c>
      <c r="AA14" s="16">
        <v>87</v>
      </c>
      <c r="AB14" s="16">
        <v>87</v>
      </c>
      <c r="AC14" s="16">
        <v>21</v>
      </c>
      <c r="AD14" s="16">
        <v>5092</v>
      </c>
      <c r="AE14" s="16">
        <v>2624</v>
      </c>
      <c r="AF14" s="16">
        <v>346</v>
      </c>
      <c r="AG14" s="16">
        <v>346</v>
      </c>
      <c r="AH14" s="16">
        <v>165</v>
      </c>
      <c r="AI14" s="16">
        <v>166</v>
      </c>
      <c r="AJ14" s="16">
        <v>29</v>
      </c>
      <c r="AK14" s="98">
        <v>121</v>
      </c>
      <c r="AL14" s="16">
        <v>43</v>
      </c>
      <c r="AM14" s="16">
        <v>65</v>
      </c>
      <c r="AN14" s="16">
        <v>286</v>
      </c>
      <c r="AO14" s="16">
        <v>1</v>
      </c>
      <c r="AP14" s="16">
        <v>0</v>
      </c>
      <c r="AQ14" s="16">
        <v>0</v>
      </c>
      <c r="AR14" s="16">
        <v>332</v>
      </c>
      <c r="AS14" s="16">
        <v>295</v>
      </c>
      <c r="AT14" s="16">
        <v>451</v>
      </c>
      <c r="AU14" s="16">
        <v>4103</v>
      </c>
      <c r="AV14" s="16">
        <v>170</v>
      </c>
      <c r="AW14" s="16">
        <v>32</v>
      </c>
      <c r="AX14" s="16">
        <v>552</v>
      </c>
      <c r="AY14" s="16">
        <v>37</v>
      </c>
      <c r="AZ14" s="16">
        <v>2</v>
      </c>
      <c r="BA14" s="16">
        <v>25</v>
      </c>
      <c r="BB14" s="16">
        <v>18</v>
      </c>
      <c r="BC14" s="16">
        <v>0</v>
      </c>
      <c r="BD14" s="16">
        <v>46</v>
      </c>
      <c r="BE14" s="16">
        <v>147</v>
      </c>
      <c r="BF14" s="16">
        <v>458</v>
      </c>
      <c r="BG14" s="16">
        <v>2691</v>
      </c>
      <c r="BH14" s="16">
        <v>65</v>
      </c>
      <c r="BI14" s="16">
        <v>137</v>
      </c>
      <c r="BJ14" s="16">
        <v>531</v>
      </c>
      <c r="BK14" s="16">
        <v>87</v>
      </c>
      <c r="BL14" s="16">
        <v>87</v>
      </c>
      <c r="BM14" s="16">
        <v>145</v>
      </c>
      <c r="BN14" s="16">
        <v>0</v>
      </c>
      <c r="BO14" s="16">
        <v>1397</v>
      </c>
    </row>
    <row r="15" spans="1:69" s="5" customFormat="1" ht="21.9" customHeight="1" x14ac:dyDescent="0.25">
      <c r="A15" s="125"/>
      <c r="B15" s="4"/>
      <c r="C15" s="47" t="s">
        <v>76</v>
      </c>
      <c r="D15" s="48"/>
      <c r="E15" s="16">
        <v>2000</v>
      </c>
      <c r="F15" s="26">
        <v>0</v>
      </c>
      <c r="G15" s="26">
        <v>0</v>
      </c>
      <c r="H15" s="26">
        <v>1</v>
      </c>
      <c r="I15" s="26">
        <v>0</v>
      </c>
      <c r="J15" s="26">
        <v>2</v>
      </c>
      <c r="K15" s="26">
        <v>0</v>
      </c>
      <c r="L15" s="26">
        <v>10</v>
      </c>
      <c r="M15" s="26">
        <v>0</v>
      </c>
      <c r="N15" s="26">
        <v>1</v>
      </c>
      <c r="O15" s="26">
        <v>0</v>
      </c>
      <c r="P15" s="26">
        <v>0</v>
      </c>
      <c r="Q15" s="26">
        <v>1</v>
      </c>
      <c r="R15" s="26">
        <v>5</v>
      </c>
      <c r="S15" s="26">
        <v>0</v>
      </c>
      <c r="T15" s="16">
        <v>6</v>
      </c>
      <c r="U15" s="16">
        <v>29</v>
      </c>
      <c r="V15" s="16">
        <v>0</v>
      </c>
      <c r="W15" s="16">
        <v>7</v>
      </c>
      <c r="X15" s="16">
        <v>2</v>
      </c>
      <c r="Y15" s="16">
        <v>14</v>
      </c>
      <c r="Z15" s="16">
        <v>24</v>
      </c>
      <c r="AA15" s="16">
        <v>0</v>
      </c>
      <c r="AB15" s="16">
        <v>3</v>
      </c>
      <c r="AC15" s="16">
        <v>0</v>
      </c>
      <c r="AD15" s="16">
        <v>51</v>
      </c>
      <c r="AE15" s="16">
        <v>41</v>
      </c>
      <c r="AF15" s="16">
        <v>4</v>
      </c>
      <c r="AG15" s="16">
        <v>12</v>
      </c>
      <c r="AH15" s="16">
        <v>0</v>
      </c>
      <c r="AI15" s="16">
        <v>12</v>
      </c>
      <c r="AJ15" s="16">
        <v>2</v>
      </c>
      <c r="AK15" s="98">
        <v>3</v>
      </c>
      <c r="AL15" s="16">
        <v>1</v>
      </c>
      <c r="AM15" s="16">
        <v>2</v>
      </c>
      <c r="AN15" s="16">
        <v>29</v>
      </c>
      <c r="AO15" s="26">
        <v>0</v>
      </c>
      <c r="AP15" s="26">
        <v>0</v>
      </c>
      <c r="AQ15" s="26">
        <v>0</v>
      </c>
      <c r="AR15" s="26">
        <v>30</v>
      </c>
      <c r="AS15" s="26">
        <v>41</v>
      </c>
      <c r="AT15" s="26">
        <v>25</v>
      </c>
      <c r="AU15" s="26">
        <v>22</v>
      </c>
      <c r="AV15" s="26">
        <v>2</v>
      </c>
      <c r="AW15" s="26">
        <v>1</v>
      </c>
      <c r="AX15" s="26">
        <v>9</v>
      </c>
      <c r="AY15" s="16">
        <v>2</v>
      </c>
      <c r="AZ15" s="16">
        <v>0</v>
      </c>
      <c r="BA15" s="16">
        <v>0</v>
      </c>
      <c r="BB15" s="16">
        <v>0</v>
      </c>
      <c r="BC15" s="16">
        <v>0</v>
      </c>
      <c r="BD15" s="16">
        <v>0</v>
      </c>
      <c r="BE15" s="16">
        <v>9</v>
      </c>
      <c r="BF15" s="16">
        <v>19</v>
      </c>
      <c r="BG15" s="16">
        <v>1255</v>
      </c>
      <c r="BH15" s="16">
        <v>5</v>
      </c>
      <c r="BI15" s="16">
        <v>10</v>
      </c>
      <c r="BJ15" s="16">
        <v>37</v>
      </c>
      <c r="BK15" s="16">
        <v>12</v>
      </c>
      <c r="BL15" s="16">
        <v>1</v>
      </c>
      <c r="BM15" s="16">
        <v>0</v>
      </c>
      <c r="BN15" s="16">
        <v>0</v>
      </c>
      <c r="BO15" s="16">
        <v>258</v>
      </c>
    </row>
    <row r="16" spans="1:69" s="5" customFormat="1" ht="21.9" customHeight="1" x14ac:dyDescent="0.25">
      <c r="A16" s="125" t="s">
        <v>283</v>
      </c>
      <c r="B16" s="4"/>
      <c r="C16" s="47" t="s">
        <v>75</v>
      </c>
      <c r="D16" s="48"/>
      <c r="E16" s="16">
        <v>84075</v>
      </c>
      <c r="F16" s="16">
        <v>2123</v>
      </c>
      <c r="G16" s="16">
        <v>1486</v>
      </c>
      <c r="H16" s="16">
        <v>1413</v>
      </c>
      <c r="I16" s="16">
        <v>1157</v>
      </c>
      <c r="J16" s="16">
        <v>669</v>
      </c>
      <c r="K16" s="16">
        <v>2964</v>
      </c>
      <c r="L16" s="16">
        <v>2104</v>
      </c>
      <c r="M16" s="16">
        <v>902</v>
      </c>
      <c r="N16" s="16">
        <v>700</v>
      </c>
      <c r="O16" s="16">
        <v>524</v>
      </c>
      <c r="P16" s="16">
        <v>145</v>
      </c>
      <c r="Q16" s="16">
        <v>1876</v>
      </c>
      <c r="R16" s="16">
        <v>1412</v>
      </c>
      <c r="S16" s="16">
        <v>741</v>
      </c>
      <c r="T16" s="16">
        <v>1330</v>
      </c>
      <c r="U16" s="16">
        <v>2494</v>
      </c>
      <c r="V16" s="16">
        <v>1507</v>
      </c>
      <c r="W16" s="16">
        <v>2744</v>
      </c>
      <c r="X16" s="16">
        <v>1445</v>
      </c>
      <c r="Y16" s="16">
        <v>2342</v>
      </c>
      <c r="Z16" s="16">
        <v>2363</v>
      </c>
      <c r="AA16" s="16">
        <v>639</v>
      </c>
      <c r="AB16" s="16">
        <v>1121</v>
      </c>
      <c r="AC16" s="16">
        <v>137</v>
      </c>
      <c r="AD16" s="16">
        <v>4953</v>
      </c>
      <c r="AE16" s="16">
        <v>4876</v>
      </c>
      <c r="AF16" s="16">
        <v>1360</v>
      </c>
      <c r="AG16" s="16">
        <v>2482</v>
      </c>
      <c r="AH16" s="16">
        <v>772</v>
      </c>
      <c r="AI16" s="16">
        <v>1666</v>
      </c>
      <c r="AJ16" s="16">
        <v>630</v>
      </c>
      <c r="AK16" s="98">
        <v>1394</v>
      </c>
      <c r="AL16" s="16">
        <v>1201</v>
      </c>
      <c r="AM16" s="16">
        <v>734</v>
      </c>
      <c r="AN16" s="16">
        <v>1965</v>
      </c>
      <c r="AO16" s="16">
        <v>423</v>
      </c>
      <c r="AP16" s="16">
        <v>589</v>
      </c>
      <c r="AQ16" s="16">
        <v>268</v>
      </c>
      <c r="AR16" s="16">
        <v>878</v>
      </c>
      <c r="AS16" s="16">
        <v>1660</v>
      </c>
      <c r="AT16" s="16">
        <v>3272</v>
      </c>
      <c r="AU16" s="16">
        <v>3209</v>
      </c>
      <c r="AV16" s="16">
        <v>1742</v>
      </c>
      <c r="AW16" s="16">
        <v>260</v>
      </c>
      <c r="AX16" s="16">
        <v>1186</v>
      </c>
      <c r="AY16" s="16">
        <v>312</v>
      </c>
      <c r="AZ16" s="16">
        <v>20</v>
      </c>
      <c r="BA16" s="16">
        <v>315</v>
      </c>
      <c r="BB16" s="16">
        <v>311</v>
      </c>
      <c r="BC16" s="16">
        <v>295</v>
      </c>
      <c r="BD16" s="16">
        <v>854</v>
      </c>
      <c r="BE16" s="16">
        <v>886</v>
      </c>
      <c r="BF16" s="16">
        <v>751</v>
      </c>
      <c r="BG16" s="16">
        <v>805</v>
      </c>
      <c r="BH16" s="16">
        <v>469</v>
      </c>
      <c r="BI16" s="16">
        <v>553</v>
      </c>
      <c r="BJ16" s="16">
        <v>1279</v>
      </c>
      <c r="BK16" s="16">
        <v>1635</v>
      </c>
      <c r="BL16" s="16">
        <v>1130</v>
      </c>
      <c r="BM16" s="16">
        <v>1187</v>
      </c>
      <c r="BN16" s="16">
        <v>249</v>
      </c>
      <c r="BO16" s="16">
        <v>3166</v>
      </c>
    </row>
    <row r="17" spans="1:67" s="5" customFormat="1" ht="21.9" customHeight="1" x14ac:dyDescent="0.25">
      <c r="A17" s="125"/>
      <c r="B17" s="4"/>
      <c r="C17" s="47" t="s">
        <v>141</v>
      </c>
      <c r="D17" s="48"/>
      <c r="E17" s="16">
        <v>1067</v>
      </c>
      <c r="F17" s="26">
        <v>0</v>
      </c>
      <c r="G17" s="26">
        <v>0</v>
      </c>
      <c r="H17" s="26">
        <v>0</v>
      </c>
      <c r="I17" s="26">
        <v>15</v>
      </c>
      <c r="J17" s="26">
        <v>0</v>
      </c>
      <c r="K17" s="26">
        <v>0</v>
      </c>
      <c r="L17" s="26">
        <v>7</v>
      </c>
      <c r="M17" s="26">
        <v>0</v>
      </c>
      <c r="N17" s="26">
        <v>0</v>
      </c>
      <c r="O17" s="26">
        <v>0</v>
      </c>
      <c r="P17" s="26">
        <v>0</v>
      </c>
      <c r="Q17" s="26">
        <v>5</v>
      </c>
      <c r="R17" s="26">
        <v>6</v>
      </c>
      <c r="S17" s="26">
        <v>0</v>
      </c>
      <c r="T17" s="16">
        <v>2</v>
      </c>
      <c r="U17" s="16">
        <v>72</v>
      </c>
      <c r="V17" s="16">
        <v>1</v>
      </c>
      <c r="W17" s="16">
        <v>17</v>
      </c>
      <c r="X17" s="16">
        <v>1</v>
      </c>
      <c r="Y17" s="16">
        <v>2</v>
      </c>
      <c r="Z17" s="16">
        <v>17</v>
      </c>
      <c r="AA17" s="16">
        <v>0</v>
      </c>
      <c r="AB17" s="16">
        <v>2</v>
      </c>
      <c r="AC17" s="16">
        <v>2</v>
      </c>
      <c r="AD17" s="16">
        <v>8</v>
      </c>
      <c r="AE17" s="16">
        <v>10</v>
      </c>
      <c r="AF17" s="16">
        <v>3</v>
      </c>
      <c r="AG17" s="16">
        <v>23</v>
      </c>
      <c r="AH17" s="16">
        <v>30</v>
      </c>
      <c r="AI17" s="16">
        <v>0</v>
      </c>
      <c r="AJ17" s="16">
        <v>0</v>
      </c>
      <c r="AK17" s="98">
        <v>15</v>
      </c>
      <c r="AL17" s="16">
        <v>0</v>
      </c>
      <c r="AM17" s="16">
        <v>0</v>
      </c>
      <c r="AN17" s="16">
        <v>41</v>
      </c>
      <c r="AO17" s="26">
        <v>0</v>
      </c>
      <c r="AP17" s="26">
        <v>1</v>
      </c>
      <c r="AQ17" s="26">
        <v>0</v>
      </c>
      <c r="AR17" s="26">
        <v>52</v>
      </c>
      <c r="AS17" s="26">
        <v>42</v>
      </c>
      <c r="AT17" s="26">
        <v>1</v>
      </c>
      <c r="AU17" s="26">
        <v>71</v>
      </c>
      <c r="AV17" s="26">
        <v>11</v>
      </c>
      <c r="AW17" s="26">
        <v>0</v>
      </c>
      <c r="AX17" s="26">
        <v>47</v>
      </c>
      <c r="AY17" s="16">
        <v>0</v>
      </c>
      <c r="AZ17" s="16">
        <v>0</v>
      </c>
      <c r="BA17" s="16">
        <v>2</v>
      </c>
      <c r="BB17" s="16">
        <v>1</v>
      </c>
      <c r="BC17" s="16">
        <v>0</v>
      </c>
      <c r="BD17" s="16">
        <v>0</v>
      </c>
      <c r="BE17" s="16">
        <v>3</v>
      </c>
      <c r="BF17" s="16">
        <v>7</v>
      </c>
      <c r="BG17" s="16">
        <v>446</v>
      </c>
      <c r="BH17" s="16">
        <v>0</v>
      </c>
      <c r="BI17" s="16">
        <v>1</v>
      </c>
      <c r="BJ17" s="16">
        <v>11</v>
      </c>
      <c r="BK17" s="16">
        <v>40</v>
      </c>
      <c r="BL17" s="16">
        <v>14</v>
      </c>
      <c r="BM17" s="16">
        <v>0</v>
      </c>
      <c r="BN17" s="16">
        <v>0</v>
      </c>
      <c r="BO17" s="16">
        <v>38</v>
      </c>
    </row>
    <row r="18" spans="1:67" s="5" customFormat="1" ht="21.9" customHeight="1" x14ac:dyDescent="0.25">
      <c r="A18" s="125" t="s">
        <v>77</v>
      </c>
      <c r="B18" s="4"/>
      <c r="C18" s="47" t="s">
        <v>142</v>
      </c>
      <c r="D18" s="48"/>
      <c r="E18" s="16">
        <v>31979</v>
      </c>
      <c r="F18" s="16">
        <v>1013</v>
      </c>
      <c r="G18" s="16">
        <v>879</v>
      </c>
      <c r="H18" s="16">
        <v>527</v>
      </c>
      <c r="I18" s="16">
        <v>582</v>
      </c>
      <c r="J18" s="16">
        <v>206</v>
      </c>
      <c r="K18" s="16">
        <v>1246</v>
      </c>
      <c r="L18" s="16">
        <v>772</v>
      </c>
      <c r="M18" s="16">
        <v>308</v>
      </c>
      <c r="N18" s="16">
        <v>228</v>
      </c>
      <c r="O18" s="16">
        <v>239</v>
      </c>
      <c r="P18" s="16">
        <v>15</v>
      </c>
      <c r="Q18" s="16">
        <v>574</v>
      </c>
      <c r="R18" s="16">
        <v>583</v>
      </c>
      <c r="S18" s="16">
        <v>313</v>
      </c>
      <c r="T18" s="16">
        <v>415</v>
      </c>
      <c r="U18" s="16">
        <v>839</v>
      </c>
      <c r="V18" s="16">
        <v>426</v>
      </c>
      <c r="W18" s="16">
        <v>776</v>
      </c>
      <c r="X18" s="16">
        <v>315</v>
      </c>
      <c r="Y18" s="16">
        <v>729</v>
      </c>
      <c r="Z18" s="16">
        <v>747</v>
      </c>
      <c r="AA18" s="16">
        <v>149</v>
      </c>
      <c r="AB18" s="16">
        <v>300</v>
      </c>
      <c r="AC18" s="16">
        <v>72</v>
      </c>
      <c r="AD18" s="16">
        <v>2181</v>
      </c>
      <c r="AE18" s="16">
        <v>911</v>
      </c>
      <c r="AF18" s="16">
        <v>263</v>
      </c>
      <c r="AG18" s="16">
        <v>785</v>
      </c>
      <c r="AH18" s="16">
        <v>445</v>
      </c>
      <c r="AI18" s="16">
        <v>738</v>
      </c>
      <c r="AJ18" s="16">
        <v>267</v>
      </c>
      <c r="AK18" s="98">
        <v>356</v>
      </c>
      <c r="AL18" s="16">
        <v>323</v>
      </c>
      <c r="AM18" s="16">
        <v>101</v>
      </c>
      <c r="AN18" s="16">
        <v>294</v>
      </c>
      <c r="AO18" s="16">
        <v>184</v>
      </c>
      <c r="AP18" s="16">
        <v>222</v>
      </c>
      <c r="AQ18" s="16">
        <v>110</v>
      </c>
      <c r="AR18" s="16">
        <v>407</v>
      </c>
      <c r="AS18" s="16">
        <v>90</v>
      </c>
      <c r="AT18" s="16">
        <v>487</v>
      </c>
      <c r="AU18" s="16">
        <v>1172</v>
      </c>
      <c r="AV18" s="16">
        <v>1828</v>
      </c>
      <c r="AW18" s="16">
        <v>380</v>
      </c>
      <c r="AX18" s="16">
        <v>546</v>
      </c>
      <c r="AY18" s="16">
        <v>495</v>
      </c>
      <c r="AZ18" s="16">
        <v>90</v>
      </c>
      <c r="BA18" s="16">
        <v>162</v>
      </c>
      <c r="BB18" s="16">
        <v>186</v>
      </c>
      <c r="BC18" s="16">
        <v>190</v>
      </c>
      <c r="BD18" s="16">
        <v>425</v>
      </c>
      <c r="BE18" s="16">
        <v>581</v>
      </c>
      <c r="BF18" s="16">
        <v>461</v>
      </c>
      <c r="BG18" s="16">
        <v>2193</v>
      </c>
      <c r="BH18" s="16">
        <v>244</v>
      </c>
      <c r="BI18" s="16">
        <v>452</v>
      </c>
      <c r="BJ18" s="16">
        <v>571</v>
      </c>
      <c r="BK18" s="16">
        <v>439</v>
      </c>
      <c r="BL18" s="16">
        <v>277</v>
      </c>
      <c r="BM18" s="16">
        <v>160</v>
      </c>
      <c r="BN18" s="16">
        <v>80</v>
      </c>
      <c r="BO18" s="16">
        <v>630</v>
      </c>
    </row>
    <row r="19" spans="1:67" s="5" customFormat="1" ht="21.9" customHeight="1" x14ac:dyDescent="0.25">
      <c r="A19" s="125"/>
      <c r="B19" s="4"/>
      <c r="C19" s="47" t="s">
        <v>76</v>
      </c>
      <c r="D19" s="48"/>
      <c r="E19" s="16">
        <v>2185</v>
      </c>
      <c r="F19" s="16">
        <v>0</v>
      </c>
      <c r="G19" s="16">
        <v>0</v>
      </c>
      <c r="H19" s="16">
        <v>0</v>
      </c>
      <c r="I19" s="16">
        <v>4</v>
      </c>
      <c r="J19" s="16">
        <v>1</v>
      </c>
      <c r="K19" s="16">
        <v>1</v>
      </c>
      <c r="L19" s="16">
        <v>6</v>
      </c>
      <c r="M19" s="16">
        <v>0</v>
      </c>
      <c r="N19" s="16">
        <v>0</v>
      </c>
      <c r="O19" s="16">
        <v>0</v>
      </c>
      <c r="P19" s="16">
        <v>0</v>
      </c>
      <c r="Q19" s="16">
        <v>6</v>
      </c>
      <c r="R19" s="16">
        <v>6</v>
      </c>
      <c r="S19" s="16">
        <v>1</v>
      </c>
      <c r="T19" s="16">
        <v>3</v>
      </c>
      <c r="U19" s="16">
        <v>21</v>
      </c>
      <c r="V19" s="16">
        <v>2</v>
      </c>
      <c r="W19" s="16">
        <v>10</v>
      </c>
      <c r="X19" s="16">
        <v>4</v>
      </c>
      <c r="Y19" s="16">
        <v>6</v>
      </c>
      <c r="Z19" s="16">
        <v>10</v>
      </c>
      <c r="AA19" s="16">
        <v>1</v>
      </c>
      <c r="AB19" s="16">
        <v>0</v>
      </c>
      <c r="AC19" s="16">
        <v>0</v>
      </c>
      <c r="AD19" s="16">
        <v>2</v>
      </c>
      <c r="AE19" s="16">
        <v>24</v>
      </c>
      <c r="AF19" s="16">
        <v>7</v>
      </c>
      <c r="AG19" s="16">
        <v>4</v>
      </c>
      <c r="AH19" s="16">
        <v>7</v>
      </c>
      <c r="AI19" s="16">
        <v>1</v>
      </c>
      <c r="AJ19" s="16">
        <v>0</v>
      </c>
      <c r="AK19" s="98">
        <v>14</v>
      </c>
      <c r="AL19" s="16">
        <v>6</v>
      </c>
      <c r="AM19" s="16">
        <v>1</v>
      </c>
      <c r="AN19" s="16">
        <v>14</v>
      </c>
      <c r="AO19" s="16">
        <v>0</v>
      </c>
      <c r="AP19" s="16">
        <v>1</v>
      </c>
      <c r="AQ19" s="16">
        <v>0</v>
      </c>
      <c r="AR19" s="16">
        <v>0</v>
      </c>
      <c r="AS19" s="16">
        <v>0</v>
      </c>
      <c r="AT19" s="16">
        <v>0</v>
      </c>
      <c r="AU19" s="16">
        <v>5</v>
      </c>
      <c r="AV19" s="16">
        <v>3</v>
      </c>
      <c r="AW19" s="16">
        <v>0</v>
      </c>
      <c r="AX19" s="16">
        <v>0</v>
      </c>
      <c r="AY19" s="16">
        <v>0</v>
      </c>
      <c r="AZ19" s="16">
        <v>0</v>
      </c>
      <c r="BA19" s="16">
        <v>0</v>
      </c>
      <c r="BB19" s="16">
        <v>0</v>
      </c>
      <c r="BC19" s="16">
        <v>0</v>
      </c>
      <c r="BD19" s="16">
        <v>0</v>
      </c>
      <c r="BE19" s="16">
        <v>1</v>
      </c>
      <c r="BF19" s="16">
        <v>10</v>
      </c>
      <c r="BG19" s="16">
        <v>1882</v>
      </c>
      <c r="BH19" s="16">
        <v>0</v>
      </c>
      <c r="BI19" s="16">
        <v>1</v>
      </c>
      <c r="BJ19" s="16">
        <v>8</v>
      </c>
      <c r="BK19" s="16">
        <v>1</v>
      </c>
      <c r="BL19" s="16">
        <v>1</v>
      </c>
      <c r="BM19" s="16">
        <v>0</v>
      </c>
      <c r="BN19" s="16">
        <v>0</v>
      </c>
      <c r="BO19" s="16">
        <v>110</v>
      </c>
    </row>
    <row r="20" spans="1:67" s="5" customFormat="1" ht="21.9" customHeight="1" x14ac:dyDescent="0.25">
      <c r="A20" s="125" t="s">
        <v>78</v>
      </c>
      <c r="B20" s="4"/>
      <c r="C20" s="47" t="s">
        <v>113</v>
      </c>
      <c r="D20" s="48"/>
      <c r="E20" s="16">
        <v>20608</v>
      </c>
      <c r="F20" s="16">
        <v>326</v>
      </c>
      <c r="G20" s="16">
        <v>114</v>
      </c>
      <c r="H20" s="16">
        <v>40</v>
      </c>
      <c r="I20" s="16">
        <v>134</v>
      </c>
      <c r="J20" s="16">
        <v>25</v>
      </c>
      <c r="K20" s="16">
        <v>566</v>
      </c>
      <c r="L20" s="16">
        <v>212</v>
      </c>
      <c r="M20" s="16">
        <v>44</v>
      </c>
      <c r="N20" s="16">
        <v>31</v>
      </c>
      <c r="O20" s="16">
        <v>45</v>
      </c>
      <c r="P20" s="16">
        <v>0</v>
      </c>
      <c r="Q20" s="16">
        <v>104</v>
      </c>
      <c r="R20" s="16">
        <v>348</v>
      </c>
      <c r="S20" s="16">
        <v>212</v>
      </c>
      <c r="T20" s="16">
        <v>464</v>
      </c>
      <c r="U20" s="16">
        <v>730</v>
      </c>
      <c r="V20" s="16">
        <v>41</v>
      </c>
      <c r="W20" s="16">
        <v>301</v>
      </c>
      <c r="X20" s="16">
        <v>145</v>
      </c>
      <c r="Y20" s="16">
        <v>376</v>
      </c>
      <c r="Z20" s="16">
        <v>807</v>
      </c>
      <c r="AA20" s="16">
        <v>26</v>
      </c>
      <c r="AB20" s="16">
        <v>91</v>
      </c>
      <c r="AC20" s="16">
        <v>33</v>
      </c>
      <c r="AD20" s="16">
        <v>4495</v>
      </c>
      <c r="AE20" s="16">
        <v>705</v>
      </c>
      <c r="AF20" s="16">
        <v>178</v>
      </c>
      <c r="AG20" s="16">
        <v>149</v>
      </c>
      <c r="AH20" s="16">
        <v>54</v>
      </c>
      <c r="AI20" s="16">
        <v>448</v>
      </c>
      <c r="AJ20" s="16">
        <v>7</v>
      </c>
      <c r="AK20" s="98">
        <v>151</v>
      </c>
      <c r="AL20" s="16">
        <v>74</v>
      </c>
      <c r="AM20" s="16">
        <v>27</v>
      </c>
      <c r="AN20" s="16">
        <v>415</v>
      </c>
      <c r="AO20" s="16">
        <v>128</v>
      </c>
      <c r="AP20" s="16">
        <v>19</v>
      </c>
      <c r="AQ20" s="16">
        <v>34</v>
      </c>
      <c r="AR20" s="16">
        <v>38</v>
      </c>
      <c r="AS20" s="16">
        <v>201</v>
      </c>
      <c r="AT20" s="16">
        <v>380</v>
      </c>
      <c r="AU20" s="16">
        <v>1664</v>
      </c>
      <c r="AV20" s="16">
        <v>493</v>
      </c>
      <c r="AW20" s="16">
        <v>1</v>
      </c>
      <c r="AX20" s="16">
        <v>443</v>
      </c>
      <c r="AY20" s="16">
        <v>36</v>
      </c>
      <c r="AZ20" s="16">
        <v>2</v>
      </c>
      <c r="BA20" s="16">
        <v>2</v>
      </c>
      <c r="BB20" s="16">
        <v>2</v>
      </c>
      <c r="BC20" s="16">
        <v>8</v>
      </c>
      <c r="BD20" s="16">
        <v>457</v>
      </c>
      <c r="BE20" s="16">
        <v>260</v>
      </c>
      <c r="BF20" s="16">
        <v>183</v>
      </c>
      <c r="BG20" s="16">
        <v>578</v>
      </c>
      <c r="BH20" s="16">
        <v>208</v>
      </c>
      <c r="BI20" s="16">
        <v>120</v>
      </c>
      <c r="BJ20" s="16">
        <v>1378</v>
      </c>
      <c r="BK20" s="16">
        <v>1086</v>
      </c>
      <c r="BL20" s="16">
        <v>486</v>
      </c>
      <c r="BM20" s="16">
        <v>145</v>
      </c>
      <c r="BN20" s="16">
        <v>12</v>
      </c>
      <c r="BO20" s="16">
        <v>326</v>
      </c>
    </row>
    <row r="21" spans="1:67" s="5" customFormat="1" ht="21.9" customHeight="1" x14ac:dyDescent="0.25">
      <c r="A21" s="125"/>
      <c r="B21" s="4"/>
      <c r="C21" s="47" t="s">
        <v>76</v>
      </c>
      <c r="D21" s="48"/>
      <c r="E21" s="16">
        <v>756</v>
      </c>
      <c r="F21" s="16">
        <v>0</v>
      </c>
      <c r="G21" s="16">
        <v>0</v>
      </c>
      <c r="H21" s="16">
        <v>0</v>
      </c>
      <c r="I21" s="16">
        <v>2</v>
      </c>
      <c r="J21" s="16">
        <v>0</v>
      </c>
      <c r="K21" s="16">
        <v>2</v>
      </c>
      <c r="L21" s="16">
        <v>10</v>
      </c>
      <c r="M21" s="16">
        <v>0</v>
      </c>
      <c r="N21" s="16">
        <v>0</v>
      </c>
      <c r="O21" s="16">
        <v>2</v>
      </c>
      <c r="P21" s="16">
        <v>0</v>
      </c>
      <c r="Q21" s="16">
        <v>2</v>
      </c>
      <c r="R21" s="16">
        <v>15</v>
      </c>
      <c r="S21" s="16">
        <v>2</v>
      </c>
      <c r="T21" s="16">
        <v>5</v>
      </c>
      <c r="U21" s="16">
        <v>25</v>
      </c>
      <c r="V21" s="16">
        <v>2</v>
      </c>
      <c r="W21" s="16">
        <v>6</v>
      </c>
      <c r="X21" s="16">
        <v>10</v>
      </c>
      <c r="Y21" s="16">
        <v>8</v>
      </c>
      <c r="Z21" s="16">
        <v>1</v>
      </c>
      <c r="AA21" s="16">
        <v>2</v>
      </c>
      <c r="AB21" s="16">
        <v>1</v>
      </c>
      <c r="AC21" s="16">
        <v>8</v>
      </c>
      <c r="AD21" s="16">
        <v>36</v>
      </c>
      <c r="AE21" s="16">
        <v>22</v>
      </c>
      <c r="AF21" s="16">
        <v>13</v>
      </c>
      <c r="AG21" s="16">
        <v>15</v>
      </c>
      <c r="AH21" s="16">
        <v>18</v>
      </c>
      <c r="AI21" s="16">
        <v>6</v>
      </c>
      <c r="AJ21" s="16">
        <v>0</v>
      </c>
      <c r="AK21" s="98">
        <v>17</v>
      </c>
      <c r="AL21" s="16">
        <v>0</v>
      </c>
      <c r="AM21" s="16">
        <v>0</v>
      </c>
      <c r="AN21" s="16">
        <v>29</v>
      </c>
      <c r="AO21" s="16">
        <v>0</v>
      </c>
      <c r="AP21" s="16">
        <v>0</v>
      </c>
      <c r="AQ21" s="16">
        <v>1</v>
      </c>
      <c r="AR21" s="16">
        <v>4</v>
      </c>
      <c r="AS21" s="16">
        <v>0</v>
      </c>
      <c r="AT21" s="16">
        <v>0</v>
      </c>
      <c r="AU21" s="16">
        <v>25</v>
      </c>
      <c r="AV21" s="16">
        <v>0</v>
      </c>
      <c r="AW21" s="16">
        <v>0</v>
      </c>
      <c r="AX21" s="16">
        <v>41</v>
      </c>
      <c r="AY21" s="16">
        <v>1</v>
      </c>
      <c r="AZ21" s="16">
        <v>2</v>
      </c>
      <c r="BA21" s="16">
        <v>0</v>
      </c>
      <c r="BB21" s="16">
        <v>0</v>
      </c>
      <c r="BC21" s="16">
        <v>0</v>
      </c>
      <c r="BD21" s="16">
        <v>0</v>
      </c>
      <c r="BE21" s="16">
        <v>6</v>
      </c>
      <c r="BF21" s="16">
        <v>10</v>
      </c>
      <c r="BG21" s="16">
        <v>381</v>
      </c>
      <c r="BH21" s="16">
        <v>1</v>
      </c>
      <c r="BI21" s="16">
        <v>0</v>
      </c>
      <c r="BJ21" s="16">
        <v>2</v>
      </c>
      <c r="BK21" s="16">
        <v>9</v>
      </c>
      <c r="BL21" s="16">
        <v>1</v>
      </c>
      <c r="BM21" s="16">
        <v>2</v>
      </c>
      <c r="BN21" s="16">
        <v>0</v>
      </c>
      <c r="BO21" s="16">
        <v>11</v>
      </c>
    </row>
    <row r="22" spans="1:67" s="5" customFormat="1" ht="21.9" customHeight="1" x14ac:dyDescent="0.25">
      <c r="A22" s="125" t="s">
        <v>79</v>
      </c>
      <c r="B22" s="4"/>
      <c r="C22" s="47" t="s">
        <v>132</v>
      </c>
      <c r="D22" s="48"/>
      <c r="E22" s="16">
        <v>13843</v>
      </c>
      <c r="F22" s="16">
        <v>281</v>
      </c>
      <c r="G22" s="16">
        <v>571</v>
      </c>
      <c r="H22" s="16">
        <v>268</v>
      </c>
      <c r="I22" s="16">
        <v>141</v>
      </c>
      <c r="J22" s="16">
        <v>1</v>
      </c>
      <c r="K22" s="16">
        <v>293</v>
      </c>
      <c r="L22" s="16">
        <v>116</v>
      </c>
      <c r="M22" s="16">
        <v>18</v>
      </c>
      <c r="N22" s="16">
        <v>20</v>
      </c>
      <c r="O22" s="16">
        <v>59</v>
      </c>
      <c r="P22" s="16">
        <v>0</v>
      </c>
      <c r="Q22" s="16">
        <v>26</v>
      </c>
      <c r="R22" s="16">
        <v>226</v>
      </c>
      <c r="S22" s="16">
        <v>126</v>
      </c>
      <c r="T22" s="16">
        <v>248</v>
      </c>
      <c r="U22" s="16">
        <v>588</v>
      </c>
      <c r="V22" s="16">
        <v>61</v>
      </c>
      <c r="W22" s="16">
        <v>408</v>
      </c>
      <c r="X22" s="16">
        <v>102</v>
      </c>
      <c r="Y22" s="16">
        <v>533</v>
      </c>
      <c r="Z22" s="16">
        <v>750</v>
      </c>
      <c r="AA22" s="16">
        <v>42</v>
      </c>
      <c r="AB22" s="16">
        <v>68</v>
      </c>
      <c r="AC22" s="16">
        <v>72</v>
      </c>
      <c r="AD22" s="16">
        <v>2611</v>
      </c>
      <c r="AE22" s="16">
        <v>208</v>
      </c>
      <c r="AF22" s="16">
        <v>185</v>
      </c>
      <c r="AG22" s="16">
        <v>167</v>
      </c>
      <c r="AH22" s="16">
        <v>23</v>
      </c>
      <c r="AI22" s="16">
        <v>130</v>
      </c>
      <c r="AJ22" s="16">
        <v>0</v>
      </c>
      <c r="AK22" s="98">
        <v>56</v>
      </c>
      <c r="AL22" s="16">
        <v>26</v>
      </c>
      <c r="AM22" s="16">
        <v>2</v>
      </c>
      <c r="AN22" s="16">
        <v>218</v>
      </c>
      <c r="AO22" s="16">
        <v>41</v>
      </c>
      <c r="AP22" s="16">
        <v>6</v>
      </c>
      <c r="AQ22" s="16">
        <v>0</v>
      </c>
      <c r="AR22" s="16">
        <v>254</v>
      </c>
      <c r="AS22" s="16">
        <v>206</v>
      </c>
      <c r="AT22" s="16">
        <v>119</v>
      </c>
      <c r="AU22" s="16">
        <v>1464</v>
      </c>
      <c r="AV22" s="16">
        <v>129</v>
      </c>
      <c r="AW22" s="16">
        <v>11</v>
      </c>
      <c r="AX22" s="16">
        <v>242</v>
      </c>
      <c r="AY22" s="16">
        <v>0</v>
      </c>
      <c r="AZ22" s="16">
        <v>0</v>
      </c>
      <c r="BA22" s="16">
        <v>0</v>
      </c>
      <c r="BB22" s="16">
        <v>14</v>
      </c>
      <c r="BC22" s="16">
        <v>0</v>
      </c>
      <c r="BD22" s="16">
        <v>94</v>
      </c>
      <c r="BE22" s="16">
        <v>62</v>
      </c>
      <c r="BF22" s="16">
        <v>48</v>
      </c>
      <c r="BG22" s="16">
        <v>0</v>
      </c>
      <c r="BH22" s="16">
        <v>29</v>
      </c>
      <c r="BI22" s="16">
        <v>101</v>
      </c>
      <c r="BJ22" s="16">
        <v>1040</v>
      </c>
      <c r="BK22" s="16">
        <v>724</v>
      </c>
      <c r="BL22" s="16">
        <v>367</v>
      </c>
      <c r="BM22" s="16">
        <v>225</v>
      </c>
      <c r="BN22" s="16">
        <v>0</v>
      </c>
      <c r="BO22" s="16">
        <v>23</v>
      </c>
    </row>
    <row r="23" spans="1:67" s="5" customFormat="1" ht="21.9" customHeight="1" x14ac:dyDescent="0.25">
      <c r="A23" s="125"/>
      <c r="B23" s="4"/>
      <c r="C23" s="47" t="s">
        <v>76</v>
      </c>
      <c r="D23" s="48"/>
      <c r="E23" s="16">
        <v>88</v>
      </c>
      <c r="F23" s="16">
        <v>0</v>
      </c>
      <c r="G23" s="16">
        <v>0</v>
      </c>
      <c r="H23" s="16">
        <v>0</v>
      </c>
      <c r="I23" s="16">
        <v>0</v>
      </c>
      <c r="J23" s="16">
        <v>0</v>
      </c>
      <c r="K23" s="16">
        <v>0</v>
      </c>
      <c r="L23" s="16">
        <v>0</v>
      </c>
      <c r="M23" s="16">
        <v>0</v>
      </c>
      <c r="N23" s="16">
        <v>0</v>
      </c>
      <c r="O23" s="16">
        <v>0</v>
      </c>
      <c r="P23" s="16">
        <v>0</v>
      </c>
      <c r="Q23" s="16">
        <v>0</v>
      </c>
      <c r="R23" s="16">
        <v>1</v>
      </c>
      <c r="S23" s="16">
        <v>0</v>
      </c>
      <c r="T23" s="16">
        <v>0</v>
      </c>
      <c r="U23" s="16">
        <v>4</v>
      </c>
      <c r="V23" s="16">
        <v>1</v>
      </c>
      <c r="W23" s="16">
        <v>1</v>
      </c>
      <c r="X23" s="16">
        <v>1</v>
      </c>
      <c r="Y23" s="16">
        <v>1</v>
      </c>
      <c r="Z23" s="16">
        <v>11</v>
      </c>
      <c r="AA23" s="16">
        <v>0</v>
      </c>
      <c r="AB23" s="16">
        <v>0</v>
      </c>
      <c r="AC23" s="16">
        <v>0</v>
      </c>
      <c r="AD23" s="16">
        <v>0</v>
      </c>
      <c r="AE23" s="16">
        <v>0</v>
      </c>
      <c r="AF23" s="16">
        <v>0</v>
      </c>
      <c r="AG23" s="16">
        <v>0</v>
      </c>
      <c r="AH23" s="16">
        <v>6</v>
      </c>
      <c r="AI23" s="16">
        <v>0</v>
      </c>
      <c r="AJ23" s="16">
        <v>0</v>
      </c>
      <c r="AK23" s="98">
        <v>0</v>
      </c>
      <c r="AL23" s="16">
        <v>0</v>
      </c>
      <c r="AM23" s="16">
        <v>0</v>
      </c>
      <c r="AN23" s="16">
        <v>1</v>
      </c>
      <c r="AO23" s="16">
        <v>0</v>
      </c>
      <c r="AP23" s="16">
        <v>0</v>
      </c>
      <c r="AQ23" s="16">
        <v>0</v>
      </c>
      <c r="AR23" s="16">
        <v>19</v>
      </c>
      <c r="AS23" s="16">
        <v>5</v>
      </c>
      <c r="AT23" s="16">
        <v>0</v>
      </c>
      <c r="AU23" s="16">
        <v>30</v>
      </c>
      <c r="AV23" s="16">
        <v>0</v>
      </c>
      <c r="AW23" s="16">
        <v>0</v>
      </c>
      <c r="AX23" s="16">
        <v>0</v>
      </c>
      <c r="AY23" s="16">
        <v>0</v>
      </c>
      <c r="AZ23" s="16">
        <v>0</v>
      </c>
      <c r="BA23" s="16">
        <v>0</v>
      </c>
      <c r="BB23" s="16">
        <v>0</v>
      </c>
      <c r="BC23" s="16">
        <v>0</v>
      </c>
      <c r="BD23" s="16">
        <v>0</v>
      </c>
      <c r="BE23" s="16">
        <v>1</v>
      </c>
      <c r="BF23" s="16">
        <v>0</v>
      </c>
      <c r="BG23" s="16">
        <v>0</v>
      </c>
      <c r="BH23" s="16">
        <v>0</v>
      </c>
      <c r="BI23" s="16">
        <v>3</v>
      </c>
      <c r="BJ23" s="16">
        <v>3</v>
      </c>
      <c r="BK23" s="16">
        <v>0</v>
      </c>
      <c r="BL23" s="16">
        <v>0</v>
      </c>
      <c r="BM23" s="16">
        <v>0</v>
      </c>
      <c r="BN23" s="16">
        <v>0</v>
      </c>
      <c r="BO23" s="16">
        <v>0</v>
      </c>
    </row>
    <row r="24" spans="1:67" s="5" customFormat="1" ht="21.9" customHeight="1" x14ac:dyDescent="0.25">
      <c r="A24" s="125" t="s">
        <v>80</v>
      </c>
      <c r="B24" s="4"/>
      <c r="C24" s="47" t="s">
        <v>75</v>
      </c>
      <c r="D24" s="48"/>
      <c r="E24" s="16">
        <v>16165</v>
      </c>
      <c r="F24" s="16">
        <v>303</v>
      </c>
      <c r="G24" s="16">
        <v>184</v>
      </c>
      <c r="H24" s="16">
        <v>205</v>
      </c>
      <c r="I24" s="16">
        <v>114</v>
      </c>
      <c r="J24" s="16">
        <v>8</v>
      </c>
      <c r="K24" s="16">
        <v>940</v>
      </c>
      <c r="L24" s="16">
        <v>251</v>
      </c>
      <c r="M24" s="16">
        <v>69</v>
      </c>
      <c r="N24" s="16">
        <v>25</v>
      </c>
      <c r="O24" s="16">
        <v>31</v>
      </c>
      <c r="P24" s="16">
        <v>0</v>
      </c>
      <c r="Q24" s="16">
        <v>124</v>
      </c>
      <c r="R24" s="16">
        <v>224</v>
      </c>
      <c r="S24" s="16">
        <v>204</v>
      </c>
      <c r="T24" s="16">
        <v>240</v>
      </c>
      <c r="U24" s="16">
        <v>472</v>
      </c>
      <c r="V24" s="16">
        <v>77</v>
      </c>
      <c r="W24" s="16">
        <v>139</v>
      </c>
      <c r="X24" s="16">
        <v>45</v>
      </c>
      <c r="Y24" s="16">
        <v>524</v>
      </c>
      <c r="Z24" s="16">
        <v>216</v>
      </c>
      <c r="AA24" s="16">
        <v>137</v>
      </c>
      <c r="AB24" s="16">
        <v>68</v>
      </c>
      <c r="AC24" s="16">
        <v>72</v>
      </c>
      <c r="AD24" s="16">
        <v>2871</v>
      </c>
      <c r="AE24" s="16">
        <v>750</v>
      </c>
      <c r="AF24" s="16">
        <v>209</v>
      </c>
      <c r="AG24" s="16">
        <v>324</v>
      </c>
      <c r="AH24" s="16">
        <v>149</v>
      </c>
      <c r="AI24" s="16">
        <v>243</v>
      </c>
      <c r="AJ24" s="16">
        <v>5</v>
      </c>
      <c r="AK24" s="98">
        <v>122</v>
      </c>
      <c r="AL24" s="16">
        <v>58</v>
      </c>
      <c r="AM24" s="16">
        <v>41</v>
      </c>
      <c r="AN24" s="16">
        <v>432</v>
      </c>
      <c r="AO24" s="16">
        <v>4</v>
      </c>
      <c r="AP24" s="16">
        <v>0</v>
      </c>
      <c r="AQ24" s="16">
        <v>30</v>
      </c>
      <c r="AR24" s="16">
        <v>157</v>
      </c>
      <c r="AS24" s="16">
        <v>51</v>
      </c>
      <c r="AT24" s="16">
        <v>231</v>
      </c>
      <c r="AU24" s="16">
        <v>1056</v>
      </c>
      <c r="AV24" s="16">
        <v>180</v>
      </c>
      <c r="AW24" s="16">
        <v>22</v>
      </c>
      <c r="AX24" s="16">
        <v>843</v>
      </c>
      <c r="AY24" s="16">
        <v>56</v>
      </c>
      <c r="AZ24" s="16">
        <v>13</v>
      </c>
      <c r="BA24" s="16">
        <v>9</v>
      </c>
      <c r="BB24" s="16">
        <v>0</v>
      </c>
      <c r="BC24" s="16">
        <v>33</v>
      </c>
      <c r="BD24" s="16">
        <v>270</v>
      </c>
      <c r="BE24" s="16">
        <v>248</v>
      </c>
      <c r="BF24" s="16">
        <v>817</v>
      </c>
      <c r="BG24" s="16">
        <v>1271</v>
      </c>
      <c r="BH24" s="16">
        <v>139</v>
      </c>
      <c r="BI24" s="16">
        <v>30</v>
      </c>
      <c r="BJ24" s="16">
        <v>216</v>
      </c>
      <c r="BK24" s="16">
        <v>52</v>
      </c>
      <c r="BL24" s="16">
        <v>266</v>
      </c>
      <c r="BM24" s="16">
        <v>86</v>
      </c>
      <c r="BN24" s="16">
        <v>9</v>
      </c>
      <c r="BO24" s="16">
        <v>200</v>
      </c>
    </row>
    <row r="25" spans="1:67" s="5" customFormat="1" ht="21.9" customHeight="1" x14ac:dyDescent="0.25">
      <c r="A25" s="125"/>
      <c r="B25" s="4"/>
      <c r="C25" s="47" t="s">
        <v>131</v>
      </c>
      <c r="D25" s="48"/>
      <c r="E25" s="16">
        <v>1243</v>
      </c>
      <c r="F25" s="16">
        <v>0</v>
      </c>
      <c r="G25" s="16">
        <v>1</v>
      </c>
      <c r="H25" s="16">
        <v>0</v>
      </c>
      <c r="I25" s="16">
        <v>4</v>
      </c>
      <c r="J25" s="16">
        <v>0</v>
      </c>
      <c r="K25" s="16">
        <v>1</v>
      </c>
      <c r="L25" s="16">
        <v>1</v>
      </c>
      <c r="M25" s="16">
        <v>0</v>
      </c>
      <c r="N25" s="16">
        <v>0</v>
      </c>
      <c r="O25" s="16">
        <v>1</v>
      </c>
      <c r="P25" s="16">
        <v>0</v>
      </c>
      <c r="Q25" s="16">
        <v>1</v>
      </c>
      <c r="R25" s="16">
        <v>7</v>
      </c>
      <c r="S25" s="16">
        <v>0</v>
      </c>
      <c r="T25" s="16">
        <v>2</v>
      </c>
      <c r="U25" s="16">
        <v>15</v>
      </c>
      <c r="V25" s="16">
        <v>0</v>
      </c>
      <c r="W25" s="16">
        <v>17</v>
      </c>
      <c r="X25" s="16">
        <v>0</v>
      </c>
      <c r="Y25" s="16">
        <v>6</v>
      </c>
      <c r="Z25" s="16">
        <v>5</v>
      </c>
      <c r="AA25" s="16">
        <v>0</v>
      </c>
      <c r="AB25" s="16">
        <v>1</v>
      </c>
      <c r="AC25" s="16">
        <v>2</v>
      </c>
      <c r="AD25" s="16">
        <v>11</v>
      </c>
      <c r="AE25" s="16">
        <v>17</v>
      </c>
      <c r="AF25" s="16">
        <v>3</v>
      </c>
      <c r="AG25" s="16">
        <v>23</v>
      </c>
      <c r="AH25" s="16">
        <v>13</v>
      </c>
      <c r="AI25" s="16">
        <v>0</v>
      </c>
      <c r="AJ25" s="16">
        <v>0</v>
      </c>
      <c r="AK25" s="98">
        <v>7</v>
      </c>
      <c r="AL25" s="16">
        <v>1</v>
      </c>
      <c r="AM25" s="16">
        <v>0</v>
      </c>
      <c r="AN25" s="16">
        <v>13</v>
      </c>
      <c r="AO25" s="16">
        <v>0</v>
      </c>
      <c r="AP25" s="16">
        <v>0</v>
      </c>
      <c r="AQ25" s="16">
        <v>0</v>
      </c>
      <c r="AR25" s="16">
        <v>10</v>
      </c>
      <c r="AS25" s="16">
        <v>2</v>
      </c>
      <c r="AT25" s="16">
        <v>0</v>
      </c>
      <c r="AU25" s="16">
        <v>18</v>
      </c>
      <c r="AV25" s="16">
        <v>0</v>
      </c>
      <c r="AW25" s="16">
        <v>2</v>
      </c>
      <c r="AX25" s="16">
        <v>6</v>
      </c>
      <c r="AY25" s="16">
        <v>1</v>
      </c>
      <c r="AZ25" s="16">
        <v>1</v>
      </c>
      <c r="BA25" s="16">
        <v>0</v>
      </c>
      <c r="BB25" s="16">
        <v>0</v>
      </c>
      <c r="BC25" s="16">
        <v>0</v>
      </c>
      <c r="BD25" s="16">
        <v>1</v>
      </c>
      <c r="BE25" s="16">
        <v>2</v>
      </c>
      <c r="BF25" s="16">
        <v>3</v>
      </c>
      <c r="BG25" s="16">
        <v>1035</v>
      </c>
      <c r="BH25" s="16">
        <v>0</v>
      </c>
      <c r="BI25" s="16">
        <v>2</v>
      </c>
      <c r="BJ25" s="16">
        <v>0</v>
      </c>
      <c r="BK25" s="16">
        <v>4</v>
      </c>
      <c r="BL25" s="16">
        <v>0</v>
      </c>
      <c r="BM25" s="16">
        <v>0</v>
      </c>
      <c r="BN25" s="16">
        <v>0</v>
      </c>
      <c r="BO25" s="16">
        <v>4</v>
      </c>
    </row>
    <row r="26" spans="1:67" s="5" customFormat="1" ht="21.9" customHeight="1" x14ac:dyDescent="0.25">
      <c r="A26" s="125" t="s">
        <v>284</v>
      </c>
      <c r="B26" s="4"/>
      <c r="C26" s="47" t="s">
        <v>120</v>
      </c>
      <c r="D26" s="48"/>
      <c r="E26" s="16">
        <v>83701</v>
      </c>
      <c r="F26" s="16">
        <v>1547</v>
      </c>
      <c r="G26" s="16">
        <v>1156</v>
      </c>
      <c r="H26" s="16">
        <v>1017</v>
      </c>
      <c r="I26" s="16">
        <v>936</v>
      </c>
      <c r="J26" s="16">
        <v>409</v>
      </c>
      <c r="K26" s="16">
        <v>4587</v>
      </c>
      <c r="L26" s="16">
        <v>1988</v>
      </c>
      <c r="M26" s="16">
        <v>748</v>
      </c>
      <c r="N26" s="16">
        <v>460</v>
      </c>
      <c r="O26" s="16">
        <v>492</v>
      </c>
      <c r="P26" s="16">
        <v>1</v>
      </c>
      <c r="Q26" s="16">
        <v>2198</v>
      </c>
      <c r="R26" s="16">
        <v>2076</v>
      </c>
      <c r="S26" s="16">
        <v>768</v>
      </c>
      <c r="T26" s="16">
        <v>1229</v>
      </c>
      <c r="U26" s="16">
        <v>2390</v>
      </c>
      <c r="V26" s="16">
        <v>1388</v>
      </c>
      <c r="W26" s="16">
        <v>1971</v>
      </c>
      <c r="X26" s="16">
        <v>828</v>
      </c>
      <c r="Y26" s="16">
        <v>902</v>
      </c>
      <c r="Z26" s="16">
        <v>1840</v>
      </c>
      <c r="AA26" s="16">
        <v>360</v>
      </c>
      <c r="AB26" s="16">
        <v>811</v>
      </c>
      <c r="AC26" s="16">
        <v>244</v>
      </c>
      <c r="AD26" s="16">
        <v>3414</v>
      </c>
      <c r="AE26" s="16">
        <v>2768</v>
      </c>
      <c r="AF26" s="16">
        <v>898</v>
      </c>
      <c r="AG26" s="16">
        <v>3300</v>
      </c>
      <c r="AH26" s="16">
        <v>1513</v>
      </c>
      <c r="AI26" s="16">
        <v>1685</v>
      </c>
      <c r="AJ26" s="16">
        <v>140</v>
      </c>
      <c r="AK26" s="98">
        <v>1492</v>
      </c>
      <c r="AL26" s="16">
        <v>146</v>
      </c>
      <c r="AM26" s="16">
        <v>858</v>
      </c>
      <c r="AN26" s="16">
        <v>1651</v>
      </c>
      <c r="AO26" s="16">
        <v>519</v>
      </c>
      <c r="AP26" s="16">
        <v>494</v>
      </c>
      <c r="AQ26" s="16">
        <v>5</v>
      </c>
      <c r="AR26" s="16">
        <v>553</v>
      </c>
      <c r="AS26" s="16">
        <v>338</v>
      </c>
      <c r="AT26" s="16">
        <v>1609</v>
      </c>
      <c r="AU26" s="16">
        <v>2505</v>
      </c>
      <c r="AV26" s="16">
        <v>2663</v>
      </c>
      <c r="AW26" s="16">
        <v>1075</v>
      </c>
      <c r="AX26" s="16">
        <v>1984</v>
      </c>
      <c r="AY26" s="16">
        <v>559</v>
      </c>
      <c r="AZ26" s="16">
        <v>0</v>
      </c>
      <c r="BA26" s="16">
        <v>406</v>
      </c>
      <c r="BB26" s="16">
        <v>966</v>
      </c>
      <c r="BC26" s="16">
        <v>347</v>
      </c>
      <c r="BD26" s="16">
        <v>889</v>
      </c>
      <c r="BE26" s="16">
        <v>1734</v>
      </c>
      <c r="BF26" s="16">
        <v>1037</v>
      </c>
      <c r="BG26" s="16">
        <v>9500</v>
      </c>
      <c r="BH26" s="16">
        <v>926</v>
      </c>
      <c r="BI26" s="16">
        <v>571</v>
      </c>
      <c r="BJ26" s="16">
        <v>963</v>
      </c>
      <c r="BK26" s="16">
        <v>1532</v>
      </c>
      <c r="BL26" s="16">
        <v>986</v>
      </c>
      <c r="BM26" s="16">
        <v>186</v>
      </c>
      <c r="BN26" s="16">
        <v>342</v>
      </c>
      <c r="BO26" s="16">
        <v>2801</v>
      </c>
    </row>
    <row r="27" spans="1:67" s="5" customFormat="1" ht="21.9" customHeight="1" x14ac:dyDescent="0.25">
      <c r="A27" s="125"/>
      <c r="B27" s="4"/>
      <c r="C27" s="47" t="s">
        <v>76</v>
      </c>
      <c r="D27" s="48"/>
      <c r="E27" s="16">
        <v>2777</v>
      </c>
      <c r="F27" s="16">
        <v>0</v>
      </c>
      <c r="G27" s="16">
        <v>0</v>
      </c>
      <c r="H27" s="16">
        <v>0</v>
      </c>
      <c r="I27" s="16">
        <v>1</v>
      </c>
      <c r="J27" s="16">
        <v>0</v>
      </c>
      <c r="K27" s="16">
        <v>9</v>
      </c>
      <c r="L27" s="16">
        <v>3</v>
      </c>
      <c r="M27" s="16">
        <v>0</v>
      </c>
      <c r="N27" s="16">
        <v>0</v>
      </c>
      <c r="O27" s="16">
        <v>0</v>
      </c>
      <c r="P27" s="16">
        <v>0</v>
      </c>
      <c r="Q27" s="16">
        <v>15</v>
      </c>
      <c r="R27" s="16">
        <v>3</v>
      </c>
      <c r="S27" s="16">
        <v>1</v>
      </c>
      <c r="T27" s="16">
        <v>8</v>
      </c>
      <c r="U27" s="16">
        <v>2</v>
      </c>
      <c r="V27" s="16">
        <v>2</v>
      </c>
      <c r="W27" s="16">
        <v>23</v>
      </c>
      <c r="X27" s="16">
        <v>0</v>
      </c>
      <c r="Y27" s="16">
        <v>0</v>
      </c>
      <c r="Z27" s="16">
        <v>5</v>
      </c>
      <c r="AA27" s="16">
        <v>0</v>
      </c>
      <c r="AB27" s="16">
        <v>1</v>
      </c>
      <c r="AC27" s="16">
        <v>3</v>
      </c>
      <c r="AD27" s="16">
        <v>4</v>
      </c>
      <c r="AE27" s="16">
        <v>8</v>
      </c>
      <c r="AF27" s="16">
        <v>1</v>
      </c>
      <c r="AG27" s="16">
        <v>34</v>
      </c>
      <c r="AH27" s="16">
        <v>12</v>
      </c>
      <c r="AI27" s="16">
        <v>4</v>
      </c>
      <c r="AJ27" s="16">
        <v>0</v>
      </c>
      <c r="AK27" s="98">
        <v>24</v>
      </c>
      <c r="AL27" s="16">
        <v>0</v>
      </c>
      <c r="AM27" s="16">
        <v>0</v>
      </c>
      <c r="AN27" s="16">
        <v>42</v>
      </c>
      <c r="AO27" s="16">
        <v>0</v>
      </c>
      <c r="AP27" s="16">
        <v>0</v>
      </c>
      <c r="AQ27" s="16">
        <v>0</v>
      </c>
      <c r="AR27" s="16">
        <v>1</v>
      </c>
      <c r="AS27" s="16">
        <v>0</v>
      </c>
      <c r="AT27" s="16">
        <v>0</v>
      </c>
      <c r="AU27" s="16">
        <v>10</v>
      </c>
      <c r="AV27" s="16">
        <v>38</v>
      </c>
      <c r="AW27" s="16">
        <v>0</v>
      </c>
      <c r="AX27" s="16">
        <v>7</v>
      </c>
      <c r="AY27" s="16">
        <v>1</v>
      </c>
      <c r="AZ27" s="16">
        <v>0</v>
      </c>
      <c r="BA27" s="16">
        <v>0</v>
      </c>
      <c r="BB27" s="16">
        <v>0</v>
      </c>
      <c r="BC27" s="16">
        <v>0</v>
      </c>
      <c r="BD27" s="16">
        <v>0</v>
      </c>
      <c r="BE27" s="16">
        <v>16</v>
      </c>
      <c r="BF27" s="16">
        <v>22</v>
      </c>
      <c r="BG27" s="16">
        <v>2009</v>
      </c>
      <c r="BH27" s="16">
        <v>0</v>
      </c>
      <c r="BI27" s="16">
        <v>9</v>
      </c>
      <c r="BJ27" s="16">
        <v>19</v>
      </c>
      <c r="BK27" s="16">
        <v>17</v>
      </c>
      <c r="BL27" s="16">
        <v>3</v>
      </c>
      <c r="BM27" s="16">
        <v>0</v>
      </c>
      <c r="BN27" s="16">
        <v>0</v>
      </c>
      <c r="BO27" s="16">
        <v>420</v>
      </c>
    </row>
    <row r="28" spans="1:67" s="5" customFormat="1" ht="21.9" customHeight="1" x14ac:dyDescent="0.25">
      <c r="A28" s="125" t="s">
        <v>189</v>
      </c>
      <c r="B28" s="4"/>
      <c r="C28" s="47" t="s">
        <v>75</v>
      </c>
      <c r="D28" s="48"/>
      <c r="E28" s="16">
        <v>30692</v>
      </c>
      <c r="F28" s="16">
        <v>930</v>
      </c>
      <c r="G28" s="16">
        <v>225</v>
      </c>
      <c r="H28" s="16">
        <v>21</v>
      </c>
      <c r="I28" s="16">
        <v>78</v>
      </c>
      <c r="J28" s="16">
        <v>11</v>
      </c>
      <c r="K28" s="16">
        <v>747</v>
      </c>
      <c r="L28" s="16">
        <v>409</v>
      </c>
      <c r="M28" s="16">
        <v>13</v>
      </c>
      <c r="N28" s="16">
        <v>16</v>
      </c>
      <c r="O28" s="16">
        <v>0</v>
      </c>
      <c r="P28" s="16">
        <v>0</v>
      </c>
      <c r="Q28" s="16">
        <v>38</v>
      </c>
      <c r="R28" s="16">
        <v>8</v>
      </c>
      <c r="S28" s="16">
        <v>88</v>
      </c>
      <c r="T28" s="16">
        <v>532</v>
      </c>
      <c r="U28" s="16">
        <v>380</v>
      </c>
      <c r="V28" s="16">
        <v>358</v>
      </c>
      <c r="W28" s="16">
        <v>174</v>
      </c>
      <c r="X28" s="16">
        <v>101</v>
      </c>
      <c r="Y28" s="16">
        <v>214</v>
      </c>
      <c r="Z28" s="16">
        <v>313</v>
      </c>
      <c r="AA28" s="16">
        <v>1332</v>
      </c>
      <c r="AB28" s="16">
        <v>13</v>
      </c>
      <c r="AC28" s="16">
        <v>10</v>
      </c>
      <c r="AD28" s="16">
        <v>4862</v>
      </c>
      <c r="AE28" s="16">
        <v>975</v>
      </c>
      <c r="AF28" s="16">
        <v>98</v>
      </c>
      <c r="AG28" s="16">
        <v>1026</v>
      </c>
      <c r="AH28" s="16">
        <v>275</v>
      </c>
      <c r="AI28" s="16">
        <v>742</v>
      </c>
      <c r="AJ28" s="16">
        <v>1</v>
      </c>
      <c r="AK28" s="98">
        <v>8</v>
      </c>
      <c r="AL28" s="16">
        <v>26</v>
      </c>
      <c r="AM28" s="16">
        <v>24</v>
      </c>
      <c r="AN28" s="16">
        <v>514</v>
      </c>
      <c r="AO28" s="16">
        <v>11</v>
      </c>
      <c r="AP28" s="16">
        <v>0</v>
      </c>
      <c r="AQ28" s="16">
        <v>15</v>
      </c>
      <c r="AR28" s="16">
        <v>854</v>
      </c>
      <c r="AS28" s="16">
        <v>155</v>
      </c>
      <c r="AT28" s="16">
        <v>1527</v>
      </c>
      <c r="AU28" s="16">
        <v>4567</v>
      </c>
      <c r="AV28" s="16">
        <v>1255</v>
      </c>
      <c r="AW28" s="16">
        <v>27</v>
      </c>
      <c r="AX28" s="16">
        <v>1652</v>
      </c>
      <c r="AY28" s="16">
        <v>48</v>
      </c>
      <c r="AZ28" s="16">
        <v>29</v>
      </c>
      <c r="BA28" s="16">
        <v>0</v>
      </c>
      <c r="BB28" s="16">
        <v>26</v>
      </c>
      <c r="BC28" s="16">
        <v>628</v>
      </c>
      <c r="BD28" s="16">
        <v>2109</v>
      </c>
      <c r="BE28" s="16">
        <v>875</v>
      </c>
      <c r="BF28" s="16">
        <v>199</v>
      </c>
      <c r="BG28" s="16">
        <v>2</v>
      </c>
      <c r="BH28" s="16">
        <v>197</v>
      </c>
      <c r="BI28" s="16">
        <v>509</v>
      </c>
      <c r="BJ28" s="16">
        <v>238</v>
      </c>
      <c r="BK28" s="16">
        <v>80</v>
      </c>
      <c r="BL28" s="16">
        <v>223</v>
      </c>
      <c r="BM28" s="16">
        <v>0</v>
      </c>
      <c r="BN28" s="16">
        <v>0</v>
      </c>
      <c r="BO28" s="16">
        <v>904</v>
      </c>
    </row>
    <row r="29" spans="1:67" s="5" customFormat="1" ht="21.9" customHeight="1" x14ac:dyDescent="0.25">
      <c r="A29" s="125"/>
      <c r="B29" s="4"/>
      <c r="C29" s="47" t="s">
        <v>76</v>
      </c>
      <c r="D29" s="48"/>
      <c r="E29" s="16">
        <v>152</v>
      </c>
      <c r="F29" s="16">
        <v>0</v>
      </c>
      <c r="G29" s="16">
        <v>0</v>
      </c>
      <c r="H29" s="16">
        <v>0</v>
      </c>
      <c r="I29" s="16">
        <v>0</v>
      </c>
      <c r="J29" s="16">
        <v>0</v>
      </c>
      <c r="K29" s="16">
        <v>0</v>
      </c>
      <c r="L29" s="16">
        <v>0</v>
      </c>
      <c r="M29" s="16">
        <v>0</v>
      </c>
      <c r="N29" s="16">
        <v>0</v>
      </c>
      <c r="O29" s="16">
        <v>0</v>
      </c>
      <c r="P29" s="16">
        <v>0</v>
      </c>
      <c r="Q29" s="16">
        <v>0</v>
      </c>
      <c r="R29" s="16">
        <v>1</v>
      </c>
      <c r="S29" s="16">
        <v>0</v>
      </c>
      <c r="T29" s="16">
        <v>0</v>
      </c>
      <c r="U29" s="16">
        <v>1</v>
      </c>
      <c r="V29" s="16">
        <v>0</v>
      </c>
      <c r="W29" s="16">
        <v>9</v>
      </c>
      <c r="X29" s="16">
        <v>0</v>
      </c>
      <c r="Y29" s="16">
        <v>0</v>
      </c>
      <c r="Z29" s="16">
        <v>0</v>
      </c>
      <c r="AA29" s="16">
        <v>0</v>
      </c>
      <c r="AB29" s="16">
        <v>0</v>
      </c>
      <c r="AC29" s="16">
        <v>0</v>
      </c>
      <c r="AD29" s="16">
        <v>0</v>
      </c>
      <c r="AE29" s="16">
        <v>0</v>
      </c>
      <c r="AF29" s="16">
        <v>0</v>
      </c>
      <c r="AG29" s="16">
        <v>2</v>
      </c>
      <c r="AH29" s="16">
        <v>3</v>
      </c>
      <c r="AI29" s="16">
        <v>0</v>
      </c>
      <c r="AJ29" s="16">
        <v>0</v>
      </c>
      <c r="AK29" s="98">
        <v>0</v>
      </c>
      <c r="AL29" s="16">
        <v>0</v>
      </c>
      <c r="AM29" s="16">
        <v>0</v>
      </c>
      <c r="AN29" s="16">
        <v>0</v>
      </c>
      <c r="AO29" s="16">
        <v>0</v>
      </c>
      <c r="AP29" s="16">
        <v>0</v>
      </c>
      <c r="AQ29" s="16">
        <v>0</v>
      </c>
      <c r="AR29" s="16">
        <v>8</v>
      </c>
      <c r="AS29" s="16">
        <v>0</v>
      </c>
      <c r="AT29" s="16">
        <v>0</v>
      </c>
      <c r="AU29" s="16">
        <v>1</v>
      </c>
      <c r="AV29" s="16">
        <v>117</v>
      </c>
      <c r="AW29" s="16">
        <v>0</v>
      </c>
      <c r="AX29" s="16">
        <v>1</v>
      </c>
      <c r="AY29" s="16">
        <v>0</v>
      </c>
      <c r="AZ29" s="16">
        <v>0</v>
      </c>
      <c r="BA29" s="16">
        <v>0</v>
      </c>
      <c r="BB29" s="16">
        <v>0</v>
      </c>
      <c r="BC29" s="16">
        <v>0</v>
      </c>
      <c r="BD29" s="16">
        <v>0</v>
      </c>
      <c r="BE29" s="16">
        <v>0</v>
      </c>
      <c r="BF29" s="16">
        <v>0</v>
      </c>
      <c r="BG29" s="16">
        <v>0</v>
      </c>
      <c r="BH29" s="16">
        <v>0</v>
      </c>
      <c r="BI29" s="16">
        <v>8</v>
      </c>
      <c r="BJ29" s="16">
        <v>1</v>
      </c>
      <c r="BK29" s="16">
        <v>0</v>
      </c>
      <c r="BL29" s="16">
        <v>0</v>
      </c>
      <c r="BM29" s="16">
        <v>0</v>
      </c>
      <c r="BN29" s="16">
        <v>0</v>
      </c>
      <c r="BO29" s="16">
        <v>0</v>
      </c>
    </row>
    <row r="30" spans="1:67" s="5" customFormat="1" ht="21.9" customHeight="1" x14ac:dyDescent="0.25">
      <c r="A30" s="125" t="s">
        <v>194</v>
      </c>
      <c r="B30" s="4"/>
      <c r="C30" s="47" t="s">
        <v>113</v>
      </c>
      <c r="D30" s="48"/>
      <c r="E30" s="16">
        <v>15151</v>
      </c>
      <c r="F30" s="16">
        <v>395</v>
      </c>
      <c r="G30" s="16">
        <v>121</v>
      </c>
      <c r="H30" s="16">
        <v>28</v>
      </c>
      <c r="I30" s="16">
        <v>146</v>
      </c>
      <c r="J30" s="16">
        <v>20</v>
      </c>
      <c r="K30" s="16">
        <v>433</v>
      </c>
      <c r="L30" s="16">
        <v>149</v>
      </c>
      <c r="M30" s="16">
        <v>63</v>
      </c>
      <c r="N30" s="16">
        <v>4</v>
      </c>
      <c r="O30" s="16">
        <v>25</v>
      </c>
      <c r="P30" s="16">
        <v>0</v>
      </c>
      <c r="Q30" s="16">
        <v>46</v>
      </c>
      <c r="R30" s="16">
        <v>152</v>
      </c>
      <c r="S30" s="16">
        <v>154</v>
      </c>
      <c r="T30" s="16">
        <v>176</v>
      </c>
      <c r="U30" s="16">
        <v>310</v>
      </c>
      <c r="V30" s="16">
        <v>120</v>
      </c>
      <c r="W30" s="16">
        <v>50</v>
      </c>
      <c r="X30" s="16">
        <v>48</v>
      </c>
      <c r="Y30" s="16">
        <v>643</v>
      </c>
      <c r="Z30" s="16">
        <v>78</v>
      </c>
      <c r="AA30" s="16">
        <v>42</v>
      </c>
      <c r="AB30" s="16">
        <v>60</v>
      </c>
      <c r="AC30" s="16">
        <v>63</v>
      </c>
      <c r="AD30" s="16">
        <v>2087</v>
      </c>
      <c r="AE30" s="16">
        <v>271</v>
      </c>
      <c r="AF30" s="16">
        <v>63</v>
      </c>
      <c r="AG30" s="16">
        <v>239</v>
      </c>
      <c r="AH30" s="16">
        <v>170</v>
      </c>
      <c r="AI30" s="16">
        <v>199</v>
      </c>
      <c r="AJ30" s="16">
        <v>5</v>
      </c>
      <c r="AK30" s="98">
        <v>95</v>
      </c>
      <c r="AL30" s="16">
        <v>31</v>
      </c>
      <c r="AM30" s="16">
        <v>7</v>
      </c>
      <c r="AN30" s="16">
        <v>598</v>
      </c>
      <c r="AO30" s="16">
        <v>0</v>
      </c>
      <c r="AP30" s="16">
        <v>0</v>
      </c>
      <c r="AQ30" s="16">
        <v>0</v>
      </c>
      <c r="AR30" s="16">
        <v>29</v>
      </c>
      <c r="AS30" s="16">
        <v>102</v>
      </c>
      <c r="AT30" s="16">
        <v>555</v>
      </c>
      <c r="AU30" s="16">
        <v>2030</v>
      </c>
      <c r="AV30" s="16">
        <v>278</v>
      </c>
      <c r="AW30" s="16">
        <v>59</v>
      </c>
      <c r="AX30" s="16">
        <v>397</v>
      </c>
      <c r="AY30" s="16">
        <v>165</v>
      </c>
      <c r="AZ30" s="16">
        <v>2</v>
      </c>
      <c r="BA30" s="16">
        <v>2</v>
      </c>
      <c r="BB30" s="16">
        <v>15</v>
      </c>
      <c r="BC30" s="16">
        <v>0</v>
      </c>
      <c r="BD30" s="16">
        <v>181</v>
      </c>
      <c r="BE30" s="16">
        <v>234</v>
      </c>
      <c r="BF30" s="16">
        <v>403</v>
      </c>
      <c r="BG30" s="16">
        <v>1821</v>
      </c>
      <c r="BH30" s="16">
        <v>4</v>
      </c>
      <c r="BI30" s="16">
        <v>74</v>
      </c>
      <c r="BJ30" s="16">
        <v>256</v>
      </c>
      <c r="BK30" s="16">
        <v>253</v>
      </c>
      <c r="BL30" s="16">
        <v>434</v>
      </c>
      <c r="BM30" s="16">
        <v>744</v>
      </c>
      <c r="BN30" s="16">
        <v>0</v>
      </c>
      <c r="BO30" s="16">
        <v>22</v>
      </c>
    </row>
    <row r="31" spans="1:67" s="5" customFormat="1" ht="21.9" customHeight="1" x14ac:dyDescent="0.25">
      <c r="A31" s="125"/>
      <c r="B31" s="4"/>
      <c r="C31" s="47" t="s">
        <v>76</v>
      </c>
      <c r="D31" s="48"/>
      <c r="E31" s="16">
        <v>587</v>
      </c>
      <c r="F31" s="26">
        <v>0</v>
      </c>
      <c r="G31" s="26">
        <v>0</v>
      </c>
      <c r="H31" s="26">
        <v>0</v>
      </c>
      <c r="I31" s="26">
        <v>0</v>
      </c>
      <c r="J31" s="26">
        <v>0</v>
      </c>
      <c r="K31" s="26">
        <v>0</v>
      </c>
      <c r="L31" s="26">
        <v>5</v>
      </c>
      <c r="M31" s="26">
        <v>2</v>
      </c>
      <c r="N31" s="26">
        <v>0</v>
      </c>
      <c r="O31" s="26">
        <v>0</v>
      </c>
      <c r="P31" s="26">
        <v>0</v>
      </c>
      <c r="Q31" s="26">
        <v>1</v>
      </c>
      <c r="R31" s="26">
        <v>2</v>
      </c>
      <c r="S31" s="26">
        <v>0</v>
      </c>
      <c r="T31" s="16">
        <v>0</v>
      </c>
      <c r="U31" s="16">
        <v>14</v>
      </c>
      <c r="V31" s="16">
        <v>3</v>
      </c>
      <c r="W31" s="16">
        <v>4</v>
      </c>
      <c r="X31" s="16">
        <v>3</v>
      </c>
      <c r="Y31" s="16">
        <v>9</v>
      </c>
      <c r="Z31" s="16">
        <v>1</v>
      </c>
      <c r="AA31" s="16">
        <v>0</v>
      </c>
      <c r="AB31" s="16">
        <v>3</v>
      </c>
      <c r="AC31" s="16">
        <v>0</v>
      </c>
      <c r="AD31" s="16">
        <v>3</v>
      </c>
      <c r="AE31" s="16">
        <v>27</v>
      </c>
      <c r="AF31" s="16">
        <v>1</v>
      </c>
      <c r="AG31" s="16">
        <v>4</v>
      </c>
      <c r="AH31" s="16">
        <v>25</v>
      </c>
      <c r="AI31" s="16">
        <v>1</v>
      </c>
      <c r="AJ31" s="16">
        <v>0</v>
      </c>
      <c r="AK31" s="98">
        <v>24</v>
      </c>
      <c r="AL31" s="16">
        <v>7</v>
      </c>
      <c r="AM31" s="16">
        <v>0</v>
      </c>
      <c r="AN31" s="16">
        <v>32</v>
      </c>
      <c r="AO31" s="26">
        <v>0</v>
      </c>
      <c r="AP31" s="26">
        <v>0</v>
      </c>
      <c r="AQ31" s="26">
        <v>0</v>
      </c>
      <c r="AR31" s="26">
        <v>2</v>
      </c>
      <c r="AS31" s="26">
        <v>17</v>
      </c>
      <c r="AT31" s="26">
        <v>0</v>
      </c>
      <c r="AU31" s="26">
        <v>6</v>
      </c>
      <c r="AV31" s="26">
        <v>0</v>
      </c>
      <c r="AW31" s="26">
        <v>0</v>
      </c>
      <c r="AX31" s="26">
        <v>4</v>
      </c>
      <c r="AY31" s="16">
        <v>0</v>
      </c>
      <c r="AZ31" s="16">
        <v>0</v>
      </c>
      <c r="BA31" s="16">
        <v>0</v>
      </c>
      <c r="BB31" s="16">
        <v>0</v>
      </c>
      <c r="BC31" s="16">
        <v>0</v>
      </c>
      <c r="BD31" s="16">
        <v>0</v>
      </c>
      <c r="BE31" s="16">
        <v>2</v>
      </c>
      <c r="BF31" s="16">
        <v>6</v>
      </c>
      <c r="BG31" s="16">
        <v>340</v>
      </c>
      <c r="BH31" s="16">
        <v>0</v>
      </c>
      <c r="BI31" s="16">
        <v>2</v>
      </c>
      <c r="BJ31" s="16">
        <v>2</v>
      </c>
      <c r="BK31" s="16">
        <v>1</v>
      </c>
      <c r="BL31" s="16">
        <v>9</v>
      </c>
      <c r="BM31" s="16">
        <v>0</v>
      </c>
      <c r="BN31" s="16">
        <v>0</v>
      </c>
      <c r="BO31" s="16">
        <v>25</v>
      </c>
    </row>
    <row r="32" spans="1:67" s="5" customFormat="1" ht="21.9" customHeight="1" x14ac:dyDescent="0.25">
      <c r="A32" s="125" t="s">
        <v>81</v>
      </c>
      <c r="C32" s="47" t="s">
        <v>132</v>
      </c>
      <c r="D32" s="48"/>
      <c r="E32" s="16">
        <v>22806</v>
      </c>
      <c r="F32" s="16">
        <v>189</v>
      </c>
      <c r="G32" s="16">
        <v>146</v>
      </c>
      <c r="H32" s="16">
        <v>186</v>
      </c>
      <c r="I32" s="16">
        <v>67</v>
      </c>
      <c r="J32" s="16">
        <v>9</v>
      </c>
      <c r="K32" s="16">
        <v>321</v>
      </c>
      <c r="L32" s="16">
        <v>282</v>
      </c>
      <c r="M32" s="16">
        <v>229</v>
      </c>
      <c r="N32" s="16">
        <v>43</v>
      </c>
      <c r="O32" s="16">
        <v>34</v>
      </c>
      <c r="P32" s="16">
        <v>0</v>
      </c>
      <c r="Q32" s="16">
        <v>33</v>
      </c>
      <c r="R32" s="16">
        <v>127</v>
      </c>
      <c r="S32" s="16">
        <v>113</v>
      </c>
      <c r="T32" s="16">
        <v>50</v>
      </c>
      <c r="U32" s="16">
        <v>537</v>
      </c>
      <c r="V32" s="16">
        <v>191</v>
      </c>
      <c r="W32" s="16">
        <v>383</v>
      </c>
      <c r="X32" s="16">
        <v>89</v>
      </c>
      <c r="Y32" s="16">
        <v>671</v>
      </c>
      <c r="Z32" s="16">
        <v>856</v>
      </c>
      <c r="AA32" s="16">
        <v>162</v>
      </c>
      <c r="AB32" s="16">
        <v>110</v>
      </c>
      <c r="AC32" s="16">
        <v>33</v>
      </c>
      <c r="AD32" s="16">
        <v>5141</v>
      </c>
      <c r="AE32" s="16">
        <v>1841</v>
      </c>
      <c r="AF32" s="16">
        <v>267</v>
      </c>
      <c r="AG32" s="16">
        <v>152</v>
      </c>
      <c r="AH32" s="16">
        <v>302</v>
      </c>
      <c r="AI32" s="16">
        <v>233</v>
      </c>
      <c r="AJ32" s="16">
        <v>1</v>
      </c>
      <c r="AK32" s="98">
        <v>116</v>
      </c>
      <c r="AL32" s="16">
        <v>31</v>
      </c>
      <c r="AM32" s="16">
        <v>89</v>
      </c>
      <c r="AN32" s="16">
        <v>793</v>
      </c>
      <c r="AO32" s="16">
        <v>9</v>
      </c>
      <c r="AP32" s="16">
        <v>31</v>
      </c>
      <c r="AQ32" s="16">
        <v>12</v>
      </c>
      <c r="AR32" s="16">
        <v>78</v>
      </c>
      <c r="AS32" s="16">
        <v>113</v>
      </c>
      <c r="AT32" s="16">
        <v>601</v>
      </c>
      <c r="AU32" s="16">
        <v>1292</v>
      </c>
      <c r="AV32" s="16">
        <v>342</v>
      </c>
      <c r="AW32" s="16">
        <v>5</v>
      </c>
      <c r="AX32" s="16">
        <v>148</v>
      </c>
      <c r="AY32" s="16">
        <v>0</v>
      </c>
      <c r="AZ32" s="16">
        <v>0</v>
      </c>
      <c r="BA32" s="16">
        <v>0</v>
      </c>
      <c r="BB32" s="16">
        <v>0</v>
      </c>
      <c r="BC32" s="16">
        <v>0</v>
      </c>
      <c r="BD32" s="16">
        <v>47</v>
      </c>
      <c r="BE32" s="16">
        <v>160</v>
      </c>
      <c r="BF32" s="16">
        <v>206</v>
      </c>
      <c r="BG32" s="16">
        <v>1284</v>
      </c>
      <c r="BH32" s="16">
        <v>254</v>
      </c>
      <c r="BI32" s="16">
        <v>394</v>
      </c>
      <c r="BJ32" s="16">
        <v>1472</v>
      </c>
      <c r="BK32" s="16">
        <v>1051</v>
      </c>
      <c r="BL32" s="16">
        <v>998</v>
      </c>
      <c r="BM32" s="16">
        <v>18</v>
      </c>
      <c r="BN32" s="16">
        <v>0</v>
      </c>
      <c r="BO32" s="16">
        <v>464</v>
      </c>
    </row>
    <row r="33" spans="1:67" s="5" customFormat="1" ht="21.9" customHeight="1" x14ac:dyDescent="0.25">
      <c r="A33" s="125"/>
      <c r="C33" s="47" t="s">
        <v>76</v>
      </c>
      <c r="D33" s="48"/>
      <c r="E33" s="16">
        <v>1365</v>
      </c>
      <c r="F33" s="26">
        <v>0</v>
      </c>
      <c r="G33" s="26">
        <v>0</v>
      </c>
      <c r="H33" s="26">
        <v>0</v>
      </c>
      <c r="I33" s="26">
        <v>0</v>
      </c>
      <c r="J33" s="26">
        <v>0</v>
      </c>
      <c r="K33" s="26">
        <v>0</v>
      </c>
      <c r="L33" s="26">
        <v>11</v>
      </c>
      <c r="M33" s="26">
        <v>1</v>
      </c>
      <c r="N33" s="26">
        <v>0</v>
      </c>
      <c r="O33" s="26">
        <v>0</v>
      </c>
      <c r="P33" s="26">
        <v>0</v>
      </c>
      <c r="Q33" s="26">
        <v>0</v>
      </c>
      <c r="R33" s="26">
        <v>23</v>
      </c>
      <c r="S33" s="26">
        <v>0</v>
      </c>
      <c r="T33" s="16">
        <v>0</v>
      </c>
      <c r="U33" s="16">
        <v>14</v>
      </c>
      <c r="V33" s="16">
        <v>3</v>
      </c>
      <c r="W33" s="16">
        <v>5</v>
      </c>
      <c r="X33" s="16">
        <v>1</v>
      </c>
      <c r="Y33" s="16">
        <v>5</v>
      </c>
      <c r="Z33" s="16">
        <v>14</v>
      </c>
      <c r="AA33" s="16">
        <v>0</v>
      </c>
      <c r="AB33" s="16">
        <v>3</v>
      </c>
      <c r="AC33" s="16">
        <v>4</v>
      </c>
      <c r="AD33" s="16">
        <v>16</v>
      </c>
      <c r="AE33" s="16">
        <v>30</v>
      </c>
      <c r="AF33" s="16">
        <v>2</v>
      </c>
      <c r="AG33" s="16">
        <v>11</v>
      </c>
      <c r="AH33" s="16">
        <v>27</v>
      </c>
      <c r="AI33" s="16">
        <v>0</v>
      </c>
      <c r="AJ33" s="16">
        <v>0</v>
      </c>
      <c r="AK33" s="98">
        <v>7</v>
      </c>
      <c r="AL33" s="16">
        <v>4</v>
      </c>
      <c r="AM33" s="16">
        <v>0</v>
      </c>
      <c r="AN33" s="16">
        <v>22</v>
      </c>
      <c r="AO33" s="26">
        <v>0</v>
      </c>
      <c r="AP33" s="26">
        <v>0</v>
      </c>
      <c r="AQ33" s="26">
        <v>0</v>
      </c>
      <c r="AR33" s="26">
        <v>10</v>
      </c>
      <c r="AS33" s="26">
        <v>2</v>
      </c>
      <c r="AT33" s="26">
        <v>0</v>
      </c>
      <c r="AU33" s="26">
        <v>12</v>
      </c>
      <c r="AV33" s="26">
        <v>1</v>
      </c>
      <c r="AW33" s="26">
        <v>2</v>
      </c>
      <c r="AX33" s="26">
        <v>12</v>
      </c>
      <c r="AY33" s="16">
        <v>0</v>
      </c>
      <c r="AZ33" s="16">
        <v>0</v>
      </c>
      <c r="BA33" s="16">
        <v>0</v>
      </c>
      <c r="BB33" s="16">
        <v>0</v>
      </c>
      <c r="BC33" s="16">
        <v>0</v>
      </c>
      <c r="BD33" s="16">
        <v>0</v>
      </c>
      <c r="BE33" s="16">
        <v>2</v>
      </c>
      <c r="BF33" s="16">
        <v>4</v>
      </c>
      <c r="BG33" s="16">
        <v>1064</v>
      </c>
      <c r="BH33" s="16">
        <v>0</v>
      </c>
      <c r="BI33" s="16">
        <v>13</v>
      </c>
      <c r="BJ33" s="16">
        <v>11</v>
      </c>
      <c r="BK33" s="16">
        <v>15</v>
      </c>
      <c r="BL33" s="16">
        <v>1</v>
      </c>
      <c r="BM33" s="16">
        <v>0</v>
      </c>
      <c r="BN33" s="16">
        <v>0</v>
      </c>
      <c r="BO33" s="16">
        <v>13</v>
      </c>
    </row>
    <row r="34" spans="1:67" s="5" customFormat="1" ht="21.9" customHeight="1" x14ac:dyDescent="0.25">
      <c r="A34" s="125" t="s">
        <v>247</v>
      </c>
      <c r="B34" s="4"/>
      <c r="C34" s="47" t="s">
        <v>75</v>
      </c>
      <c r="D34" s="48"/>
      <c r="E34" s="16">
        <v>93120</v>
      </c>
      <c r="F34" s="16">
        <v>2102</v>
      </c>
      <c r="G34" s="16">
        <v>1863</v>
      </c>
      <c r="H34" s="16">
        <v>706</v>
      </c>
      <c r="I34" s="16">
        <v>1439</v>
      </c>
      <c r="J34" s="16">
        <v>8</v>
      </c>
      <c r="K34" s="16">
        <v>502</v>
      </c>
      <c r="L34" s="16">
        <v>547</v>
      </c>
      <c r="M34" s="16">
        <v>1427</v>
      </c>
      <c r="N34" s="16">
        <v>166</v>
      </c>
      <c r="O34" s="16">
        <v>157</v>
      </c>
      <c r="P34" s="16">
        <v>0</v>
      </c>
      <c r="Q34" s="16">
        <v>177</v>
      </c>
      <c r="R34" s="16">
        <v>369</v>
      </c>
      <c r="S34" s="16">
        <v>1445</v>
      </c>
      <c r="T34" s="16">
        <v>207</v>
      </c>
      <c r="U34" s="16">
        <v>2313</v>
      </c>
      <c r="V34" s="16">
        <v>1452</v>
      </c>
      <c r="W34" s="16">
        <v>509</v>
      </c>
      <c r="X34" s="16">
        <v>172</v>
      </c>
      <c r="Y34" s="16">
        <v>3201</v>
      </c>
      <c r="Z34" s="16">
        <v>735</v>
      </c>
      <c r="AA34" s="16">
        <v>466</v>
      </c>
      <c r="AB34" s="16">
        <v>1770</v>
      </c>
      <c r="AC34" s="16">
        <v>320</v>
      </c>
      <c r="AD34" s="16">
        <v>10713</v>
      </c>
      <c r="AE34" s="16">
        <v>8880</v>
      </c>
      <c r="AF34" s="16">
        <v>1184</v>
      </c>
      <c r="AG34" s="16">
        <v>375</v>
      </c>
      <c r="AH34" s="16">
        <v>478</v>
      </c>
      <c r="AI34" s="16">
        <v>1519</v>
      </c>
      <c r="AJ34" s="16">
        <v>65</v>
      </c>
      <c r="AK34" s="98">
        <v>71</v>
      </c>
      <c r="AL34" s="16">
        <v>383</v>
      </c>
      <c r="AM34" s="16">
        <v>635</v>
      </c>
      <c r="AN34" s="16">
        <v>3439</v>
      </c>
      <c r="AO34" s="16">
        <v>262</v>
      </c>
      <c r="AP34" s="16">
        <v>82</v>
      </c>
      <c r="AQ34" s="16">
        <v>20</v>
      </c>
      <c r="AR34" s="16">
        <v>728</v>
      </c>
      <c r="AS34" s="16">
        <v>1701</v>
      </c>
      <c r="AT34" s="16">
        <v>8657</v>
      </c>
      <c r="AU34" s="16">
        <v>14477</v>
      </c>
      <c r="AV34" s="16">
        <v>4350</v>
      </c>
      <c r="AW34" s="16">
        <v>38</v>
      </c>
      <c r="AX34" s="16">
        <v>1837</v>
      </c>
      <c r="AY34" s="16">
        <v>0</v>
      </c>
      <c r="AZ34" s="16">
        <v>0</v>
      </c>
      <c r="BA34" s="16">
        <v>5</v>
      </c>
      <c r="BB34" s="16">
        <v>1</v>
      </c>
      <c r="BC34" s="16">
        <v>2</v>
      </c>
      <c r="BD34" s="16">
        <v>1802</v>
      </c>
      <c r="BE34" s="16">
        <v>1919</v>
      </c>
      <c r="BF34" s="16">
        <v>386</v>
      </c>
      <c r="BG34" s="16">
        <v>196</v>
      </c>
      <c r="BH34" s="16">
        <v>720</v>
      </c>
      <c r="BI34" s="16">
        <v>391</v>
      </c>
      <c r="BJ34" s="16">
        <v>898</v>
      </c>
      <c r="BK34" s="16">
        <v>498</v>
      </c>
      <c r="BL34" s="16">
        <v>3043</v>
      </c>
      <c r="BM34" s="16">
        <v>1184</v>
      </c>
      <c r="BN34" s="16">
        <v>2</v>
      </c>
      <c r="BO34" s="16">
        <v>126</v>
      </c>
    </row>
    <row r="35" spans="1:67" s="5" customFormat="1" ht="21.9" customHeight="1" x14ac:dyDescent="0.25">
      <c r="A35" s="125"/>
      <c r="B35" s="4"/>
      <c r="C35" s="47" t="s">
        <v>76</v>
      </c>
      <c r="D35" s="48"/>
      <c r="E35" s="16">
        <v>63</v>
      </c>
      <c r="F35" s="26">
        <v>0</v>
      </c>
      <c r="G35" s="26">
        <v>0</v>
      </c>
      <c r="H35" s="26">
        <v>0</v>
      </c>
      <c r="I35" s="26">
        <v>0</v>
      </c>
      <c r="J35" s="26">
        <v>0</v>
      </c>
      <c r="K35" s="26">
        <v>0</v>
      </c>
      <c r="L35" s="26">
        <v>0</v>
      </c>
      <c r="M35" s="26">
        <v>1</v>
      </c>
      <c r="N35" s="26">
        <v>0</v>
      </c>
      <c r="O35" s="26">
        <v>0</v>
      </c>
      <c r="P35" s="26">
        <v>0</v>
      </c>
      <c r="Q35" s="26">
        <v>0</v>
      </c>
      <c r="R35" s="26">
        <v>0</v>
      </c>
      <c r="S35" s="26">
        <v>0</v>
      </c>
      <c r="T35" s="16">
        <v>0</v>
      </c>
      <c r="U35" s="16">
        <v>19</v>
      </c>
      <c r="V35" s="16">
        <v>1</v>
      </c>
      <c r="W35" s="16">
        <v>2</v>
      </c>
      <c r="X35" s="16">
        <v>0</v>
      </c>
      <c r="Y35" s="16">
        <v>0</v>
      </c>
      <c r="Z35" s="16">
        <v>3</v>
      </c>
      <c r="AA35" s="16">
        <v>0</v>
      </c>
      <c r="AB35" s="16">
        <v>2</v>
      </c>
      <c r="AC35" s="16">
        <v>5</v>
      </c>
      <c r="AD35" s="16">
        <v>3</v>
      </c>
      <c r="AE35" s="16">
        <v>4</v>
      </c>
      <c r="AF35" s="16">
        <v>1</v>
      </c>
      <c r="AG35" s="16">
        <v>6</v>
      </c>
      <c r="AH35" s="16">
        <v>0</v>
      </c>
      <c r="AI35" s="16">
        <v>0</v>
      </c>
      <c r="AJ35" s="16">
        <v>0</v>
      </c>
      <c r="AK35" s="98">
        <v>1</v>
      </c>
      <c r="AL35" s="16">
        <v>1</v>
      </c>
      <c r="AM35" s="16">
        <v>0</v>
      </c>
      <c r="AN35" s="16">
        <v>4</v>
      </c>
      <c r="AO35" s="26">
        <v>0</v>
      </c>
      <c r="AP35" s="26">
        <v>0</v>
      </c>
      <c r="AQ35" s="26">
        <v>0</v>
      </c>
      <c r="AR35" s="26">
        <v>2</v>
      </c>
      <c r="AS35" s="26">
        <v>0</v>
      </c>
      <c r="AT35" s="26">
        <v>1</v>
      </c>
      <c r="AU35" s="26">
        <v>1</v>
      </c>
      <c r="AV35" s="26">
        <v>6</v>
      </c>
      <c r="AW35" s="26">
        <v>0</v>
      </c>
      <c r="AX35" s="26">
        <v>0</v>
      </c>
      <c r="AY35" s="26">
        <v>0</v>
      </c>
      <c r="AZ35" s="26">
        <v>0</v>
      </c>
      <c r="BA35" s="26">
        <v>0</v>
      </c>
      <c r="BB35" s="26">
        <v>0</v>
      </c>
      <c r="BC35" s="16">
        <v>0</v>
      </c>
      <c r="BD35" s="16">
        <v>0</v>
      </c>
      <c r="BE35" s="16">
        <v>0</v>
      </c>
      <c r="BF35" s="16">
        <v>0</v>
      </c>
      <c r="BG35" s="16">
        <v>0</v>
      </c>
      <c r="BH35" s="16">
        <v>0</v>
      </c>
      <c r="BI35" s="16">
        <v>0</v>
      </c>
      <c r="BJ35" s="16">
        <v>0</v>
      </c>
      <c r="BK35" s="16">
        <v>0</v>
      </c>
      <c r="BL35" s="16">
        <v>0</v>
      </c>
      <c r="BM35" s="16">
        <v>0</v>
      </c>
      <c r="BN35" s="16">
        <v>0</v>
      </c>
      <c r="BO35" s="16">
        <v>0</v>
      </c>
    </row>
    <row r="36" spans="1:67" s="5" customFormat="1" ht="21.9" customHeight="1" x14ac:dyDescent="0.25">
      <c r="A36" s="125" t="s">
        <v>215</v>
      </c>
      <c r="B36" s="4"/>
      <c r="C36" s="47" t="s">
        <v>75</v>
      </c>
      <c r="D36" s="48"/>
      <c r="E36" s="16">
        <v>10414</v>
      </c>
      <c r="F36" s="16">
        <v>743</v>
      </c>
      <c r="G36" s="16">
        <v>57</v>
      </c>
      <c r="H36" s="16">
        <v>9</v>
      </c>
      <c r="I36" s="16">
        <v>710</v>
      </c>
      <c r="J36" s="16">
        <v>0</v>
      </c>
      <c r="K36" s="16">
        <v>80</v>
      </c>
      <c r="L36" s="16">
        <v>10</v>
      </c>
      <c r="M36" s="16">
        <v>25</v>
      </c>
      <c r="N36" s="16">
        <v>4</v>
      </c>
      <c r="O36" s="16">
        <v>0</v>
      </c>
      <c r="P36" s="16">
        <v>0</v>
      </c>
      <c r="Q36" s="16">
        <v>37</v>
      </c>
      <c r="R36" s="16">
        <v>36</v>
      </c>
      <c r="S36" s="16">
        <v>3</v>
      </c>
      <c r="T36" s="16">
        <v>43</v>
      </c>
      <c r="U36" s="16">
        <v>846</v>
      </c>
      <c r="V36" s="16">
        <v>20</v>
      </c>
      <c r="W36" s="16">
        <v>31</v>
      </c>
      <c r="X36" s="16">
        <v>88</v>
      </c>
      <c r="Y36" s="16">
        <v>108</v>
      </c>
      <c r="Z36" s="16">
        <v>173</v>
      </c>
      <c r="AA36" s="16">
        <v>148</v>
      </c>
      <c r="AB36" s="16">
        <v>95</v>
      </c>
      <c r="AC36" s="16">
        <v>37</v>
      </c>
      <c r="AD36" s="16">
        <v>1629</v>
      </c>
      <c r="AE36" s="16">
        <v>827</v>
      </c>
      <c r="AF36" s="16">
        <v>80</v>
      </c>
      <c r="AG36" s="16">
        <v>228</v>
      </c>
      <c r="AH36" s="16">
        <v>157</v>
      </c>
      <c r="AI36" s="16">
        <v>105</v>
      </c>
      <c r="AJ36" s="16">
        <v>0</v>
      </c>
      <c r="AK36" s="98">
        <v>40</v>
      </c>
      <c r="AL36" s="16">
        <v>67</v>
      </c>
      <c r="AM36" s="16">
        <v>3</v>
      </c>
      <c r="AN36" s="16">
        <v>158</v>
      </c>
      <c r="AO36" s="16">
        <v>0</v>
      </c>
      <c r="AP36" s="16">
        <v>0</v>
      </c>
      <c r="AQ36" s="16">
        <v>0</v>
      </c>
      <c r="AR36" s="16">
        <v>41</v>
      </c>
      <c r="AS36" s="16">
        <v>4</v>
      </c>
      <c r="AT36" s="16">
        <v>542</v>
      </c>
      <c r="AU36" s="16">
        <v>964</v>
      </c>
      <c r="AV36" s="16">
        <v>121</v>
      </c>
      <c r="AW36" s="16">
        <v>1</v>
      </c>
      <c r="AX36" s="16">
        <v>184</v>
      </c>
      <c r="AY36" s="16">
        <v>0</v>
      </c>
      <c r="AZ36" s="16">
        <v>0</v>
      </c>
      <c r="BA36" s="16">
        <v>0</v>
      </c>
      <c r="BB36" s="16">
        <v>0</v>
      </c>
      <c r="BC36" s="16">
        <v>0</v>
      </c>
      <c r="BD36" s="16">
        <v>8</v>
      </c>
      <c r="BE36" s="16">
        <v>71</v>
      </c>
      <c r="BF36" s="16">
        <v>155</v>
      </c>
      <c r="BG36" s="16">
        <v>1100</v>
      </c>
      <c r="BH36" s="16">
        <v>3</v>
      </c>
      <c r="BI36" s="16">
        <v>88</v>
      </c>
      <c r="BJ36" s="16">
        <v>183</v>
      </c>
      <c r="BK36" s="16">
        <v>69</v>
      </c>
      <c r="BL36" s="16">
        <v>186</v>
      </c>
      <c r="BM36" s="16">
        <v>59</v>
      </c>
      <c r="BN36" s="16">
        <v>0</v>
      </c>
      <c r="BO36" s="16">
        <v>38</v>
      </c>
    </row>
    <row r="37" spans="1:67" s="5" customFormat="1" ht="21.9" customHeight="1" x14ac:dyDescent="0.25">
      <c r="A37" s="125"/>
      <c r="B37" s="4"/>
      <c r="C37" s="47" t="s">
        <v>76</v>
      </c>
      <c r="D37" s="48"/>
      <c r="E37" s="16">
        <v>2251</v>
      </c>
      <c r="F37" s="26">
        <v>0</v>
      </c>
      <c r="G37" s="26">
        <v>0</v>
      </c>
      <c r="H37" s="26">
        <v>0</v>
      </c>
      <c r="I37" s="26">
        <v>0</v>
      </c>
      <c r="J37" s="26">
        <v>0</v>
      </c>
      <c r="K37" s="26">
        <v>1115</v>
      </c>
      <c r="L37" s="26">
        <v>0</v>
      </c>
      <c r="M37" s="26">
        <v>0</v>
      </c>
      <c r="N37" s="26">
        <v>0</v>
      </c>
      <c r="O37" s="26">
        <v>0</v>
      </c>
      <c r="P37" s="26">
        <v>0</v>
      </c>
      <c r="Q37" s="26">
        <v>0</v>
      </c>
      <c r="R37" s="26">
        <v>1</v>
      </c>
      <c r="S37" s="26">
        <v>0</v>
      </c>
      <c r="T37" s="16">
        <v>0</v>
      </c>
      <c r="U37" s="16">
        <v>3</v>
      </c>
      <c r="V37" s="16">
        <v>0</v>
      </c>
      <c r="W37" s="16">
        <v>5</v>
      </c>
      <c r="X37" s="16">
        <v>0</v>
      </c>
      <c r="Y37" s="16">
        <v>0</v>
      </c>
      <c r="Z37" s="16">
        <v>1</v>
      </c>
      <c r="AA37" s="16">
        <v>0</v>
      </c>
      <c r="AB37" s="16">
        <v>0</v>
      </c>
      <c r="AC37" s="16">
        <v>0</v>
      </c>
      <c r="AD37" s="16">
        <v>1</v>
      </c>
      <c r="AE37" s="16">
        <v>1</v>
      </c>
      <c r="AF37" s="16">
        <v>0</v>
      </c>
      <c r="AG37" s="16">
        <v>29</v>
      </c>
      <c r="AH37" s="16">
        <v>22</v>
      </c>
      <c r="AI37" s="16">
        <v>0</v>
      </c>
      <c r="AJ37" s="16">
        <v>0</v>
      </c>
      <c r="AK37" s="98">
        <v>7</v>
      </c>
      <c r="AL37" s="16">
        <v>0</v>
      </c>
      <c r="AM37" s="16">
        <v>3</v>
      </c>
      <c r="AN37" s="16">
        <v>17</v>
      </c>
      <c r="AO37" s="26">
        <v>0</v>
      </c>
      <c r="AP37" s="26">
        <v>0</v>
      </c>
      <c r="AQ37" s="26">
        <v>0</v>
      </c>
      <c r="AR37" s="26">
        <v>0</v>
      </c>
      <c r="AS37" s="26">
        <v>0</v>
      </c>
      <c r="AT37" s="26">
        <v>0</v>
      </c>
      <c r="AU37" s="26">
        <v>1</v>
      </c>
      <c r="AV37" s="26">
        <v>0</v>
      </c>
      <c r="AW37" s="26">
        <v>0</v>
      </c>
      <c r="AX37" s="26">
        <v>0</v>
      </c>
      <c r="AY37" s="16">
        <v>0</v>
      </c>
      <c r="AZ37" s="16">
        <v>0</v>
      </c>
      <c r="BA37" s="16">
        <v>0</v>
      </c>
      <c r="BB37" s="16">
        <v>0</v>
      </c>
      <c r="BC37" s="16">
        <v>0</v>
      </c>
      <c r="BD37" s="16">
        <v>0</v>
      </c>
      <c r="BE37" s="16">
        <v>2</v>
      </c>
      <c r="BF37" s="16">
        <v>2</v>
      </c>
      <c r="BG37" s="16">
        <v>1036</v>
      </c>
      <c r="BH37" s="16">
        <v>0</v>
      </c>
      <c r="BI37" s="16">
        <v>0</v>
      </c>
      <c r="BJ37" s="16">
        <v>1</v>
      </c>
      <c r="BK37" s="16">
        <v>0</v>
      </c>
      <c r="BL37" s="16">
        <v>3</v>
      </c>
      <c r="BM37" s="16">
        <v>0</v>
      </c>
      <c r="BN37" s="16">
        <v>0</v>
      </c>
      <c r="BO37" s="16">
        <v>1</v>
      </c>
    </row>
    <row r="38" spans="1:67" s="5" customFormat="1" ht="21.9" customHeight="1" x14ac:dyDescent="0.25">
      <c r="A38" s="125" t="s">
        <v>84</v>
      </c>
      <c r="B38" s="4"/>
      <c r="C38" s="47" t="s">
        <v>75</v>
      </c>
      <c r="D38" s="48"/>
      <c r="E38" s="16">
        <v>170991</v>
      </c>
      <c r="F38" s="16">
        <v>6638</v>
      </c>
      <c r="G38" s="16">
        <v>2213</v>
      </c>
      <c r="H38" s="16">
        <v>889</v>
      </c>
      <c r="I38" s="16">
        <v>4250</v>
      </c>
      <c r="J38" s="16">
        <v>250</v>
      </c>
      <c r="K38" s="16">
        <v>1254</v>
      </c>
      <c r="L38" s="16">
        <v>1531</v>
      </c>
      <c r="M38" s="16">
        <v>700</v>
      </c>
      <c r="N38" s="16">
        <v>206</v>
      </c>
      <c r="O38" s="16">
        <v>240</v>
      </c>
      <c r="P38" s="16">
        <v>0</v>
      </c>
      <c r="Q38" s="16">
        <v>385</v>
      </c>
      <c r="R38" s="16">
        <v>471</v>
      </c>
      <c r="S38" s="16">
        <v>1287</v>
      </c>
      <c r="T38" s="16">
        <v>1892</v>
      </c>
      <c r="U38" s="16">
        <v>3328</v>
      </c>
      <c r="V38" s="16">
        <v>894</v>
      </c>
      <c r="W38" s="16">
        <v>368</v>
      </c>
      <c r="X38" s="16">
        <v>1645</v>
      </c>
      <c r="Y38" s="16">
        <v>2783</v>
      </c>
      <c r="Z38" s="16">
        <v>785</v>
      </c>
      <c r="AA38" s="16">
        <v>1182</v>
      </c>
      <c r="AB38" s="16">
        <v>582</v>
      </c>
      <c r="AC38" s="16">
        <v>1742</v>
      </c>
      <c r="AD38" s="16">
        <v>13159</v>
      </c>
      <c r="AE38" s="16">
        <v>7938</v>
      </c>
      <c r="AF38" s="16">
        <v>1434</v>
      </c>
      <c r="AG38" s="16">
        <v>2284</v>
      </c>
      <c r="AH38" s="16">
        <v>189</v>
      </c>
      <c r="AI38" s="16">
        <v>2365</v>
      </c>
      <c r="AJ38" s="16">
        <v>100</v>
      </c>
      <c r="AK38" s="98">
        <v>235</v>
      </c>
      <c r="AL38" s="16">
        <v>1300</v>
      </c>
      <c r="AM38" s="16">
        <v>85</v>
      </c>
      <c r="AN38" s="16">
        <v>3854</v>
      </c>
      <c r="AO38" s="16">
        <v>615</v>
      </c>
      <c r="AP38" s="16">
        <v>155</v>
      </c>
      <c r="AQ38" s="16">
        <v>320</v>
      </c>
      <c r="AR38" s="16">
        <v>804</v>
      </c>
      <c r="AS38" s="16">
        <v>800</v>
      </c>
      <c r="AT38" s="16">
        <v>9009</v>
      </c>
      <c r="AU38" s="16">
        <v>16678</v>
      </c>
      <c r="AV38" s="16">
        <v>3342</v>
      </c>
      <c r="AW38" s="16">
        <v>287</v>
      </c>
      <c r="AX38" s="16">
        <v>10413</v>
      </c>
      <c r="AY38" s="16">
        <v>2727</v>
      </c>
      <c r="AZ38" s="16">
        <v>174</v>
      </c>
      <c r="BA38" s="16">
        <v>60</v>
      </c>
      <c r="BB38" s="16">
        <v>0</v>
      </c>
      <c r="BC38" s="16">
        <v>4</v>
      </c>
      <c r="BD38" s="16">
        <v>10686</v>
      </c>
      <c r="BE38" s="16">
        <v>9668</v>
      </c>
      <c r="BF38" s="16">
        <v>14119</v>
      </c>
      <c r="BG38" s="16">
        <v>1963</v>
      </c>
      <c r="BH38" s="16">
        <v>7648</v>
      </c>
      <c r="BI38" s="16">
        <v>91</v>
      </c>
      <c r="BJ38" s="16">
        <v>928</v>
      </c>
      <c r="BK38" s="16">
        <v>1377</v>
      </c>
      <c r="BL38" s="16">
        <v>2350</v>
      </c>
      <c r="BM38" s="16">
        <v>1791</v>
      </c>
      <c r="BN38" s="16">
        <v>6228</v>
      </c>
      <c r="BO38" s="16">
        <v>296</v>
      </c>
    </row>
    <row r="39" spans="1:67" s="5" customFormat="1" ht="21.9" customHeight="1" x14ac:dyDescent="0.25">
      <c r="A39" s="125"/>
      <c r="B39" s="4"/>
      <c r="C39" s="47" t="s">
        <v>76</v>
      </c>
      <c r="D39" s="48"/>
      <c r="E39" s="16">
        <v>596</v>
      </c>
      <c r="F39" s="26">
        <v>0</v>
      </c>
      <c r="G39" s="26">
        <v>0</v>
      </c>
      <c r="H39" s="26">
        <v>0</v>
      </c>
      <c r="I39" s="26">
        <v>4</v>
      </c>
      <c r="J39" s="26">
        <v>0</v>
      </c>
      <c r="K39" s="26">
        <v>2</v>
      </c>
      <c r="L39" s="26">
        <v>0</v>
      </c>
      <c r="M39" s="26">
        <v>0</v>
      </c>
      <c r="N39" s="26">
        <v>0</v>
      </c>
      <c r="O39" s="26">
        <v>0</v>
      </c>
      <c r="P39" s="26">
        <v>0</v>
      </c>
      <c r="Q39" s="26">
        <v>2</v>
      </c>
      <c r="R39" s="26">
        <v>0</v>
      </c>
      <c r="S39" s="26">
        <v>0</v>
      </c>
      <c r="T39" s="16">
        <v>2</v>
      </c>
      <c r="U39" s="16">
        <v>19</v>
      </c>
      <c r="V39" s="16">
        <v>0</v>
      </c>
      <c r="W39" s="16">
        <v>13</v>
      </c>
      <c r="X39" s="16">
        <v>2</v>
      </c>
      <c r="Y39" s="16">
        <v>0</v>
      </c>
      <c r="Z39" s="16">
        <v>19</v>
      </c>
      <c r="AA39" s="16">
        <v>0</v>
      </c>
      <c r="AB39" s="16">
        <v>1</v>
      </c>
      <c r="AC39" s="16">
        <v>1</v>
      </c>
      <c r="AD39" s="16">
        <v>5</v>
      </c>
      <c r="AE39" s="16">
        <v>2</v>
      </c>
      <c r="AF39" s="16"/>
      <c r="AG39" s="16">
        <v>12</v>
      </c>
      <c r="AH39" s="16">
        <v>1</v>
      </c>
      <c r="AI39" s="16">
        <v>0</v>
      </c>
      <c r="AJ39" s="16">
        <v>0</v>
      </c>
      <c r="AK39" s="98">
        <v>1</v>
      </c>
      <c r="AL39" s="16">
        <v>0</v>
      </c>
      <c r="AM39" s="16">
        <v>0</v>
      </c>
      <c r="AN39" s="16">
        <v>7</v>
      </c>
      <c r="AO39" s="26">
        <v>0</v>
      </c>
      <c r="AP39" s="26">
        <v>0</v>
      </c>
      <c r="AQ39" s="26">
        <v>0</v>
      </c>
      <c r="AR39" s="26">
        <v>0</v>
      </c>
      <c r="AS39" s="26">
        <v>0</v>
      </c>
      <c r="AT39" s="26">
        <v>0</v>
      </c>
      <c r="AU39" s="26">
        <v>10</v>
      </c>
      <c r="AV39" s="26">
        <v>1</v>
      </c>
      <c r="AW39" s="26">
        <v>0</v>
      </c>
      <c r="AX39" s="26">
        <v>0</v>
      </c>
      <c r="AY39" s="16">
        <v>0</v>
      </c>
      <c r="AZ39" s="16">
        <v>0</v>
      </c>
      <c r="BA39" s="16">
        <v>0</v>
      </c>
      <c r="BB39" s="16">
        <v>0</v>
      </c>
      <c r="BC39" s="16">
        <v>0</v>
      </c>
      <c r="BD39" s="16">
        <v>0</v>
      </c>
      <c r="BE39" s="16">
        <v>0</v>
      </c>
      <c r="BF39" s="16">
        <v>3</v>
      </c>
      <c r="BG39" s="16">
        <v>484</v>
      </c>
      <c r="BH39" s="16">
        <v>0</v>
      </c>
      <c r="BI39" s="16">
        <v>0</v>
      </c>
      <c r="BJ39" s="16">
        <v>4</v>
      </c>
      <c r="BK39" s="16">
        <v>0</v>
      </c>
      <c r="BL39" s="16">
        <v>0</v>
      </c>
      <c r="BM39" s="16">
        <v>0</v>
      </c>
      <c r="BN39" s="16">
        <v>0</v>
      </c>
      <c r="BO39" s="16">
        <v>1</v>
      </c>
    </row>
    <row r="40" spans="1:67" s="5" customFormat="1" ht="21.9" customHeight="1" x14ac:dyDescent="0.25">
      <c r="A40" s="125" t="s">
        <v>85</v>
      </c>
      <c r="C40" s="47" t="s">
        <v>75</v>
      </c>
      <c r="D40" s="48"/>
      <c r="E40" s="16">
        <v>17231</v>
      </c>
      <c r="F40" s="16">
        <v>678</v>
      </c>
      <c r="G40" s="16">
        <v>631</v>
      </c>
      <c r="H40" s="16">
        <v>268</v>
      </c>
      <c r="I40" s="16">
        <v>64</v>
      </c>
      <c r="J40" s="16">
        <v>0</v>
      </c>
      <c r="K40" s="16">
        <v>426</v>
      </c>
      <c r="L40" s="16">
        <v>443</v>
      </c>
      <c r="M40" s="16">
        <v>84</v>
      </c>
      <c r="N40" s="16">
        <v>80</v>
      </c>
      <c r="O40" s="16">
        <v>30</v>
      </c>
      <c r="P40" s="16">
        <v>0</v>
      </c>
      <c r="Q40" s="16">
        <v>115</v>
      </c>
      <c r="R40" s="16">
        <v>103</v>
      </c>
      <c r="S40" s="16">
        <v>188</v>
      </c>
      <c r="T40" s="16">
        <v>44</v>
      </c>
      <c r="U40" s="16">
        <v>443</v>
      </c>
      <c r="V40" s="16">
        <v>122</v>
      </c>
      <c r="W40" s="16">
        <v>229</v>
      </c>
      <c r="X40" s="16">
        <v>42</v>
      </c>
      <c r="Y40" s="16">
        <v>396</v>
      </c>
      <c r="Z40" s="16">
        <v>326</v>
      </c>
      <c r="AA40" s="16">
        <v>25</v>
      </c>
      <c r="AB40" s="16">
        <v>547</v>
      </c>
      <c r="AC40" s="16">
        <v>15</v>
      </c>
      <c r="AD40" s="16">
        <v>1389</v>
      </c>
      <c r="AE40" s="16">
        <v>935</v>
      </c>
      <c r="AF40" s="16">
        <v>196</v>
      </c>
      <c r="AG40" s="16">
        <v>263</v>
      </c>
      <c r="AH40" s="16">
        <v>229</v>
      </c>
      <c r="AI40" s="16">
        <v>377</v>
      </c>
      <c r="AJ40" s="16">
        <v>10</v>
      </c>
      <c r="AK40" s="98">
        <v>185</v>
      </c>
      <c r="AL40" s="16">
        <v>223</v>
      </c>
      <c r="AM40" s="16">
        <v>60</v>
      </c>
      <c r="AN40" s="16">
        <v>1100</v>
      </c>
      <c r="AO40" s="16">
        <v>14</v>
      </c>
      <c r="AP40" s="16">
        <v>9</v>
      </c>
      <c r="AQ40" s="16">
        <v>1</v>
      </c>
      <c r="AR40" s="16">
        <v>74</v>
      </c>
      <c r="AS40" s="16">
        <v>51</v>
      </c>
      <c r="AT40" s="16">
        <v>693</v>
      </c>
      <c r="AU40" s="16">
        <v>825</v>
      </c>
      <c r="AV40" s="16">
        <v>669</v>
      </c>
      <c r="AW40" s="16">
        <v>21</v>
      </c>
      <c r="AX40" s="16">
        <v>333</v>
      </c>
      <c r="AY40" s="16">
        <v>16</v>
      </c>
      <c r="AZ40" s="16">
        <v>0</v>
      </c>
      <c r="BA40" s="16">
        <v>2</v>
      </c>
      <c r="BB40" s="16">
        <v>2</v>
      </c>
      <c r="BC40" s="16">
        <v>0</v>
      </c>
      <c r="BD40" s="16">
        <v>273</v>
      </c>
      <c r="BE40" s="16">
        <v>312</v>
      </c>
      <c r="BF40" s="16">
        <v>104</v>
      </c>
      <c r="BG40" s="16">
        <v>1175</v>
      </c>
      <c r="BH40" s="16">
        <v>368</v>
      </c>
      <c r="BI40" s="16">
        <v>125</v>
      </c>
      <c r="BJ40" s="16">
        <v>328</v>
      </c>
      <c r="BK40" s="16">
        <v>160</v>
      </c>
      <c r="BL40" s="16">
        <v>706</v>
      </c>
      <c r="BM40" s="16">
        <v>10</v>
      </c>
      <c r="BN40" s="16">
        <v>115</v>
      </c>
      <c r="BO40" s="16">
        <v>579</v>
      </c>
    </row>
    <row r="41" spans="1:67" s="5" customFormat="1" ht="21.9" customHeight="1" x14ac:dyDescent="0.25">
      <c r="A41" s="125"/>
      <c r="C41" s="47" t="s">
        <v>76</v>
      </c>
      <c r="D41" s="48"/>
      <c r="E41" s="16">
        <v>940</v>
      </c>
      <c r="F41" s="26">
        <v>0</v>
      </c>
      <c r="G41" s="26">
        <v>0</v>
      </c>
      <c r="H41" s="26">
        <v>0</v>
      </c>
      <c r="I41" s="26">
        <v>1</v>
      </c>
      <c r="J41" s="26">
        <v>0</v>
      </c>
      <c r="K41" s="26">
        <v>2</v>
      </c>
      <c r="L41" s="26">
        <v>2</v>
      </c>
      <c r="M41" s="26">
        <v>0</v>
      </c>
      <c r="N41" s="26">
        <v>0</v>
      </c>
      <c r="O41" s="26">
        <v>0</v>
      </c>
      <c r="P41" s="26">
        <v>0</v>
      </c>
      <c r="Q41" s="26">
        <v>0</v>
      </c>
      <c r="R41" s="26">
        <v>7</v>
      </c>
      <c r="S41" s="26">
        <v>0</v>
      </c>
      <c r="T41" s="16">
        <v>1</v>
      </c>
      <c r="U41" s="16">
        <v>13</v>
      </c>
      <c r="V41" s="16">
        <v>0</v>
      </c>
      <c r="W41" s="16">
        <v>5</v>
      </c>
      <c r="X41" s="16">
        <v>1</v>
      </c>
      <c r="Y41" s="16">
        <v>8</v>
      </c>
      <c r="Z41" s="16">
        <v>8</v>
      </c>
      <c r="AA41" s="16">
        <v>0</v>
      </c>
      <c r="AB41" s="16">
        <v>2</v>
      </c>
      <c r="AC41" s="16">
        <v>0</v>
      </c>
      <c r="AD41" s="16">
        <v>6</v>
      </c>
      <c r="AE41" s="16">
        <v>8</v>
      </c>
      <c r="AF41" s="16">
        <v>2</v>
      </c>
      <c r="AG41" s="16">
        <v>21</v>
      </c>
      <c r="AH41" s="16">
        <v>47</v>
      </c>
      <c r="AI41" s="16">
        <v>0</v>
      </c>
      <c r="AJ41" s="16">
        <v>0</v>
      </c>
      <c r="AK41" s="98">
        <v>7</v>
      </c>
      <c r="AL41" s="16">
        <v>3</v>
      </c>
      <c r="AM41" s="16">
        <v>1</v>
      </c>
      <c r="AN41" s="16">
        <v>25</v>
      </c>
      <c r="AO41" s="26">
        <v>0</v>
      </c>
      <c r="AP41" s="26">
        <v>0</v>
      </c>
      <c r="AQ41" s="26">
        <v>0</v>
      </c>
      <c r="AR41" s="26">
        <v>0</v>
      </c>
      <c r="AS41" s="26">
        <v>0</v>
      </c>
      <c r="AT41" s="26">
        <v>0</v>
      </c>
      <c r="AU41" s="26">
        <v>0</v>
      </c>
      <c r="AV41" s="26">
        <v>1</v>
      </c>
      <c r="AW41" s="26">
        <v>0</v>
      </c>
      <c r="AX41" s="26">
        <v>5</v>
      </c>
      <c r="AY41" s="16">
        <v>0</v>
      </c>
      <c r="AZ41" s="16">
        <v>0</v>
      </c>
      <c r="BA41" s="16">
        <v>0</v>
      </c>
      <c r="BB41" s="16">
        <v>0</v>
      </c>
      <c r="BC41" s="16">
        <v>0</v>
      </c>
      <c r="BD41" s="16">
        <v>0</v>
      </c>
      <c r="BE41" s="16">
        <v>2</v>
      </c>
      <c r="BF41" s="16">
        <v>4</v>
      </c>
      <c r="BG41" s="16">
        <v>665</v>
      </c>
      <c r="BH41" s="16"/>
      <c r="BI41" s="16">
        <v>3</v>
      </c>
      <c r="BJ41" s="16">
        <v>1</v>
      </c>
      <c r="BK41" s="16">
        <v>5</v>
      </c>
      <c r="BL41" s="16">
        <v>2</v>
      </c>
      <c r="BM41" s="16">
        <v>0</v>
      </c>
      <c r="BN41" s="16">
        <v>0</v>
      </c>
      <c r="BO41" s="16">
        <v>82</v>
      </c>
    </row>
    <row r="42" spans="1:67" s="5" customFormat="1" ht="21.9" customHeight="1" x14ac:dyDescent="0.25">
      <c r="A42" s="125" t="s">
        <v>86</v>
      </c>
      <c r="B42" s="4"/>
      <c r="C42" s="47" t="s">
        <v>75</v>
      </c>
      <c r="D42" s="48"/>
      <c r="E42" s="16">
        <v>24542</v>
      </c>
      <c r="F42" s="16">
        <v>1084</v>
      </c>
      <c r="G42" s="16">
        <v>900</v>
      </c>
      <c r="H42" s="16">
        <v>505</v>
      </c>
      <c r="I42" s="16">
        <v>197</v>
      </c>
      <c r="J42" s="16">
        <v>46</v>
      </c>
      <c r="K42" s="16">
        <v>752</v>
      </c>
      <c r="L42" s="16">
        <v>478</v>
      </c>
      <c r="M42" s="16">
        <v>369</v>
      </c>
      <c r="N42" s="16">
        <v>213</v>
      </c>
      <c r="O42" s="16">
        <v>102</v>
      </c>
      <c r="P42" s="16">
        <v>38</v>
      </c>
      <c r="Q42" s="16">
        <v>40</v>
      </c>
      <c r="R42" s="16">
        <v>162</v>
      </c>
      <c r="S42" s="16">
        <v>235</v>
      </c>
      <c r="T42" s="16">
        <v>356</v>
      </c>
      <c r="U42" s="16">
        <v>429</v>
      </c>
      <c r="V42" s="16">
        <v>263</v>
      </c>
      <c r="W42" s="16">
        <v>157</v>
      </c>
      <c r="X42" s="16">
        <v>195</v>
      </c>
      <c r="Y42" s="16">
        <v>591</v>
      </c>
      <c r="Z42" s="16">
        <v>225</v>
      </c>
      <c r="AA42" s="16">
        <v>56</v>
      </c>
      <c r="AB42" s="16">
        <v>196</v>
      </c>
      <c r="AC42" s="16">
        <v>71</v>
      </c>
      <c r="AD42" s="16">
        <v>2009</v>
      </c>
      <c r="AE42" s="16">
        <v>908</v>
      </c>
      <c r="AF42" s="16">
        <v>314</v>
      </c>
      <c r="AG42" s="16">
        <v>260</v>
      </c>
      <c r="AH42" s="16">
        <v>320</v>
      </c>
      <c r="AI42" s="16">
        <v>497</v>
      </c>
      <c r="AJ42" s="16">
        <v>37</v>
      </c>
      <c r="AK42" s="98">
        <v>126</v>
      </c>
      <c r="AL42" s="16">
        <v>202</v>
      </c>
      <c r="AM42" s="16">
        <v>78</v>
      </c>
      <c r="AN42" s="16">
        <v>574</v>
      </c>
      <c r="AO42" s="16">
        <v>172</v>
      </c>
      <c r="AP42" s="16">
        <v>90</v>
      </c>
      <c r="AQ42" s="16">
        <v>56</v>
      </c>
      <c r="AR42" s="16">
        <v>144</v>
      </c>
      <c r="AS42" s="16">
        <v>172</v>
      </c>
      <c r="AT42" s="16">
        <v>847</v>
      </c>
      <c r="AU42" s="16">
        <v>1349</v>
      </c>
      <c r="AV42" s="16">
        <v>669</v>
      </c>
      <c r="AW42" s="16">
        <v>139</v>
      </c>
      <c r="AX42" s="16">
        <v>694</v>
      </c>
      <c r="AY42" s="16">
        <v>490</v>
      </c>
      <c r="AZ42" s="16">
        <v>0</v>
      </c>
      <c r="BA42" s="16">
        <v>73</v>
      </c>
      <c r="BB42" s="26">
        <v>42</v>
      </c>
      <c r="BC42" s="16">
        <v>288</v>
      </c>
      <c r="BD42" s="16">
        <v>968</v>
      </c>
      <c r="BE42" s="16">
        <v>722</v>
      </c>
      <c r="BF42" s="16">
        <v>315</v>
      </c>
      <c r="BG42" s="16">
        <v>740</v>
      </c>
      <c r="BH42" s="16">
        <v>502</v>
      </c>
      <c r="BI42" s="16">
        <v>931</v>
      </c>
      <c r="BJ42" s="16">
        <v>434</v>
      </c>
      <c r="BK42" s="16">
        <v>417</v>
      </c>
      <c r="BL42" s="16">
        <v>252</v>
      </c>
      <c r="BM42" s="16">
        <v>107</v>
      </c>
      <c r="BN42" s="16">
        <v>24</v>
      </c>
      <c r="BO42" s="16">
        <v>920</v>
      </c>
    </row>
    <row r="43" spans="1:67" s="5" customFormat="1" ht="21.9" customHeight="1" x14ac:dyDescent="0.25">
      <c r="A43" s="125"/>
      <c r="B43" s="4"/>
      <c r="C43" s="47" t="s">
        <v>76</v>
      </c>
      <c r="D43" s="48"/>
      <c r="E43" s="16">
        <v>786</v>
      </c>
      <c r="F43" s="26">
        <v>0</v>
      </c>
      <c r="G43" s="26">
        <v>0</v>
      </c>
      <c r="H43" s="26">
        <v>0</v>
      </c>
      <c r="I43" s="26">
        <v>0</v>
      </c>
      <c r="J43" s="26">
        <v>0</v>
      </c>
      <c r="K43" s="26">
        <v>0</v>
      </c>
      <c r="L43" s="26">
        <v>2</v>
      </c>
      <c r="M43" s="26">
        <v>0</v>
      </c>
      <c r="N43" s="26">
        <v>0</v>
      </c>
      <c r="O43" s="26">
        <v>0</v>
      </c>
      <c r="P43" s="26">
        <v>0</v>
      </c>
      <c r="Q43" s="26">
        <v>1</v>
      </c>
      <c r="R43" s="26">
        <v>8</v>
      </c>
      <c r="S43" s="26">
        <v>1</v>
      </c>
      <c r="T43" s="16">
        <v>0</v>
      </c>
      <c r="U43" s="16">
        <v>10</v>
      </c>
      <c r="V43" s="16">
        <v>0</v>
      </c>
      <c r="W43" s="16">
        <v>1</v>
      </c>
      <c r="X43" s="16">
        <v>2</v>
      </c>
      <c r="Y43" s="16">
        <v>1</v>
      </c>
      <c r="Z43" s="16">
        <v>0</v>
      </c>
      <c r="AA43" s="16">
        <v>2</v>
      </c>
      <c r="AB43" s="16">
        <v>2</v>
      </c>
      <c r="AC43" s="16">
        <v>0</v>
      </c>
      <c r="AD43" s="16">
        <v>6</v>
      </c>
      <c r="AE43" s="16">
        <v>7</v>
      </c>
      <c r="AF43" s="16">
        <v>3</v>
      </c>
      <c r="AG43" s="16">
        <v>16</v>
      </c>
      <c r="AH43" s="16">
        <v>17</v>
      </c>
      <c r="AI43" s="16">
        <v>3</v>
      </c>
      <c r="AJ43" s="16">
        <v>0</v>
      </c>
      <c r="AK43" s="98">
        <v>16</v>
      </c>
      <c r="AL43" s="16">
        <v>0</v>
      </c>
      <c r="AM43" s="16">
        <v>0</v>
      </c>
      <c r="AN43" s="16">
        <v>10</v>
      </c>
      <c r="AO43" s="26">
        <v>0</v>
      </c>
      <c r="AP43" s="26">
        <v>0</v>
      </c>
      <c r="AQ43" s="26">
        <v>0</v>
      </c>
      <c r="AR43" s="26">
        <v>0</v>
      </c>
      <c r="AS43" s="26">
        <v>3</v>
      </c>
      <c r="AT43" s="26">
        <v>0</v>
      </c>
      <c r="AU43" s="16">
        <v>22</v>
      </c>
      <c r="AV43" s="26">
        <v>0</v>
      </c>
      <c r="AW43" s="26">
        <v>0</v>
      </c>
      <c r="AX43" s="16">
        <v>3</v>
      </c>
      <c r="AY43" s="16">
        <v>1</v>
      </c>
      <c r="AZ43" s="26">
        <v>0</v>
      </c>
      <c r="BA43" s="26">
        <v>0</v>
      </c>
      <c r="BB43" s="26">
        <v>0</v>
      </c>
      <c r="BC43" s="26">
        <v>0</v>
      </c>
      <c r="BD43" s="16">
        <v>2</v>
      </c>
      <c r="BE43" s="16">
        <v>5</v>
      </c>
      <c r="BF43" s="16">
        <v>9</v>
      </c>
      <c r="BG43" s="16">
        <v>592</v>
      </c>
      <c r="BH43" s="26">
        <v>16</v>
      </c>
      <c r="BI43" s="26">
        <v>2</v>
      </c>
      <c r="BJ43" s="26">
        <v>0</v>
      </c>
      <c r="BK43" s="26">
        <v>2</v>
      </c>
      <c r="BL43" s="26">
        <v>0</v>
      </c>
      <c r="BM43" s="26">
        <v>0</v>
      </c>
      <c r="BN43" s="26">
        <v>3</v>
      </c>
      <c r="BO43" s="16">
        <v>18</v>
      </c>
    </row>
    <row r="44" spans="1:67" s="5" customFormat="1" ht="21.9" customHeight="1" x14ac:dyDescent="0.25">
      <c r="A44" s="125" t="s">
        <v>87</v>
      </c>
      <c r="B44" s="4"/>
      <c r="C44" s="47" t="s">
        <v>75</v>
      </c>
      <c r="D44" s="48"/>
      <c r="E44" s="16">
        <v>17282</v>
      </c>
      <c r="F44" s="16">
        <v>136</v>
      </c>
      <c r="G44" s="16">
        <v>39</v>
      </c>
      <c r="H44" s="16">
        <v>5</v>
      </c>
      <c r="I44" s="16">
        <v>87</v>
      </c>
      <c r="J44" s="16">
        <v>10</v>
      </c>
      <c r="K44" s="16">
        <v>1299</v>
      </c>
      <c r="L44" s="16">
        <v>237</v>
      </c>
      <c r="M44" s="16">
        <v>74</v>
      </c>
      <c r="N44" s="16">
        <v>4</v>
      </c>
      <c r="O44" s="16">
        <v>33</v>
      </c>
      <c r="P44" s="16">
        <v>3</v>
      </c>
      <c r="Q44" s="16">
        <v>146</v>
      </c>
      <c r="R44" s="16">
        <v>328</v>
      </c>
      <c r="S44" s="16">
        <v>121</v>
      </c>
      <c r="T44" s="16">
        <v>202</v>
      </c>
      <c r="U44" s="16">
        <v>686</v>
      </c>
      <c r="V44" s="16">
        <v>128</v>
      </c>
      <c r="W44" s="16">
        <v>84</v>
      </c>
      <c r="X44" s="16">
        <v>95</v>
      </c>
      <c r="Y44" s="16">
        <v>594</v>
      </c>
      <c r="Z44" s="16">
        <v>208</v>
      </c>
      <c r="AA44" s="16">
        <v>374</v>
      </c>
      <c r="AB44" s="16">
        <v>91</v>
      </c>
      <c r="AC44" s="16">
        <v>62</v>
      </c>
      <c r="AD44" s="16">
        <v>4408</v>
      </c>
      <c r="AE44" s="16">
        <v>1120</v>
      </c>
      <c r="AF44" s="16">
        <v>387</v>
      </c>
      <c r="AG44" s="16">
        <v>442</v>
      </c>
      <c r="AH44" s="16">
        <v>146</v>
      </c>
      <c r="AI44" s="16">
        <v>240</v>
      </c>
      <c r="AJ44" s="16">
        <v>3</v>
      </c>
      <c r="AK44" s="98">
        <v>81</v>
      </c>
      <c r="AL44" s="16">
        <v>53</v>
      </c>
      <c r="AM44" s="16">
        <v>24</v>
      </c>
      <c r="AN44" s="16">
        <v>319</v>
      </c>
      <c r="AO44" s="16">
        <v>0</v>
      </c>
      <c r="AP44" s="16">
        <v>0</v>
      </c>
      <c r="AQ44" s="16">
        <v>33</v>
      </c>
      <c r="AR44" s="16">
        <v>150</v>
      </c>
      <c r="AS44" s="16">
        <v>282</v>
      </c>
      <c r="AT44" s="16">
        <v>105</v>
      </c>
      <c r="AU44" s="16">
        <v>1019</v>
      </c>
      <c r="AV44" s="16">
        <v>201</v>
      </c>
      <c r="AW44" s="16">
        <v>3</v>
      </c>
      <c r="AX44" s="16">
        <v>144</v>
      </c>
      <c r="AY44" s="16">
        <v>12</v>
      </c>
      <c r="AZ44" s="16">
        <v>0</v>
      </c>
      <c r="BA44" s="26">
        <v>0</v>
      </c>
      <c r="BB44" s="16">
        <v>0</v>
      </c>
      <c r="BC44" s="26">
        <v>0</v>
      </c>
      <c r="BD44" s="16">
        <v>17</v>
      </c>
      <c r="BE44" s="16">
        <v>102</v>
      </c>
      <c r="BF44" s="16">
        <v>271</v>
      </c>
      <c r="BG44" s="16">
        <v>871</v>
      </c>
      <c r="BH44" s="16">
        <v>157</v>
      </c>
      <c r="BI44" s="16">
        <v>157</v>
      </c>
      <c r="BJ44" s="16">
        <v>478</v>
      </c>
      <c r="BK44" s="16">
        <v>506</v>
      </c>
      <c r="BL44" s="16">
        <v>298</v>
      </c>
      <c r="BM44" s="26">
        <v>19</v>
      </c>
      <c r="BN44" s="26">
        <v>3</v>
      </c>
      <c r="BO44" s="16">
        <v>185</v>
      </c>
    </row>
    <row r="45" spans="1:67" s="5" customFormat="1" ht="21.9" customHeight="1" x14ac:dyDescent="0.25">
      <c r="A45" s="125"/>
      <c r="B45" s="4"/>
      <c r="C45" s="47" t="s">
        <v>76</v>
      </c>
      <c r="D45" s="48"/>
      <c r="E45" s="16">
        <v>1031</v>
      </c>
      <c r="F45" s="26">
        <v>1</v>
      </c>
      <c r="G45" s="26">
        <v>0</v>
      </c>
      <c r="H45" s="26">
        <v>0</v>
      </c>
      <c r="I45" s="26">
        <v>0</v>
      </c>
      <c r="J45" s="26">
        <v>1</v>
      </c>
      <c r="K45" s="26">
        <v>0</v>
      </c>
      <c r="L45" s="26">
        <v>0</v>
      </c>
      <c r="M45" s="26">
        <v>0</v>
      </c>
      <c r="N45" s="26">
        <v>0</v>
      </c>
      <c r="O45" s="26">
        <v>0</v>
      </c>
      <c r="P45" s="26">
        <v>0</v>
      </c>
      <c r="Q45" s="26">
        <v>1</v>
      </c>
      <c r="R45" s="26">
        <v>2</v>
      </c>
      <c r="S45" s="26">
        <v>1</v>
      </c>
      <c r="T45" s="16">
        <v>2</v>
      </c>
      <c r="U45" s="16">
        <v>26</v>
      </c>
      <c r="V45" s="16">
        <v>3</v>
      </c>
      <c r="W45" s="16">
        <v>0</v>
      </c>
      <c r="X45" s="16">
        <v>1</v>
      </c>
      <c r="Y45" s="16">
        <v>7</v>
      </c>
      <c r="Z45" s="16">
        <v>4</v>
      </c>
      <c r="AA45" s="16">
        <v>0</v>
      </c>
      <c r="AB45" s="16">
        <v>4</v>
      </c>
      <c r="AC45" s="16">
        <v>8</v>
      </c>
      <c r="AD45" s="16">
        <v>10</v>
      </c>
      <c r="AE45" s="16">
        <v>12</v>
      </c>
      <c r="AF45" s="16">
        <v>0</v>
      </c>
      <c r="AG45" s="16">
        <v>7</v>
      </c>
      <c r="AH45" s="16">
        <v>21</v>
      </c>
      <c r="AI45" s="16">
        <v>3</v>
      </c>
      <c r="AJ45" s="16">
        <v>0</v>
      </c>
      <c r="AK45" s="98">
        <v>6</v>
      </c>
      <c r="AL45" s="16">
        <v>0</v>
      </c>
      <c r="AM45" s="16">
        <v>0</v>
      </c>
      <c r="AN45" s="16">
        <v>2</v>
      </c>
      <c r="AO45" s="26">
        <v>0</v>
      </c>
      <c r="AP45" s="26">
        <v>0</v>
      </c>
      <c r="AQ45" s="26">
        <v>0</v>
      </c>
      <c r="AR45" s="16">
        <v>0</v>
      </c>
      <c r="AS45" s="16">
        <v>0</v>
      </c>
      <c r="AT45" s="26">
        <v>0</v>
      </c>
      <c r="AU45" s="16">
        <v>0</v>
      </c>
      <c r="AV45" s="26">
        <v>0</v>
      </c>
      <c r="AW45" s="26">
        <v>1</v>
      </c>
      <c r="AX45" s="16">
        <v>3</v>
      </c>
      <c r="AY45" s="16">
        <v>0</v>
      </c>
      <c r="AZ45" s="26">
        <v>0</v>
      </c>
      <c r="BA45" s="26">
        <v>0</v>
      </c>
      <c r="BB45" s="26">
        <v>0</v>
      </c>
      <c r="BC45" s="26">
        <v>0</v>
      </c>
      <c r="BD45" s="26">
        <v>0</v>
      </c>
      <c r="BE45" s="16">
        <v>0</v>
      </c>
      <c r="BF45" s="16">
        <v>4</v>
      </c>
      <c r="BG45" s="16">
        <v>871</v>
      </c>
      <c r="BH45" s="16">
        <v>1</v>
      </c>
      <c r="BI45" s="16">
        <v>7</v>
      </c>
      <c r="BJ45" s="26">
        <v>1</v>
      </c>
      <c r="BK45" s="16">
        <v>0</v>
      </c>
      <c r="BL45" s="16">
        <v>4</v>
      </c>
      <c r="BM45" s="26">
        <v>0</v>
      </c>
      <c r="BN45" s="26">
        <v>0</v>
      </c>
      <c r="BO45" s="26">
        <v>17</v>
      </c>
    </row>
    <row r="46" spans="1:67" s="5" customFormat="1" ht="21.9" customHeight="1" x14ac:dyDescent="0.25">
      <c r="A46" s="125" t="s">
        <v>88</v>
      </c>
      <c r="C46" s="47" t="s">
        <v>75</v>
      </c>
      <c r="D46" s="48"/>
      <c r="E46" s="16">
        <v>9396</v>
      </c>
      <c r="F46" s="16">
        <v>210</v>
      </c>
      <c r="G46" s="16">
        <v>440</v>
      </c>
      <c r="H46" s="16">
        <v>166</v>
      </c>
      <c r="I46" s="16">
        <v>21</v>
      </c>
      <c r="J46" s="16">
        <v>2</v>
      </c>
      <c r="K46" s="16">
        <v>15</v>
      </c>
      <c r="L46" s="16">
        <v>247</v>
      </c>
      <c r="M46" s="16">
        <v>110</v>
      </c>
      <c r="N46" s="16">
        <v>10</v>
      </c>
      <c r="O46" s="16">
        <v>94</v>
      </c>
      <c r="P46" s="16">
        <v>0</v>
      </c>
      <c r="Q46" s="16">
        <v>17</v>
      </c>
      <c r="R46" s="16">
        <v>206</v>
      </c>
      <c r="S46" s="16">
        <v>61</v>
      </c>
      <c r="T46" s="16">
        <v>4</v>
      </c>
      <c r="U46" s="16">
        <v>143</v>
      </c>
      <c r="V46" s="16">
        <v>129</v>
      </c>
      <c r="W46" s="16">
        <v>183</v>
      </c>
      <c r="X46" s="16">
        <v>19</v>
      </c>
      <c r="Y46" s="16">
        <v>147</v>
      </c>
      <c r="Z46" s="16">
        <v>57</v>
      </c>
      <c r="AA46" s="16">
        <v>0</v>
      </c>
      <c r="AB46" s="16">
        <v>79</v>
      </c>
      <c r="AC46" s="16">
        <v>120</v>
      </c>
      <c r="AD46" s="16">
        <v>391</v>
      </c>
      <c r="AE46" s="16">
        <v>337</v>
      </c>
      <c r="AF46" s="16">
        <v>0</v>
      </c>
      <c r="AG46" s="16">
        <v>57</v>
      </c>
      <c r="AH46" s="16">
        <v>63</v>
      </c>
      <c r="AI46" s="16">
        <v>51</v>
      </c>
      <c r="AJ46" s="16">
        <v>11</v>
      </c>
      <c r="AK46" s="98">
        <v>17</v>
      </c>
      <c r="AL46" s="16">
        <v>58</v>
      </c>
      <c r="AM46" s="16">
        <v>0</v>
      </c>
      <c r="AN46" s="16">
        <v>77</v>
      </c>
      <c r="AO46" s="16">
        <v>16</v>
      </c>
      <c r="AP46" s="16">
        <v>34</v>
      </c>
      <c r="AQ46" s="16">
        <v>12</v>
      </c>
      <c r="AR46" s="16">
        <v>58</v>
      </c>
      <c r="AS46" s="16">
        <v>151</v>
      </c>
      <c r="AT46" s="16">
        <v>199</v>
      </c>
      <c r="AU46" s="16">
        <v>387</v>
      </c>
      <c r="AV46" s="16">
        <v>587</v>
      </c>
      <c r="AW46" s="16">
        <v>193</v>
      </c>
      <c r="AX46" s="16">
        <v>231</v>
      </c>
      <c r="AY46" s="16">
        <v>253</v>
      </c>
      <c r="AZ46" s="16">
        <v>0</v>
      </c>
      <c r="BA46" s="16">
        <v>0</v>
      </c>
      <c r="BB46" s="16">
        <v>0</v>
      </c>
      <c r="BC46" s="16">
        <v>268</v>
      </c>
      <c r="BD46" s="16">
        <v>212</v>
      </c>
      <c r="BE46" s="16">
        <v>325</v>
      </c>
      <c r="BF46" s="16">
        <v>182</v>
      </c>
      <c r="BG46" s="16">
        <v>96</v>
      </c>
      <c r="BH46" s="16">
        <v>32</v>
      </c>
      <c r="BI46" s="26">
        <v>1759</v>
      </c>
      <c r="BJ46" s="16">
        <v>682</v>
      </c>
      <c r="BK46" s="16">
        <v>126</v>
      </c>
      <c r="BL46" s="16">
        <v>13</v>
      </c>
      <c r="BM46" s="16">
        <v>12</v>
      </c>
      <c r="BN46" s="16">
        <v>0</v>
      </c>
      <c r="BO46" s="16">
        <v>26</v>
      </c>
    </row>
    <row r="47" spans="1:67" s="5" customFormat="1" ht="21.9" customHeight="1" x14ac:dyDescent="0.25">
      <c r="A47" s="125"/>
      <c r="C47" s="47" t="s">
        <v>76</v>
      </c>
      <c r="D47" s="48"/>
      <c r="E47" s="16">
        <v>88</v>
      </c>
      <c r="F47" s="26">
        <v>0</v>
      </c>
      <c r="G47" s="26">
        <v>1</v>
      </c>
      <c r="H47" s="26">
        <v>0</v>
      </c>
      <c r="I47" s="26">
        <v>0</v>
      </c>
      <c r="J47" s="26">
        <v>0</v>
      </c>
      <c r="K47" s="26">
        <v>0</v>
      </c>
      <c r="L47" s="26">
        <v>3</v>
      </c>
      <c r="M47" s="26">
        <v>0</v>
      </c>
      <c r="N47" s="26">
        <v>0</v>
      </c>
      <c r="O47" s="26">
        <v>6</v>
      </c>
      <c r="P47" s="26">
        <v>0</v>
      </c>
      <c r="Q47" s="26">
        <v>1</v>
      </c>
      <c r="R47" s="26">
        <v>0</v>
      </c>
      <c r="S47" s="26">
        <v>0</v>
      </c>
      <c r="T47" s="26">
        <v>0</v>
      </c>
      <c r="U47" s="16">
        <v>6</v>
      </c>
      <c r="V47" s="26">
        <v>0</v>
      </c>
      <c r="W47" s="26">
        <v>5</v>
      </c>
      <c r="X47" s="26">
        <v>0</v>
      </c>
      <c r="Y47" s="26">
        <v>1</v>
      </c>
      <c r="Z47" s="16">
        <v>1</v>
      </c>
      <c r="AA47" s="26">
        <v>0</v>
      </c>
      <c r="AB47" s="26">
        <v>0</v>
      </c>
      <c r="AC47" s="16">
        <v>0</v>
      </c>
      <c r="AD47" s="16">
        <v>1</v>
      </c>
      <c r="AE47" s="26">
        <v>0</v>
      </c>
      <c r="AF47" s="16">
        <v>0</v>
      </c>
      <c r="AG47" s="16">
        <v>3</v>
      </c>
      <c r="AH47" s="16">
        <v>10</v>
      </c>
      <c r="AI47" s="26">
        <v>0</v>
      </c>
      <c r="AJ47" s="26">
        <v>0</v>
      </c>
      <c r="AK47" s="98">
        <v>0</v>
      </c>
      <c r="AL47" s="26">
        <v>1</v>
      </c>
      <c r="AM47" s="26">
        <v>0</v>
      </c>
      <c r="AN47" s="16">
        <v>0</v>
      </c>
      <c r="AO47" s="26">
        <v>0</v>
      </c>
      <c r="AP47" s="26">
        <v>0</v>
      </c>
      <c r="AQ47" s="26">
        <v>0</v>
      </c>
      <c r="AR47" s="26">
        <v>8</v>
      </c>
      <c r="AS47" s="26">
        <v>3</v>
      </c>
      <c r="AT47" s="26">
        <v>0</v>
      </c>
      <c r="AU47" s="16">
        <v>12</v>
      </c>
      <c r="AV47" s="26">
        <v>5</v>
      </c>
      <c r="AW47" s="26">
        <v>0</v>
      </c>
      <c r="AX47" s="26">
        <v>0</v>
      </c>
      <c r="AY47" s="26">
        <v>1</v>
      </c>
      <c r="AZ47" s="26">
        <v>0</v>
      </c>
      <c r="BA47" s="26">
        <v>0</v>
      </c>
      <c r="BB47" s="26">
        <v>0</v>
      </c>
      <c r="BC47" s="26">
        <v>0</v>
      </c>
      <c r="BD47" s="26">
        <v>0</v>
      </c>
      <c r="BE47" s="26">
        <v>0</v>
      </c>
      <c r="BF47" s="16">
        <v>0</v>
      </c>
      <c r="BG47" s="26">
        <v>20</v>
      </c>
      <c r="BH47" s="26">
        <v>0</v>
      </c>
      <c r="BI47" s="26">
        <v>0</v>
      </c>
      <c r="BJ47" s="26">
        <v>0</v>
      </c>
      <c r="BK47" s="26">
        <v>0</v>
      </c>
      <c r="BL47" s="26">
        <v>0</v>
      </c>
      <c r="BM47" s="26">
        <v>0</v>
      </c>
      <c r="BN47" s="26">
        <v>0</v>
      </c>
      <c r="BO47" s="16">
        <v>0</v>
      </c>
    </row>
    <row r="48" spans="1:67" s="5" customFormat="1" ht="21.9" customHeight="1" x14ac:dyDescent="0.25">
      <c r="A48" s="125" t="s">
        <v>89</v>
      </c>
      <c r="B48" s="4"/>
      <c r="C48" s="47" t="s">
        <v>75</v>
      </c>
      <c r="D48" s="48"/>
      <c r="E48" s="16">
        <v>56448</v>
      </c>
      <c r="F48" s="16">
        <v>1734</v>
      </c>
      <c r="G48" s="16">
        <v>1321</v>
      </c>
      <c r="H48" s="16">
        <v>175</v>
      </c>
      <c r="I48" s="16">
        <v>147</v>
      </c>
      <c r="J48" s="16">
        <v>174</v>
      </c>
      <c r="K48" s="16">
        <v>1099</v>
      </c>
      <c r="L48" s="16">
        <v>441</v>
      </c>
      <c r="M48" s="16">
        <v>1011</v>
      </c>
      <c r="N48" s="16">
        <v>357</v>
      </c>
      <c r="O48" s="16">
        <v>195</v>
      </c>
      <c r="P48" s="16">
        <v>38</v>
      </c>
      <c r="Q48" s="16">
        <v>242</v>
      </c>
      <c r="R48" s="16">
        <v>225</v>
      </c>
      <c r="S48" s="16">
        <v>1963</v>
      </c>
      <c r="T48" s="16">
        <v>290</v>
      </c>
      <c r="U48" s="16">
        <v>1691</v>
      </c>
      <c r="V48" s="16">
        <v>666</v>
      </c>
      <c r="W48" s="16">
        <v>170</v>
      </c>
      <c r="X48" s="16">
        <v>47</v>
      </c>
      <c r="Y48" s="16">
        <v>4627</v>
      </c>
      <c r="Z48" s="16">
        <v>785</v>
      </c>
      <c r="AA48" s="16">
        <v>354</v>
      </c>
      <c r="AB48" s="16">
        <v>275</v>
      </c>
      <c r="AC48" s="16">
        <v>315</v>
      </c>
      <c r="AD48" s="16">
        <v>6898</v>
      </c>
      <c r="AE48" s="16">
        <v>3633</v>
      </c>
      <c r="AF48" s="16">
        <v>973</v>
      </c>
      <c r="AG48" s="16">
        <v>325</v>
      </c>
      <c r="AH48" s="16">
        <v>429</v>
      </c>
      <c r="AI48" s="16">
        <v>2156</v>
      </c>
      <c r="AJ48" s="16">
        <v>46</v>
      </c>
      <c r="AK48" s="98">
        <v>258</v>
      </c>
      <c r="AL48" s="16">
        <v>133</v>
      </c>
      <c r="AM48" s="16">
        <v>6</v>
      </c>
      <c r="AN48" s="16">
        <v>743</v>
      </c>
      <c r="AO48" s="16">
        <v>26</v>
      </c>
      <c r="AP48" s="16">
        <v>7</v>
      </c>
      <c r="AQ48" s="16">
        <v>6</v>
      </c>
      <c r="AR48" s="16">
        <v>573</v>
      </c>
      <c r="AS48" s="16">
        <v>572</v>
      </c>
      <c r="AT48" s="16">
        <v>3134</v>
      </c>
      <c r="AU48" s="16">
        <v>4727</v>
      </c>
      <c r="AV48" s="16">
        <v>2058</v>
      </c>
      <c r="AW48" s="16">
        <v>146</v>
      </c>
      <c r="AX48" s="16">
        <v>1059</v>
      </c>
      <c r="AY48" s="16">
        <v>463</v>
      </c>
      <c r="AZ48" s="26">
        <v>0</v>
      </c>
      <c r="BA48" s="16">
        <v>8</v>
      </c>
      <c r="BB48" s="16">
        <v>19</v>
      </c>
      <c r="BC48" s="16">
        <v>120</v>
      </c>
      <c r="BD48" s="16">
        <v>1428</v>
      </c>
      <c r="BE48" s="16">
        <v>1429</v>
      </c>
      <c r="BF48" s="16">
        <v>933</v>
      </c>
      <c r="BG48" s="16">
        <v>237</v>
      </c>
      <c r="BH48" s="16">
        <v>111</v>
      </c>
      <c r="BI48" s="16">
        <v>380</v>
      </c>
      <c r="BJ48" s="16">
        <v>1241</v>
      </c>
      <c r="BK48" s="16">
        <v>422</v>
      </c>
      <c r="BL48" s="16">
        <v>1794</v>
      </c>
      <c r="BM48" s="16">
        <v>1354</v>
      </c>
      <c r="BN48" s="16">
        <v>0</v>
      </c>
      <c r="BO48" s="16">
        <v>259</v>
      </c>
    </row>
    <row r="49" spans="1:68" s="5" customFormat="1" ht="21.9" customHeight="1" x14ac:dyDescent="0.25">
      <c r="A49" s="125"/>
      <c r="B49" s="4"/>
      <c r="C49" s="47" t="s">
        <v>76</v>
      </c>
      <c r="D49" s="48"/>
      <c r="E49" s="16">
        <v>333</v>
      </c>
      <c r="F49" s="26">
        <v>0</v>
      </c>
      <c r="G49" s="26">
        <v>0</v>
      </c>
      <c r="H49" s="26">
        <v>0</v>
      </c>
      <c r="I49" s="26">
        <v>0</v>
      </c>
      <c r="J49" s="26">
        <v>0</v>
      </c>
      <c r="K49" s="26">
        <v>0</v>
      </c>
      <c r="L49" s="26">
        <v>6</v>
      </c>
      <c r="M49" s="26">
        <v>6</v>
      </c>
      <c r="N49" s="26">
        <v>0</v>
      </c>
      <c r="O49" s="26">
        <v>0</v>
      </c>
      <c r="P49" s="26">
        <v>0</v>
      </c>
      <c r="Q49" s="26">
        <v>0</v>
      </c>
      <c r="R49" s="26">
        <v>1</v>
      </c>
      <c r="S49" s="26">
        <v>0</v>
      </c>
      <c r="T49" s="26">
        <v>2</v>
      </c>
      <c r="U49" s="16">
        <v>10</v>
      </c>
      <c r="V49" s="26">
        <v>0</v>
      </c>
      <c r="W49" s="16">
        <v>0</v>
      </c>
      <c r="X49" s="16">
        <v>0</v>
      </c>
      <c r="Y49" s="16">
        <v>17</v>
      </c>
      <c r="Z49" s="16">
        <v>2</v>
      </c>
      <c r="AA49" s="26">
        <v>2</v>
      </c>
      <c r="AB49" s="26">
        <v>0</v>
      </c>
      <c r="AC49" s="16">
        <v>0</v>
      </c>
      <c r="AD49" s="16">
        <v>110</v>
      </c>
      <c r="AE49" s="16">
        <v>6</v>
      </c>
      <c r="AF49" s="16">
        <v>6</v>
      </c>
      <c r="AG49" s="26">
        <v>1</v>
      </c>
      <c r="AH49" s="26">
        <v>7</v>
      </c>
      <c r="AI49" s="16">
        <v>6</v>
      </c>
      <c r="AJ49" s="26">
        <v>0</v>
      </c>
      <c r="AK49" s="98">
        <v>6</v>
      </c>
      <c r="AL49" s="26">
        <v>1</v>
      </c>
      <c r="AM49" s="26">
        <v>0</v>
      </c>
      <c r="AN49" s="16">
        <v>47</v>
      </c>
      <c r="AO49" s="16">
        <v>0</v>
      </c>
      <c r="AP49" s="26">
        <v>0</v>
      </c>
      <c r="AQ49" s="26">
        <v>0</v>
      </c>
      <c r="AR49" s="16">
        <v>38</v>
      </c>
      <c r="AS49" s="16">
        <v>0</v>
      </c>
      <c r="AT49" s="26">
        <v>0</v>
      </c>
      <c r="AU49" s="16">
        <v>22</v>
      </c>
      <c r="AV49" s="26">
        <v>1</v>
      </c>
      <c r="AW49" s="26">
        <v>0</v>
      </c>
      <c r="AX49" s="26">
        <v>1</v>
      </c>
      <c r="AY49" s="26">
        <v>0</v>
      </c>
      <c r="AZ49" s="26">
        <v>0</v>
      </c>
      <c r="BA49" s="26">
        <v>0</v>
      </c>
      <c r="BB49" s="26">
        <v>0</v>
      </c>
      <c r="BC49" s="26">
        <v>0</v>
      </c>
      <c r="BD49" s="26">
        <v>7</v>
      </c>
      <c r="BE49" s="16">
        <v>7</v>
      </c>
      <c r="BF49" s="16">
        <v>0</v>
      </c>
      <c r="BG49" s="16">
        <v>0</v>
      </c>
      <c r="BH49" s="16">
        <v>0</v>
      </c>
      <c r="BI49" s="26">
        <v>1</v>
      </c>
      <c r="BJ49" s="16">
        <v>0</v>
      </c>
      <c r="BK49" s="26">
        <v>1</v>
      </c>
      <c r="BL49" s="16">
        <v>18</v>
      </c>
      <c r="BM49" s="16">
        <v>0</v>
      </c>
      <c r="BN49" s="26">
        <v>0</v>
      </c>
      <c r="BO49" s="16">
        <v>1</v>
      </c>
    </row>
    <row r="50" spans="1:68" s="5" customFormat="1" ht="21.9" customHeight="1" x14ac:dyDescent="0.25">
      <c r="A50" s="125" t="s">
        <v>90</v>
      </c>
      <c r="B50" s="4"/>
      <c r="C50" s="47" t="s">
        <v>75</v>
      </c>
      <c r="D50" s="48"/>
      <c r="E50" s="16">
        <v>4323</v>
      </c>
      <c r="F50" s="16">
        <v>45</v>
      </c>
      <c r="G50" s="16">
        <v>22</v>
      </c>
      <c r="H50" s="16">
        <v>0</v>
      </c>
      <c r="I50" s="16">
        <v>6</v>
      </c>
      <c r="J50" s="16">
        <v>0</v>
      </c>
      <c r="K50" s="16">
        <v>464</v>
      </c>
      <c r="L50" s="16">
        <v>56</v>
      </c>
      <c r="M50" s="16">
        <v>57</v>
      </c>
      <c r="N50" s="16">
        <v>1</v>
      </c>
      <c r="O50" s="16">
        <v>0</v>
      </c>
      <c r="P50" s="16">
        <v>6</v>
      </c>
      <c r="Q50" s="16">
        <v>4</v>
      </c>
      <c r="R50" s="16">
        <v>22</v>
      </c>
      <c r="S50" s="16">
        <v>124</v>
      </c>
      <c r="T50" s="16">
        <v>56</v>
      </c>
      <c r="U50" s="16">
        <v>89</v>
      </c>
      <c r="V50" s="16">
        <v>27</v>
      </c>
      <c r="W50" s="16">
        <v>92</v>
      </c>
      <c r="X50" s="16">
        <v>0</v>
      </c>
      <c r="Y50" s="16">
        <v>337</v>
      </c>
      <c r="Z50" s="16">
        <v>59</v>
      </c>
      <c r="AA50" s="16">
        <v>93</v>
      </c>
      <c r="AB50" s="16">
        <v>32</v>
      </c>
      <c r="AC50" s="16">
        <v>4</v>
      </c>
      <c r="AD50" s="16">
        <v>1076</v>
      </c>
      <c r="AE50" s="16">
        <v>70</v>
      </c>
      <c r="AF50" s="16">
        <v>35</v>
      </c>
      <c r="AG50" s="16">
        <v>102</v>
      </c>
      <c r="AH50" s="16">
        <v>88</v>
      </c>
      <c r="AI50" s="16">
        <v>32</v>
      </c>
      <c r="AJ50" s="16">
        <v>0</v>
      </c>
      <c r="AK50" s="98">
        <v>31</v>
      </c>
      <c r="AL50" s="16">
        <v>0</v>
      </c>
      <c r="AM50" s="16">
        <v>0</v>
      </c>
      <c r="AN50" s="16">
        <v>38</v>
      </c>
      <c r="AO50" s="16">
        <v>0</v>
      </c>
      <c r="AP50" s="16">
        <v>0</v>
      </c>
      <c r="AQ50" s="16">
        <v>0</v>
      </c>
      <c r="AR50" s="16">
        <v>105</v>
      </c>
      <c r="AS50" s="16">
        <v>91</v>
      </c>
      <c r="AT50" s="16">
        <v>120</v>
      </c>
      <c r="AU50" s="16">
        <v>164</v>
      </c>
      <c r="AV50" s="16">
        <v>72</v>
      </c>
      <c r="AW50" s="16">
        <v>3</v>
      </c>
      <c r="AX50" s="16">
        <v>116</v>
      </c>
      <c r="AY50" s="16">
        <v>0</v>
      </c>
      <c r="AZ50" s="16">
        <v>0</v>
      </c>
      <c r="BA50" s="26">
        <v>0</v>
      </c>
      <c r="BB50" s="26">
        <v>5</v>
      </c>
      <c r="BC50" s="26">
        <v>0</v>
      </c>
      <c r="BD50" s="16">
        <v>12</v>
      </c>
      <c r="BE50" s="16">
        <v>2</v>
      </c>
      <c r="BF50" s="16">
        <v>200</v>
      </c>
      <c r="BG50" s="26">
        <v>0</v>
      </c>
      <c r="BH50" s="16">
        <v>0</v>
      </c>
      <c r="BI50" s="16">
        <v>61</v>
      </c>
      <c r="BJ50" s="16">
        <v>213</v>
      </c>
      <c r="BK50" s="16">
        <v>1</v>
      </c>
      <c r="BL50" s="16">
        <v>18</v>
      </c>
      <c r="BM50" s="16">
        <v>34</v>
      </c>
      <c r="BN50" s="26">
        <v>0</v>
      </c>
      <c r="BO50" s="16">
        <v>38</v>
      </c>
    </row>
    <row r="51" spans="1:68" s="5" customFormat="1" ht="21.9" customHeight="1" x14ac:dyDescent="0.25">
      <c r="A51" s="125"/>
      <c r="B51" s="4"/>
      <c r="C51" s="47" t="s">
        <v>76</v>
      </c>
      <c r="D51" s="48"/>
      <c r="E51" s="16">
        <v>1</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0</v>
      </c>
      <c r="X51" s="26">
        <v>0</v>
      </c>
      <c r="Y51" s="26">
        <v>0</v>
      </c>
      <c r="Z51" s="26">
        <v>0</v>
      </c>
      <c r="AA51" s="26">
        <v>0</v>
      </c>
      <c r="AB51" s="26">
        <v>0</v>
      </c>
      <c r="AC51" s="26">
        <v>0</v>
      </c>
      <c r="AD51" s="26">
        <v>0</v>
      </c>
      <c r="AE51" s="26">
        <v>0</v>
      </c>
      <c r="AF51" s="26">
        <v>0</v>
      </c>
      <c r="AG51" s="26">
        <v>0</v>
      </c>
      <c r="AH51" s="26">
        <v>0</v>
      </c>
      <c r="AI51" s="26">
        <v>0</v>
      </c>
      <c r="AJ51" s="26">
        <v>0</v>
      </c>
      <c r="AK51" s="99">
        <v>1</v>
      </c>
      <c r="AL51" s="26">
        <v>0</v>
      </c>
      <c r="AM51" s="26">
        <v>0</v>
      </c>
      <c r="AN51" s="26">
        <v>0</v>
      </c>
      <c r="AO51" s="26">
        <v>0</v>
      </c>
      <c r="AP51" s="26">
        <v>0</v>
      </c>
      <c r="AQ51" s="26">
        <v>0</v>
      </c>
      <c r="AR51" s="26">
        <v>0</v>
      </c>
      <c r="AS51" s="26">
        <v>0</v>
      </c>
      <c r="AT51" s="26">
        <v>0</v>
      </c>
      <c r="AU51" s="26">
        <v>0</v>
      </c>
      <c r="AV51" s="26">
        <v>0</v>
      </c>
      <c r="AW51" s="26">
        <v>0</v>
      </c>
      <c r="AX51" s="26">
        <v>0</v>
      </c>
      <c r="AY51" s="26">
        <v>0</v>
      </c>
      <c r="AZ51" s="26">
        <v>0</v>
      </c>
      <c r="BA51" s="26">
        <v>0</v>
      </c>
      <c r="BB51" s="26">
        <v>0</v>
      </c>
      <c r="BC51" s="26">
        <v>0</v>
      </c>
      <c r="BD51" s="26">
        <v>0</v>
      </c>
      <c r="BE51" s="26">
        <v>0</v>
      </c>
      <c r="BF51" s="26">
        <v>0</v>
      </c>
      <c r="BG51" s="26">
        <v>0</v>
      </c>
      <c r="BH51" s="26">
        <v>0</v>
      </c>
      <c r="BI51" s="26">
        <v>0</v>
      </c>
      <c r="BJ51" s="26">
        <v>0</v>
      </c>
      <c r="BK51" s="26">
        <v>0</v>
      </c>
      <c r="BL51" s="26">
        <v>0</v>
      </c>
      <c r="BM51" s="26">
        <v>0</v>
      </c>
      <c r="BN51" s="26">
        <v>0</v>
      </c>
      <c r="BO51" s="26">
        <v>0</v>
      </c>
    </row>
    <row r="52" spans="1:68" s="5" customFormat="1" ht="21.9" customHeight="1" x14ac:dyDescent="0.25">
      <c r="A52" s="125" t="s">
        <v>91</v>
      </c>
      <c r="B52" s="4"/>
      <c r="C52" s="47" t="s">
        <v>75</v>
      </c>
      <c r="D52" s="48"/>
      <c r="E52" s="16">
        <v>41665</v>
      </c>
      <c r="F52" s="16">
        <v>411</v>
      </c>
      <c r="G52" s="16">
        <v>659</v>
      </c>
      <c r="H52" s="16">
        <v>349</v>
      </c>
      <c r="I52" s="16">
        <v>59</v>
      </c>
      <c r="J52" s="16">
        <v>0</v>
      </c>
      <c r="K52" s="16">
        <v>247</v>
      </c>
      <c r="L52" s="16">
        <v>105</v>
      </c>
      <c r="M52" s="16">
        <v>1070</v>
      </c>
      <c r="N52" s="16">
        <v>113</v>
      </c>
      <c r="O52" s="16">
        <v>31</v>
      </c>
      <c r="P52" s="16">
        <v>95</v>
      </c>
      <c r="Q52" s="16">
        <v>17</v>
      </c>
      <c r="R52" s="16">
        <v>189</v>
      </c>
      <c r="S52" s="16">
        <v>1243</v>
      </c>
      <c r="T52" s="16">
        <v>345</v>
      </c>
      <c r="U52" s="16">
        <v>407</v>
      </c>
      <c r="V52" s="16">
        <v>320</v>
      </c>
      <c r="W52" s="16">
        <v>201</v>
      </c>
      <c r="X52" s="16">
        <v>17</v>
      </c>
      <c r="Y52" s="16">
        <v>2183</v>
      </c>
      <c r="Z52" s="16">
        <v>401</v>
      </c>
      <c r="AA52" s="16">
        <v>520</v>
      </c>
      <c r="AB52" s="16">
        <v>374</v>
      </c>
      <c r="AC52" s="16">
        <v>52</v>
      </c>
      <c r="AD52" s="16">
        <v>4409</v>
      </c>
      <c r="AE52" s="16">
        <v>2088</v>
      </c>
      <c r="AF52" s="16">
        <v>130</v>
      </c>
      <c r="AG52" s="16">
        <v>317</v>
      </c>
      <c r="AH52" s="16">
        <v>83</v>
      </c>
      <c r="AI52" s="16">
        <v>2029</v>
      </c>
      <c r="AJ52" s="16">
        <v>0</v>
      </c>
      <c r="AK52" s="98">
        <v>10</v>
      </c>
      <c r="AL52" s="16">
        <v>323</v>
      </c>
      <c r="AM52" s="16">
        <v>196</v>
      </c>
      <c r="AN52" s="16">
        <v>1451</v>
      </c>
      <c r="AO52" s="16">
        <v>96</v>
      </c>
      <c r="AP52" s="16">
        <v>102</v>
      </c>
      <c r="AQ52" s="16">
        <v>0</v>
      </c>
      <c r="AR52" s="16">
        <v>316</v>
      </c>
      <c r="AS52" s="16">
        <v>439</v>
      </c>
      <c r="AT52" s="16">
        <v>3487</v>
      </c>
      <c r="AU52" s="16">
        <v>4815</v>
      </c>
      <c r="AV52" s="16">
        <v>2735</v>
      </c>
      <c r="AW52" s="16">
        <v>20</v>
      </c>
      <c r="AX52" s="16">
        <v>1076</v>
      </c>
      <c r="AY52" s="16">
        <v>488</v>
      </c>
      <c r="AZ52" s="16">
        <v>0</v>
      </c>
      <c r="BA52" s="16">
        <v>0</v>
      </c>
      <c r="BB52" s="26">
        <v>0</v>
      </c>
      <c r="BC52" s="16">
        <v>456</v>
      </c>
      <c r="BD52" s="16">
        <v>1177</v>
      </c>
      <c r="BE52" s="16">
        <v>1727</v>
      </c>
      <c r="BF52" s="16">
        <v>231</v>
      </c>
      <c r="BG52" s="16">
        <v>332</v>
      </c>
      <c r="BH52" s="16">
        <v>337</v>
      </c>
      <c r="BI52" s="16">
        <v>365</v>
      </c>
      <c r="BJ52" s="16">
        <v>252</v>
      </c>
      <c r="BK52" s="16">
        <v>299</v>
      </c>
      <c r="BL52" s="16">
        <v>420</v>
      </c>
      <c r="BM52" s="16">
        <v>1385</v>
      </c>
      <c r="BN52" s="16">
        <v>368</v>
      </c>
      <c r="BO52" s="16">
        <v>298</v>
      </c>
    </row>
    <row r="53" spans="1:68" s="5" customFormat="1" ht="21.9" customHeight="1" x14ac:dyDescent="0.25">
      <c r="A53" s="125"/>
      <c r="B53" s="4"/>
      <c r="C53" s="47" t="s">
        <v>76</v>
      </c>
      <c r="D53" s="48"/>
      <c r="E53" s="16">
        <v>313</v>
      </c>
      <c r="F53" s="26">
        <v>0</v>
      </c>
      <c r="G53" s="26">
        <v>0</v>
      </c>
      <c r="H53" s="26">
        <v>0</v>
      </c>
      <c r="I53" s="26">
        <v>0</v>
      </c>
      <c r="J53" s="26">
        <v>0</v>
      </c>
      <c r="K53" s="26">
        <v>0</v>
      </c>
      <c r="L53" s="26">
        <v>0</v>
      </c>
      <c r="M53" s="26">
        <v>0</v>
      </c>
      <c r="N53" s="26">
        <v>0</v>
      </c>
      <c r="O53" s="26">
        <v>0</v>
      </c>
      <c r="P53" s="26">
        <v>0</v>
      </c>
      <c r="Q53" s="26">
        <v>0</v>
      </c>
      <c r="R53" s="26">
        <v>6</v>
      </c>
      <c r="S53" s="26">
        <v>0</v>
      </c>
      <c r="T53" s="26">
        <v>0</v>
      </c>
      <c r="U53" s="16">
        <v>0</v>
      </c>
      <c r="V53" s="16">
        <v>0</v>
      </c>
      <c r="W53" s="26">
        <v>2</v>
      </c>
      <c r="X53" s="26">
        <v>0</v>
      </c>
      <c r="Y53" s="26">
        <v>0</v>
      </c>
      <c r="Z53" s="26">
        <v>0</v>
      </c>
      <c r="AA53" s="26">
        <v>0</v>
      </c>
      <c r="AB53" s="16">
        <v>0</v>
      </c>
      <c r="AC53" s="26">
        <v>0</v>
      </c>
      <c r="AD53" s="16">
        <v>0</v>
      </c>
      <c r="AE53" s="26">
        <v>0</v>
      </c>
      <c r="AF53" s="26">
        <v>0</v>
      </c>
      <c r="AG53" s="16">
        <v>7</v>
      </c>
      <c r="AH53" s="26">
        <v>0</v>
      </c>
      <c r="AI53" s="26">
        <v>0</v>
      </c>
      <c r="AJ53" s="26">
        <v>0</v>
      </c>
      <c r="AK53" s="98">
        <v>1</v>
      </c>
      <c r="AL53" s="26">
        <v>0</v>
      </c>
      <c r="AM53" s="26">
        <v>0</v>
      </c>
      <c r="AN53" s="26">
        <v>0</v>
      </c>
      <c r="AO53" s="16">
        <v>0</v>
      </c>
      <c r="AP53" s="26">
        <v>0</v>
      </c>
      <c r="AQ53" s="26">
        <v>0</v>
      </c>
      <c r="AR53" s="26">
        <v>4</v>
      </c>
      <c r="AS53" s="16">
        <v>3</v>
      </c>
      <c r="AT53" s="26">
        <v>0</v>
      </c>
      <c r="AU53" s="16">
        <v>23</v>
      </c>
      <c r="AV53" s="16">
        <v>5</v>
      </c>
      <c r="AW53" s="26">
        <v>0</v>
      </c>
      <c r="AX53" s="16">
        <v>1</v>
      </c>
      <c r="AY53" s="26">
        <v>0</v>
      </c>
      <c r="AZ53" s="26">
        <v>0</v>
      </c>
      <c r="BA53" s="26">
        <v>0</v>
      </c>
      <c r="BB53" s="26">
        <v>0</v>
      </c>
      <c r="BC53" s="26">
        <v>0</v>
      </c>
      <c r="BD53" s="26">
        <v>0</v>
      </c>
      <c r="BE53" s="26">
        <v>0</v>
      </c>
      <c r="BF53" s="26">
        <v>0</v>
      </c>
      <c r="BG53" s="16">
        <v>260</v>
      </c>
      <c r="BH53" s="26">
        <v>0</v>
      </c>
      <c r="BI53" s="16">
        <v>1</v>
      </c>
      <c r="BJ53" s="26">
        <v>0</v>
      </c>
      <c r="BK53" s="26">
        <v>0</v>
      </c>
      <c r="BL53" s="26">
        <v>0</v>
      </c>
      <c r="BM53" s="26">
        <v>0</v>
      </c>
      <c r="BN53" s="26">
        <v>0</v>
      </c>
      <c r="BO53" s="16">
        <v>0</v>
      </c>
    </row>
    <row r="54" spans="1:68" s="5" customFormat="1" ht="21.9" customHeight="1" x14ac:dyDescent="0.25">
      <c r="A54" s="125" t="s">
        <v>92</v>
      </c>
      <c r="B54" s="4"/>
      <c r="C54" s="47" t="s">
        <v>75</v>
      </c>
      <c r="D54" s="48"/>
      <c r="E54" s="16">
        <v>16481</v>
      </c>
      <c r="F54" s="16">
        <v>150</v>
      </c>
      <c r="G54" s="16">
        <v>82</v>
      </c>
      <c r="H54" s="16">
        <v>67</v>
      </c>
      <c r="I54" s="16">
        <v>99</v>
      </c>
      <c r="J54" s="16">
        <v>11</v>
      </c>
      <c r="K54" s="16">
        <v>1011</v>
      </c>
      <c r="L54" s="16">
        <v>164</v>
      </c>
      <c r="M54" s="16">
        <v>161</v>
      </c>
      <c r="N54" s="16">
        <v>13</v>
      </c>
      <c r="O54" s="16">
        <v>48</v>
      </c>
      <c r="P54" s="16">
        <v>5</v>
      </c>
      <c r="Q54" s="16">
        <v>36</v>
      </c>
      <c r="R54" s="16">
        <v>138</v>
      </c>
      <c r="S54" s="16">
        <v>87</v>
      </c>
      <c r="T54" s="16">
        <v>279</v>
      </c>
      <c r="U54" s="16">
        <v>517</v>
      </c>
      <c r="V54" s="16">
        <v>43</v>
      </c>
      <c r="W54" s="16">
        <v>25</v>
      </c>
      <c r="X54" s="16">
        <v>40</v>
      </c>
      <c r="Y54" s="16">
        <v>332</v>
      </c>
      <c r="Z54" s="16">
        <v>883</v>
      </c>
      <c r="AA54" s="16">
        <v>93</v>
      </c>
      <c r="AB54" s="16">
        <v>71</v>
      </c>
      <c r="AC54" s="16">
        <v>172</v>
      </c>
      <c r="AD54" s="16">
        <v>3215</v>
      </c>
      <c r="AE54" s="16">
        <v>1973</v>
      </c>
      <c r="AF54" s="16">
        <v>324</v>
      </c>
      <c r="AG54" s="16">
        <v>155</v>
      </c>
      <c r="AH54" s="16">
        <v>118</v>
      </c>
      <c r="AI54" s="16">
        <v>132</v>
      </c>
      <c r="AJ54" s="16">
        <v>4</v>
      </c>
      <c r="AK54" s="98">
        <v>62</v>
      </c>
      <c r="AL54" s="16">
        <v>86</v>
      </c>
      <c r="AM54" s="16">
        <v>10</v>
      </c>
      <c r="AN54" s="16">
        <v>588</v>
      </c>
      <c r="AO54" s="16">
        <v>23</v>
      </c>
      <c r="AP54" s="16">
        <v>5</v>
      </c>
      <c r="AQ54" s="16">
        <v>29</v>
      </c>
      <c r="AR54" s="16">
        <v>36</v>
      </c>
      <c r="AS54" s="16">
        <v>139</v>
      </c>
      <c r="AT54" s="16">
        <v>371</v>
      </c>
      <c r="AU54" s="16">
        <v>876</v>
      </c>
      <c r="AV54" s="16">
        <v>131</v>
      </c>
      <c r="AW54" s="16">
        <v>15</v>
      </c>
      <c r="AX54" s="16">
        <v>131</v>
      </c>
      <c r="AY54" s="16">
        <v>30</v>
      </c>
      <c r="AZ54" s="16">
        <v>11</v>
      </c>
      <c r="BA54" s="26">
        <v>2</v>
      </c>
      <c r="BB54" s="26">
        <v>0</v>
      </c>
      <c r="BC54" s="16">
        <v>0</v>
      </c>
      <c r="BD54" s="16">
        <v>124</v>
      </c>
      <c r="BE54" s="16">
        <v>309</v>
      </c>
      <c r="BF54" s="16">
        <v>423</v>
      </c>
      <c r="BG54" s="16">
        <v>464</v>
      </c>
      <c r="BH54" s="16">
        <v>209</v>
      </c>
      <c r="BI54" s="16">
        <v>0</v>
      </c>
      <c r="BJ54" s="16">
        <v>681</v>
      </c>
      <c r="BK54" s="16">
        <v>23</v>
      </c>
      <c r="BL54" s="16">
        <v>1000</v>
      </c>
      <c r="BM54" s="16">
        <v>159</v>
      </c>
      <c r="BN54" s="16">
        <v>0</v>
      </c>
      <c r="BO54" s="16">
        <v>96</v>
      </c>
    </row>
    <row r="55" spans="1:68" s="5" customFormat="1" ht="21.9" customHeight="1" x14ac:dyDescent="0.25">
      <c r="A55" s="125"/>
      <c r="B55" s="4"/>
      <c r="C55" s="47" t="s">
        <v>76</v>
      </c>
      <c r="D55" s="48"/>
      <c r="E55" s="16">
        <v>657</v>
      </c>
      <c r="F55" s="26">
        <v>0</v>
      </c>
      <c r="G55" s="26">
        <v>0</v>
      </c>
      <c r="H55" s="26">
        <v>0</v>
      </c>
      <c r="I55" s="26">
        <v>0</v>
      </c>
      <c r="J55" s="26">
        <v>0</v>
      </c>
      <c r="K55" s="26">
        <v>0</v>
      </c>
      <c r="L55" s="26">
        <v>0</v>
      </c>
      <c r="M55" s="26">
        <v>0</v>
      </c>
      <c r="N55" s="26">
        <v>0</v>
      </c>
      <c r="O55" s="26">
        <v>2</v>
      </c>
      <c r="P55" s="26">
        <v>0</v>
      </c>
      <c r="Q55" s="26">
        <v>3</v>
      </c>
      <c r="R55" s="26">
        <v>8</v>
      </c>
      <c r="S55" s="26">
        <v>0</v>
      </c>
      <c r="T55" s="16">
        <v>0</v>
      </c>
      <c r="U55" s="16">
        <v>7</v>
      </c>
      <c r="V55" s="16">
        <v>1</v>
      </c>
      <c r="W55" s="16">
        <v>1</v>
      </c>
      <c r="X55" s="16">
        <v>1</v>
      </c>
      <c r="Y55" s="16">
        <v>2</v>
      </c>
      <c r="Z55" s="16">
        <v>4</v>
      </c>
      <c r="AA55" s="16">
        <v>1</v>
      </c>
      <c r="AB55" s="16">
        <v>1</v>
      </c>
      <c r="AC55" s="16">
        <v>7</v>
      </c>
      <c r="AD55" s="16">
        <v>8</v>
      </c>
      <c r="AE55" s="16">
        <v>27</v>
      </c>
      <c r="AF55" s="16">
        <v>9</v>
      </c>
      <c r="AG55" s="16">
        <v>9</v>
      </c>
      <c r="AH55" s="16">
        <v>2</v>
      </c>
      <c r="AI55" s="16">
        <v>2</v>
      </c>
      <c r="AJ55" s="26">
        <v>0</v>
      </c>
      <c r="AK55" s="98">
        <v>10</v>
      </c>
      <c r="AL55" s="26">
        <v>1</v>
      </c>
      <c r="AM55" s="26">
        <v>1</v>
      </c>
      <c r="AN55" s="16">
        <v>7</v>
      </c>
      <c r="AO55" s="16">
        <v>0</v>
      </c>
      <c r="AP55" s="26">
        <v>0</v>
      </c>
      <c r="AQ55" s="16">
        <v>0</v>
      </c>
      <c r="AR55" s="16">
        <v>2</v>
      </c>
      <c r="AS55" s="16">
        <v>0</v>
      </c>
      <c r="AT55" s="26">
        <v>2</v>
      </c>
      <c r="AU55" s="16">
        <v>15</v>
      </c>
      <c r="AV55" s="26">
        <v>1</v>
      </c>
      <c r="AW55" s="26">
        <v>1</v>
      </c>
      <c r="AX55" s="16">
        <v>2</v>
      </c>
      <c r="AY55" s="26">
        <v>0</v>
      </c>
      <c r="AZ55" s="26">
        <v>0</v>
      </c>
      <c r="BA55" s="26">
        <v>0</v>
      </c>
      <c r="BB55" s="26">
        <v>0</v>
      </c>
      <c r="BC55" s="26">
        <v>0</v>
      </c>
      <c r="BD55" s="26">
        <v>0</v>
      </c>
      <c r="BE55" s="16">
        <v>7</v>
      </c>
      <c r="BF55" s="16">
        <v>11</v>
      </c>
      <c r="BG55" s="16">
        <v>464</v>
      </c>
      <c r="BH55" s="26">
        <v>0</v>
      </c>
      <c r="BI55" s="16">
        <v>1</v>
      </c>
      <c r="BJ55" s="26">
        <v>2</v>
      </c>
      <c r="BK55" s="26">
        <v>3</v>
      </c>
      <c r="BL55" s="16">
        <v>1</v>
      </c>
      <c r="BM55" s="26">
        <v>0</v>
      </c>
      <c r="BN55" s="26">
        <v>0</v>
      </c>
      <c r="BO55" s="26">
        <v>31</v>
      </c>
    </row>
    <row r="56" spans="1:68" s="5" customFormat="1" ht="21.9" customHeight="1" x14ac:dyDescent="0.25">
      <c r="A56" s="125" t="s">
        <v>93</v>
      </c>
      <c r="C56" s="47" t="s">
        <v>75</v>
      </c>
      <c r="D56" s="48"/>
      <c r="E56" s="16">
        <v>45775</v>
      </c>
      <c r="F56" s="16">
        <v>1527</v>
      </c>
      <c r="G56" s="16">
        <v>704</v>
      </c>
      <c r="H56" s="16">
        <v>202</v>
      </c>
      <c r="I56" s="16">
        <v>504</v>
      </c>
      <c r="J56" s="16">
        <v>111</v>
      </c>
      <c r="K56" s="16">
        <v>241</v>
      </c>
      <c r="L56" s="16">
        <v>885</v>
      </c>
      <c r="M56" s="16">
        <v>178</v>
      </c>
      <c r="N56" s="16">
        <v>81</v>
      </c>
      <c r="O56" s="16">
        <v>185</v>
      </c>
      <c r="P56" s="16">
        <v>15</v>
      </c>
      <c r="Q56" s="16">
        <v>46</v>
      </c>
      <c r="R56" s="16">
        <v>256</v>
      </c>
      <c r="S56" s="16">
        <v>140</v>
      </c>
      <c r="T56" s="16">
        <v>123</v>
      </c>
      <c r="U56" s="16">
        <v>1491</v>
      </c>
      <c r="V56" s="16">
        <v>311</v>
      </c>
      <c r="W56" s="16">
        <v>215</v>
      </c>
      <c r="X56" s="16">
        <v>295</v>
      </c>
      <c r="Y56" s="16">
        <v>3070</v>
      </c>
      <c r="Z56" s="16">
        <v>1094</v>
      </c>
      <c r="AA56" s="16">
        <v>125</v>
      </c>
      <c r="AB56" s="16">
        <v>283</v>
      </c>
      <c r="AC56" s="16">
        <v>375</v>
      </c>
      <c r="AD56" s="16">
        <v>4083</v>
      </c>
      <c r="AE56" s="16">
        <v>5062</v>
      </c>
      <c r="AF56" s="16">
        <v>390</v>
      </c>
      <c r="AG56" s="16">
        <v>131</v>
      </c>
      <c r="AH56" s="16">
        <v>220</v>
      </c>
      <c r="AI56" s="16">
        <v>1905</v>
      </c>
      <c r="AJ56" s="16">
        <v>120</v>
      </c>
      <c r="AK56" s="98">
        <v>436</v>
      </c>
      <c r="AL56" s="16">
        <v>182</v>
      </c>
      <c r="AM56" s="16">
        <v>254</v>
      </c>
      <c r="AN56" s="16">
        <v>1079</v>
      </c>
      <c r="AO56" s="16">
        <v>48</v>
      </c>
      <c r="AP56" s="16">
        <v>68</v>
      </c>
      <c r="AQ56" s="16">
        <v>136</v>
      </c>
      <c r="AR56" s="16">
        <v>205</v>
      </c>
      <c r="AS56" s="16">
        <v>403</v>
      </c>
      <c r="AT56" s="16">
        <v>1245</v>
      </c>
      <c r="AU56" s="16">
        <v>4390</v>
      </c>
      <c r="AV56" s="16">
        <v>1342</v>
      </c>
      <c r="AW56" s="16">
        <v>64</v>
      </c>
      <c r="AX56" s="16">
        <v>686</v>
      </c>
      <c r="AY56" s="16">
        <v>441</v>
      </c>
      <c r="AZ56" s="16">
        <v>0</v>
      </c>
      <c r="BA56" s="16">
        <v>25</v>
      </c>
      <c r="BB56" s="16">
        <v>149</v>
      </c>
      <c r="BC56" s="16">
        <v>124</v>
      </c>
      <c r="BD56" s="16">
        <v>371</v>
      </c>
      <c r="BE56" s="16">
        <v>708</v>
      </c>
      <c r="BF56" s="16">
        <v>1029</v>
      </c>
      <c r="BG56" s="16">
        <v>3282</v>
      </c>
      <c r="BH56" s="16">
        <v>103</v>
      </c>
      <c r="BI56" s="16">
        <v>94</v>
      </c>
      <c r="BJ56" s="16">
        <v>1425</v>
      </c>
      <c r="BK56" s="16">
        <v>1117</v>
      </c>
      <c r="BL56" s="16">
        <v>1465</v>
      </c>
      <c r="BM56" s="16">
        <v>245</v>
      </c>
      <c r="BN56" s="16">
        <v>25</v>
      </c>
      <c r="BO56" s="16">
        <v>266</v>
      </c>
      <c r="BP56" s="16"/>
    </row>
    <row r="57" spans="1:68" s="5" customFormat="1" ht="21.9" customHeight="1" x14ac:dyDescent="0.25">
      <c r="A57" s="125"/>
      <c r="C57" s="47" t="s">
        <v>184</v>
      </c>
      <c r="D57" s="48"/>
      <c r="E57" s="16">
        <v>357</v>
      </c>
      <c r="F57" s="26">
        <v>0</v>
      </c>
      <c r="G57" s="26">
        <v>0</v>
      </c>
      <c r="H57" s="26">
        <v>0</v>
      </c>
      <c r="I57" s="26">
        <v>0</v>
      </c>
      <c r="J57" s="26">
        <v>0</v>
      </c>
      <c r="K57" s="26">
        <v>0</v>
      </c>
      <c r="L57" s="26">
        <v>0</v>
      </c>
      <c r="M57" s="26">
        <v>0</v>
      </c>
      <c r="N57" s="26">
        <v>0</v>
      </c>
      <c r="O57" s="26">
        <v>0</v>
      </c>
      <c r="P57" s="26">
        <v>0</v>
      </c>
      <c r="Q57" s="26">
        <v>0</v>
      </c>
      <c r="R57" s="26">
        <v>1</v>
      </c>
      <c r="S57" s="26">
        <v>0</v>
      </c>
      <c r="T57" s="16">
        <v>0</v>
      </c>
      <c r="U57" s="16">
        <v>0</v>
      </c>
      <c r="V57" s="16">
        <v>0</v>
      </c>
      <c r="W57" s="16">
        <v>1</v>
      </c>
      <c r="X57" s="16">
        <v>0</v>
      </c>
      <c r="Y57" s="16">
        <v>0</v>
      </c>
      <c r="Z57" s="16">
        <v>1</v>
      </c>
      <c r="AA57" s="16">
        <v>0</v>
      </c>
      <c r="AB57" s="16">
        <v>0</v>
      </c>
      <c r="AC57" s="16">
        <v>0</v>
      </c>
      <c r="AD57" s="16">
        <v>0</v>
      </c>
      <c r="AE57" s="16">
        <v>0</v>
      </c>
      <c r="AF57" s="16">
        <v>0</v>
      </c>
      <c r="AG57" s="16">
        <v>10</v>
      </c>
      <c r="AH57" s="16">
        <v>1</v>
      </c>
      <c r="AI57" s="16">
        <v>8</v>
      </c>
      <c r="AJ57" s="16">
        <v>0</v>
      </c>
      <c r="AK57" s="98">
        <v>0</v>
      </c>
      <c r="AL57" s="16">
        <v>0</v>
      </c>
      <c r="AM57" s="16">
        <v>0</v>
      </c>
      <c r="AN57" s="16">
        <v>0</v>
      </c>
      <c r="AO57" s="26">
        <v>0</v>
      </c>
      <c r="AP57" s="26">
        <v>0</v>
      </c>
      <c r="AQ57" s="16">
        <v>0</v>
      </c>
      <c r="AR57" s="26">
        <v>0</v>
      </c>
      <c r="AS57" s="26">
        <v>0</v>
      </c>
      <c r="AT57" s="26">
        <v>0</v>
      </c>
      <c r="AU57" s="16">
        <v>0</v>
      </c>
      <c r="AV57" s="26">
        <v>0</v>
      </c>
      <c r="AW57" s="26">
        <v>0</v>
      </c>
      <c r="AX57" s="26">
        <v>0</v>
      </c>
      <c r="AY57" s="16">
        <v>0</v>
      </c>
      <c r="AZ57" s="26">
        <v>0</v>
      </c>
      <c r="BA57" s="26">
        <v>0</v>
      </c>
      <c r="BB57" s="26">
        <v>0</v>
      </c>
      <c r="BC57" s="26">
        <v>0</v>
      </c>
      <c r="BD57" s="26">
        <v>0</v>
      </c>
      <c r="BE57" s="16">
        <v>0</v>
      </c>
      <c r="BF57" s="16">
        <v>0</v>
      </c>
      <c r="BG57" s="16">
        <v>321</v>
      </c>
      <c r="BH57" s="16">
        <v>0</v>
      </c>
      <c r="BI57" s="26">
        <v>6</v>
      </c>
      <c r="BJ57" s="26">
        <v>1</v>
      </c>
      <c r="BK57" s="26">
        <v>7</v>
      </c>
      <c r="BL57" s="26">
        <v>0</v>
      </c>
      <c r="BM57" s="26">
        <v>0</v>
      </c>
      <c r="BN57" s="26">
        <v>0</v>
      </c>
      <c r="BO57" s="16">
        <v>0</v>
      </c>
      <c r="BP57" s="16"/>
    </row>
    <row r="58" spans="1:68" s="5" customFormat="1" ht="21.9" customHeight="1" x14ac:dyDescent="0.25">
      <c r="A58" s="125" t="s">
        <v>248</v>
      </c>
      <c r="B58" s="4"/>
      <c r="C58" s="47" t="s">
        <v>75</v>
      </c>
      <c r="D58" s="48"/>
      <c r="E58" s="16">
        <v>44327</v>
      </c>
      <c r="F58" s="16">
        <v>1464</v>
      </c>
      <c r="G58" s="16">
        <v>886</v>
      </c>
      <c r="H58" s="16">
        <v>675</v>
      </c>
      <c r="I58" s="16">
        <v>1201</v>
      </c>
      <c r="J58" s="16">
        <v>0</v>
      </c>
      <c r="K58" s="16">
        <v>1111</v>
      </c>
      <c r="L58" s="16">
        <v>1213</v>
      </c>
      <c r="M58" s="16">
        <v>470</v>
      </c>
      <c r="N58" s="16">
        <v>90</v>
      </c>
      <c r="O58" s="16">
        <v>740</v>
      </c>
      <c r="P58" s="16">
        <v>0</v>
      </c>
      <c r="Q58" s="16">
        <v>462</v>
      </c>
      <c r="R58" s="16">
        <v>1189</v>
      </c>
      <c r="S58" s="16">
        <v>645</v>
      </c>
      <c r="T58" s="16">
        <v>516</v>
      </c>
      <c r="U58" s="16">
        <v>1695</v>
      </c>
      <c r="V58" s="16">
        <v>230</v>
      </c>
      <c r="W58" s="16">
        <v>535</v>
      </c>
      <c r="X58" s="16">
        <v>200</v>
      </c>
      <c r="Y58" s="16">
        <v>747</v>
      </c>
      <c r="Z58" s="16">
        <v>988</v>
      </c>
      <c r="AA58" s="16">
        <v>51</v>
      </c>
      <c r="AB58" s="16">
        <v>1011</v>
      </c>
      <c r="AC58" s="16">
        <v>700</v>
      </c>
      <c r="AD58" s="16">
        <v>2476</v>
      </c>
      <c r="AE58" s="16">
        <v>1990</v>
      </c>
      <c r="AF58" s="16">
        <v>485</v>
      </c>
      <c r="AG58" s="16">
        <v>210</v>
      </c>
      <c r="AH58" s="16">
        <v>447</v>
      </c>
      <c r="AI58" s="16">
        <v>1089</v>
      </c>
      <c r="AJ58" s="16">
        <v>250</v>
      </c>
      <c r="AK58" s="98">
        <v>756</v>
      </c>
      <c r="AL58" s="16">
        <v>250</v>
      </c>
      <c r="AM58" s="16">
        <v>408</v>
      </c>
      <c r="AN58" s="16">
        <v>1717</v>
      </c>
      <c r="AO58" s="16">
        <v>40</v>
      </c>
      <c r="AP58" s="16">
        <v>100</v>
      </c>
      <c r="AQ58" s="16">
        <v>30</v>
      </c>
      <c r="AR58" s="16">
        <v>209</v>
      </c>
      <c r="AS58" s="16">
        <v>1055</v>
      </c>
      <c r="AT58" s="16">
        <v>785</v>
      </c>
      <c r="AU58" s="16">
        <v>3473</v>
      </c>
      <c r="AV58" s="16">
        <v>1355</v>
      </c>
      <c r="AW58" s="16">
        <v>100</v>
      </c>
      <c r="AX58" s="16">
        <v>1151</v>
      </c>
      <c r="AY58" s="16">
        <v>25</v>
      </c>
      <c r="AZ58" s="26">
        <v>0</v>
      </c>
      <c r="BA58" s="26">
        <v>0</v>
      </c>
      <c r="BB58" s="26">
        <v>0</v>
      </c>
      <c r="BC58" s="16">
        <v>0</v>
      </c>
      <c r="BD58" s="16">
        <v>485</v>
      </c>
      <c r="BE58" s="16">
        <v>976</v>
      </c>
      <c r="BF58" s="16">
        <v>1468</v>
      </c>
      <c r="BG58" s="16">
        <v>2952</v>
      </c>
      <c r="BH58" s="16">
        <v>693</v>
      </c>
      <c r="BI58" s="16">
        <v>232</v>
      </c>
      <c r="BJ58" s="16">
        <v>185</v>
      </c>
      <c r="BK58" s="16">
        <v>888</v>
      </c>
      <c r="BL58" s="26">
        <v>20</v>
      </c>
      <c r="BM58" s="16">
        <v>235</v>
      </c>
      <c r="BN58" s="16">
        <v>360</v>
      </c>
      <c r="BO58" s="16">
        <v>613</v>
      </c>
    </row>
    <row r="59" spans="1:68" s="5" customFormat="1" ht="21.9" customHeight="1" x14ac:dyDescent="0.25">
      <c r="A59" s="125"/>
      <c r="B59" s="4"/>
      <c r="C59" s="47" t="s">
        <v>76</v>
      </c>
      <c r="D59" s="48"/>
      <c r="E59" s="16">
        <v>568</v>
      </c>
      <c r="F59" s="26">
        <v>0</v>
      </c>
      <c r="G59" s="26">
        <v>0</v>
      </c>
      <c r="H59" s="26">
        <v>0</v>
      </c>
      <c r="I59" s="26">
        <v>2</v>
      </c>
      <c r="J59" s="26">
        <v>0</v>
      </c>
      <c r="K59" s="26">
        <v>0</v>
      </c>
      <c r="L59" s="26">
        <v>1</v>
      </c>
      <c r="M59" s="26">
        <v>0</v>
      </c>
      <c r="N59" s="26">
        <v>0</v>
      </c>
      <c r="O59" s="26">
        <v>1</v>
      </c>
      <c r="P59" s="26">
        <v>0</v>
      </c>
      <c r="Q59" s="26">
        <v>1</v>
      </c>
      <c r="R59" s="26">
        <v>1</v>
      </c>
      <c r="S59" s="26">
        <v>0</v>
      </c>
      <c r="T59" s="16">
        <v>0</v>
      </c>
      <c r="U59" s="16">
        <v>1</v>
      </c>
      <c r="V59" s="16">
        <v>0</v>
      </c>
      <c r="W59" s="16">
        <v>0</v>
      </c>
      <c r="X59" s="16">
        <v>0</v>
      </c>
      <c r="Y59" s="16">
        <v>0</v>
      </c>
      <c r="Z59" s="16">
        <v>5</v>
      </c>
      <c r="AA59" s="16">
        <v>0</v>
      </c>
      <c r="AB59" s="16">
        <v>1</v>
      </c>
      <c r="AC59" s="16">
        <v>0</v>
      </c>
      <c r="AD59" s="16">
        <v>1</v>
      </c>
      <c r="AE59" s="16">
        <v>0</v>
      </c>
      <c r="AF59" s="16">
        <v>0</v>
      </c>
      <c r="AG59" s="16">
        <v>3</v>
      </c>
      <c r="AH59" s="16">
        <v>0</v>
      </c>
      <c r="AI59" s="16">
        <v>0</v>
      </c>
      <c r="AJ59" s="16">
        <v>0</v>
      </c>
      <c r="AK59" s="98">
        <v>2</v>
      </c>
      <c r="AL59" s="16">
        <v>0</v>
      </c>
      <c r="AM59" s="16">
        <v>0</v>
      </c>
      <c r="AN59" s="16">
        <v>6</v>
      </c>
      <c r="AO59" s="26">
        <v>0</v>
      </c>
      <c r="AP59" s="26">
        <v>0</v>
      </c>
      <c r="AQ59" s="26">
        <v>0</v>
      </c>
      <c r="AR59" s="16">
        <v>1</v>
      </c>
      <c r="AS59" s="16">
        <v>0</v>
      </c>
      <c r="AT59" s="26">
        <v>0</v>
      </c>
      <c r="AU59" s="16">
        <v>21</v>
      </c>
      <c r="AV59" s="16">
        <v>2</v>
      </c>
      <c r="AW59" s="26">
        <v>1</v>
      </c>
      <c r="AX59" s="16">
        <v>0</v>
      </c>
      <c r="AY59" s="16">
        <v>0</v>
      </c>
      <c r="AZ59" s="26">
        <v>0</v>
      </c>
      <c r="BA59" s="26">
        <v>0</v>
      </c>
      <c r="BB59" s="26">
        <v>0</v>
      </c>
      <c r="BC59" s="26">
        <v>0</v>
      </c>
      <c r="BD59" s="26">
        <v>0</v>
      </c>
      <c r="BE59" s="16">
        <v>0</v>
      </c>
      <c r="BF59" s="26">
        <v>1</v>
      </c>
      <c r="BG59" s="16">
        <v>499</v>
      </c>
      <c r="BH59" s="26">
        <v>6</v>
      </c>
      <c r="BI59" s="16">
        <v>0</v>
      </c>
      <c r="BJ59" s="16">
        <v>8</v>
      </c>
      <c r="BK59" s="16">
        <v>3</v>
      </c>
      <c r="BL59" s="26">
        <v>0</v>
      </c>
      <c r="BM59" s="26">
        <v>0</v>
      </c>
      <c r="BN59" s="26">
        <v>0</v>
      </c>
      <c r="BO59" s="26">
        <v>1</v>
      </c>
    </row>
    <row r="60" spans="1:68" s="5" customFormat="1" ht="21.9" customHeight="1" x14ac:dyDescent="0.25">
      <c r="A60" s="125" t="s">
        <v>95</v>
      </c>
      <c r="B60" s="4"/>
      <c r="C60" s="47" t="s">
        <v>75</v>
      </c>
      <c r="D60" s="48"/>
      <c r="E60" s="28">
        <v>14194</v>
      </c>
      <c r="F60" s="16">
        <v>193</v>
      </c>
      <c r="G60" s="16">
        <v>0</v>
      </c>
      <c r="H60" s="16">
        <v>0</v>
      </c>
      <c r="I60" s="16">
        <v>12</v>
      </c>
      <c r="J60" s="16">
        <v>0</v>
      </c>
      <c r="K60" s="16">
        <v>3217</v>
      </c>
      <c r="L60" s="16">
        <v>538</v>
      </c>
      <c r="M60" s="16">
        <v>58</v>
      </c>
      <c r="N60" s="16">
        <v>88</v>
      </c>
      <c r="O60" s="16">
        <v>40</v>
      </c>
      <c r="P60" s="16">
        <v>0</v>
      </c>
      <c r="Q60" s="16">
        <v>38</v>
      </c>
      <c r="R60" s="16">
        <v>244</v>
      </c>
      <c r="S60" s="16">
        <v>0</v>
      </c>
      <c r="T60" s="16">
        <v>418</v>
      </c>
      <c r="U60" s="16">
        <v>174</v>
      </c>
      <c r="V60" s="26">
        <v>51</v>
      </c>
      <c r="W60" s="16">
        <v>0</v>
      </c>
      <c r="X60" s="16">
        <v>18</v>
      </c>
      <c r="Y60" s="16">
        <v>462</v>
      </c>
      <c r="Z60" s="16">
        <v>549</v>
      </c>
      <c r="AA60" s="26">
        <v>290</v>
      </c>
      <c r="AB60" s="16">
        <v>2132</v>
      </c>
      <c r="AC60" s="26">
        <v>0</v>
      </c>
      <c r="AD60" s="16">
        <v>2177</v>
      </c>
      <c r="AE60" s="26">
        <v>824</v>
      </c>
      <c r="AF60" s="26">
        <v>0</v>
      </c>
      <c r="AG60" s="16">
        <v>835</v>
      </c>
      <c r="AH60" s="16">
        <v>69</v>
      </c>
      <c r="AI60" s="26">
        <v>30</v>
      </c>
      <c r="AJ60" s="26">
        <v>0</v>
      </c>
      <c r="AK60" s="98">
        <v>21</v>
      </c>
      <c r="AL60" s="16">
        <v>0</v>
      </c>
      <c r="AM60" s="26">
        <v>390</v>
      </c>
      <c r="AN60" s="26">
        <v>30</v>
      </c>
      <c r="AO60" s="26">
        <v>50</v>
      </c>
      <c r="AP60" s="26">
        <v>0</v>
      </c>
      <c r="AQ60" s="26">
        <v>0</v>
      </c>
      <c r="AR60" s="16">
        <v>36</v>
      </c>
      <c r="AS60" s="16">
        <v>5</v>
      </c>
      <c r="AT60" s="16">
        <v>135</v>
      </c>
      <c r="AU60" s="16">
        <v>21</v>
      </c>
      <c r="AV60" s="16">
        <v>14</v>
      </c>
      <c r="AW60" s="26">
        <v>50</v>
      </c>
      <c r="AX60" s="16">
        <v>98</v>
      </c>
      <c r="AY60" s="26">
        <v>0</v>
      </c>
      <c r="AZ60" s="26">
        <v>0</v>
      </c>
      <c r="BA60" s="26">
        <v>0</v>
      </c>
      <c r="BB60" s="26">
        <v>0</v>
      </c>
      <c r="BC60" s="26">
        <v>0</v>
      </c>
      <c r="BD60" s="26">
        <v>0</v>
      </c>
      <c r="BE60" s="16">
        <v>0</v>
      </c>
      <c r="BF60" s="16">
        <v>10</v>
      </c>
      <c r="BG60" s="26">
        <v>0</v>
      </c>
      <c r="BH60" s="26">
        <v>0</v>
      </c>
      <c r="BI60" s="16">
        <v>0</v>
      </c>
      <c r="BJ60" s="26">
        <v>0</v>
      </c>
      <c r="BK60" s="26">
        <v>0</v>
      </c>
      <c r="BL60" s="16">
        <v>776</v>
      </c>
      <c r="BM60" s="16">
        <v>81</v>
      </c>
      <c r="BN60" s="26">
        <v>0</v>
      </c>
      <c r="BO60" s="16">
        <v>20</v>
      </c>
    </row>
    <row r="61" spans="1:68" s="5" customFormat="1" ht="21.9" customHeight="1" x14ac:dyDescent="0.25">
      <c r="A61" s="125"/>
      <c r="B61" s="4"/>
      <c r="C61" s="47" t="s">
        <v>76</v>
      </c>
      <c r="D61" s="48"/>
      <c r="E61" s="28">
        <v>0</v>
      </c>
      <c r="F61" s="26">
        <v>0</v>
      </c>
      <c r="G61" s="26">
        <v>0</v>
      </c>
      <c r="H61" s="26">
        <v>0</v>
      </c>
      <c r="I61" s="26">
        <v>0</v>
      </c>
      <c r="J61" s="26">
        <v>0</v>
      </c>
      <c r="K61" s="26">
        <v>0</v>
      </c>
      <c r="L61" s="26">
        <v>0</v>
      </c>
      <c r="M61" s="26">
        <v>0</v>
      </c>
      <c r="N61" s="26">
        <v>0</v>
      </c>
      <c r="O61" s="26">
        <v>0</v>
      </c>
      <c r="P61" s="26">
        <v>0</v>
      </c>
      <c r="Q61" s="26">
        <v>0</v>
      </c>
      <c r="R61" s="26">
        <v>0</v>
      </c>
      <c r="S61" s="26">
        <v>0</v>
      </c>
      <c r="T61" s="26">
        <v>0</v>
      </c>
      <c r="U61" s="26">
        <v>0</v>
      </c>
      <c r="V61" s="26">
        <v>0</v>
      </c>
      <c r="W61" s="26">
        <v>0</v>
      </c>
      <c r="X61" s="26">
        <v>0</v>
      </c>
      <c r="Y61" s="26">
        <v>0</v>
      </c>
      <c r="Z61" s="26">
        <v>0</v>
      </c>
      <c r="AA61" s="26">
        <v>0</v>
      </c>
      <c r="AB61" s="26">
        <v>0</v>
      </c>
      <c r="AC61" s="26">
        <v>0</v>
      </c>
      <c r="AD61" s="26">
        <v>0</v>
      </c>
      <c r="AE61" s="26">
        <v>0</v>
      </c>
      <c r="AF61" s="26">
        <v>0</v>
      </c>
      <c r="AG61" s="26">
        <v>0</v>
      </c>
      <c r="AH61" s="26">
        <v>0</v>
      </c>
      <c r="AI61" s="26">
        <v>0</v>
      </c>
      <c r="AJ61" s="26">
        <v>0</v>
      </c>
      <c r="AK61" s="99">
        <v>0</v>
      </c>
      <c r="AL61" s="26">
        <v>0</v>
      </c>
      <c r="AM61" s="26">
        <v>0</v>
      </c>
      <c r="AN61" s="26">
        <v>0</v>
      </c>
      <c r="AO61" s="26">
        <v>0</v>
      </c>
      <c r="AP61" s="26">
        <v>0</v>
      </c>
      <c r="AQ61" s="26">
        <v>0</v>
      </c>
      <c r="AR61" s="26">
        <v>0</v>
      </c>
      <c r="AS61" s="26">
        <v>0</v>
      </c>
      <c r="AT61" s="26">
        <v>0</v>
      </c>
      <c r="AU61" s="26">
        <v>0</v>
      </c>
      <c r="AV61" s="26">
        <v>0</v>
      </c>
      <c r="AW61" s="26">
        <v>0</v>
      </c>
      <c r="AX61" s="26">
        <v>0</v>
      </c>
      <c r="AY61" s="26">
        <v>0</v>
      </c>
      <c r="AZ61" s="26">
        <v>0</v>
      </c>
      <c r="BA61" s="26">
        <v>0</v>
      </c>
      <c r="BB61" s="26">
        <v>0</v>
      </c>
      <c r="BC61" s="26">
        <v>0</v>
      </c>
      <c r="BD61" s="26">
        <v>0</v>
      </c>
      <c r="BE61" s="26">
        <v>0</v>
      </c>
      <c r="BF61" s="16">
        <v>0</v>
      </c>
      <c r="BG61" s="26">
        <v>0</v>
      </c>
      <c r="BH61" s="26">
        <v>0</v>
      </c>
      <c r="BI61" s="26">
        <v>0</v>
      </c>
      <c r="BJ61" s="26">
        <v>0</v>
      </c>
      <c r="BK61" s="26">
        <v>0</v>
      </c>
      <c r="BL61" s="26">
        <v>0</v>
      </c>
      <c r="BM61" s="26">
        <v>0</v>
      </c>
      <c r="BN61" s="26">
        <v>0</v>
      </c>
      <c r="BO61" s="26">
        <v>0</v>
      </c>
    </row>
    <row r="62" spans="1:68" s="5" customFormat="1" ht="21.9" customHeight="1" x14ac:dyDescent="0.25">
      <c r="A62" s="125" t="s">
        <v>96</v>
      </c>
      <c r="B62" s="4"/>
      <c r="C62" s="47" t="s">
        <v>75</v>
      </c>
      <c r="D62" s="48"/>
      <c r="E62" s="28">
        <v>945</v>
      </c>
      <c r="F62" s="16">
        <v>32</v>
      </c>
      <c r="G62" s="16">
        <v>35</v>
      </c>
      <c r="H62" s="16">
        <v>3</v>
      </c>
      <c r="I62" s="16">
        <v>3</v>
      </c>
      <c r="J62" s="16">
        <v>0</v>
      </c>
      <c r="K62" s="16">
        <v>21</v>
      </c>
      <c r="L62" s="16">
        <v>0</v>
      </c>
      <c r="M62" s="16">
        <v>6</v>
      </c>
      <c r="N62" s="16">
        <v>2</v>
      </c>
      <c r="O62" s="16">
        <v>0</v>
      </c>
      <c r="P62" s="16">
        <v>0</v>
      </c>
      <c r="Q62" s="16">
        <v>0</v>
      </c>
      <c r="R62" s="16">
        <v>27</v>
      </c>
      <c r="S62" s="16">
        <v>14</v>
      </c>
      <c r="T62" s="16">
        <v>32</v>
      </c>
      <c r="U62" s="16">
        <v>12</v>
      </c>
      <c r="V62" s="16">
        <v>0</v>
      </c>
      <c r="W62" s="16">
        <v>9</v>
      </c>
      <c r="X62" s="16">
        <v>0</v>
      </c>
      <c r="Y62" s="16">
        <v>57</v>
      </c>
      <c r="Z62" s="16">
        <v>2</v>
      </c>
      <c r="AA62" s="16">
        <v>5</v>
      </c>
      <c r="AB62" s="16">
        <v>12</v>
      </c>
      <c r="AC62" s="16">
        <v>0</v>
      </c>
      <c r="AD62" s="16">
        <v>121</v>
      </c>
      <c r="AE62" s="26">
        <v>17</v>
      </c>
      <c r="AF62" s="16">
        <v>0</v>
      </c>
      <c r="AG62" s="16">
        <v>446</v>
      </c>
      <c r="AH62" s="16">
        <v>8</v>
      </c>
      <c r="AI62" s="16">
        <v>4</v>
      </c>
      <c r="AJ62" s="26">
        <v>0</v>
      </c>
      <c r="AK62" s="98">
        <v>5</v>
      </c>
      <c r="AL62" s="16">
        <v>0</v>
      </c>
      <c r="AM62" s="16">
        <v>3</v>
      </c>
      <c r="AN62" s="16">
        <v>0</v>
      </c>
      <c r="AO62" s="26">
        <v>0</v>
      </c>
      <c r="AP62" s="26">
        <v>0</v>
      </c>
      <c r="AQ62" s="26">
        <v>0</v>
      </c>
      <c r="AR62" s="16">
        <v>3</v>
      </c>
      <c r="AS62" s="16">
        <v>15</v>
      </c>
      <c r="AT62" s="26">
        <v>0</v>
      </c>
      <c r="AU62" s="16">
        <v>29</v>
      </c>
      <c r="AV62" s="16">
        <v>0</v>
      </c>
      <c r="AW62" s="26">
        <v>0</v>
      </c>
      <c r="AX62" s="16">
        <v>0</v>
      </c>
      <c r="AY62" s="26">
        <v>0</v>
      </c>
      <c r="AZ62" s="26">
        <v>0</v>
      </c>
      <c r="BA62" s="26">
        <v>0</v>
      </c>
      <c r="BB62" s="26">
        <v>0</v>
      </c>
      <c r="BC62" s="26">
        <v>0</v>
      </c>
      <c r="BD62" s="26">
        <v>0</v>
      </c>
      <c r="BE62" s="16">
        <v>0</v>
      </c>
      <c r="BF62" s="16">
        <v>0</v>
      </c>
      <c r="BG62" s="26">
        <v>0</v>
      </c>
      <c r="BH62" s="26">
        <v>0</v>
      </c>
      <c r="BI62" s="26">
        <v>0</v>
      </c>
      <c r="BJ62" s="26">
        <v>0</v>
      </c>
      <c r="BK62" s="16">
        <v>2</v>
      </c>
      <c r="BL62" s="16">
        <v>0</v>
      </c>
      <c r="BM62" s="26">
        <v>0</v>
      </c>
      <c r="BN62" s="26">
        <v>0</v>
      </c>
      <c r="BO62" s="16">
        <v>20</v>
      </c>
    </row>
    <row r="63" spans="1:68" s="5" customFormat="1" ht="21.9" customHeight="1" x14ac:dyDescent="0.25">
      <c r="A63" s="134"/>
      <c r="B63" s="6"/>
      <c r="C63" s="49" t="s">
        <v>76</v>
      </c>
      <c r="D63" s="50"/>
      <c r="E63" s="79">
        <v>12</v>
      </c>
      <c r="F63" s="56">
        <v>0</v>
      </c>
      <c r="G63" s="56">
        <v>0</v>
      </c>
      <c r="H63" s="56">
        <v>0</v>
      </c>
      <c r="I63" s="56">
        <v>0</v>
      </c>
      <c r="J63" s="56">
        <v>0</v>
      </c>
      <c r="K63" s="56">
        <v>0</v>
      </c>
      <c r="L63" s="56">
        <v>0</v>
      </c>
      <c r="M63" s="56">
        <v>0</v>
      </c>
      <c r="N63" s="56">
        <v>0</v>
      </c>
      <c r="O63" s="56">
        <v>0</v>
      </c>
      <c r="P63" s="56">
        <v>0</v>
      </c>
      <c r="Q63" s="56">
        <v>0</v>
      </c>
      <c r="R63" s="56">
        <v>2</v>
      </c>
      <c r="S63" s="56">
        <v>0</v>
      </c>
      <c r="T63" s="56">
        <v>0</v>
      </c>
      <c r="U63" s="56">
        <v>0</v>
      </c>
      <c r="V63" s="56">
        <v>0</v>
      </c>
      <c r="W63" s="57">
        <v>0</v>
      </c>
      <c r="X63" s="56">
        <v>0</v>
      </c>
      <c r="Y63" s="56">
        <v>0</v>
      </c>
      <c r="Z63" s="56">
        <v>1</v>
      </c>
      <c r="AA63" s="56">
        <v>0</v>
      </c>
      <c r="AB63" s="56">
        <v>0</v>
      </c>
      <c r="AC63" s="57">
        <v>0</v>
      </c>
      <c r="AD63" s="56">
        <v>0</v>
      </c>
      <c r="AE63" s="56">
        <v>0</v>
      </c>
      <c r="AF63" s="56">
        <v>0</v>
      </c>
      <c r="AG63" s="57">
        <v>1</v>
      </c>
      <c r="AH63" s="56">
        <v>2</v>
      </c>
      <c r="AI63" s="56">
        <v>0</v>
      </c>
      <c r="AJ63" s="56">
        <v>0</v>
      </c>
      <c r="AK63" s="55">
        <v>1</v>
      </c>
      <c r="AL63" s="56">
        <v>0</v>
      </c>
      <c r="AM63" s="56">
        <v>0</v>
      </c>
      <c r="AN63" s="56">
        <v>0</v>
      </c>
      <c r="AO63" s="56">
        <v>0</v>
      </c>
      <c r="AP63" s="56">
        <v>0</v>
      </c>
      <c r="AQ63" s="56">
        <v>0</v>
      </c>
      <c r="AR63" s="56">
        <v>1</v>
      </c>
      <c r="AS63" s="56">
        <v>3</v>
      </c>
      <c r="AT63" s="56">
        <v>0</v>
      </c>
      <c r="AU63" s="56">
        <v>0</v>
      </c>
      <c r="AV63" s="56">
        <v>0</v>
      </c>
      <c r="AW63" s="56">
        <v>0</v>
      </c>
      <c r="AX63" s="56">
        <v>0</v>
      </c>
      <c r="AY63" s="56">
        <v>0</v>
      </c>
      <c r="AZ63" s="56">
        <v>0</v>
      </c>
      <c r="BA63" s="56">
        <v>0</v>
      </c>
      <c r="BB63" s="56">
        <v>0</v>
      </c>
      <c r="BC63" s="56">
        <v>0</v>
      </c>
      <c r="BD63" s="56">
        <v>0</v>
      </c>
      <c r="BE63" s="56">
        <v>0</v>
      </c>
      <c r="BF63" s="56">
        <v>0</v>
      </c>
      <c r="BG63" s="56">
        <v>0</v>
      </c>
      <c r="BH63" s="56">
        <v>0</v>
      </c>
      <c r="BI63" s="56">
        <v>0</v>
      </c>
      <c r="BJ63" s="56">
        <v>0</v>
      </c>
      <c r="BK63" s="56">
        <v>0</v>
      </c>
      <c r="BL63" s="56">
        <v>0</v>
      </c>
      <c r="BM63" s="56">
        <v>0</v>
      </c>
      <c r="BN63" s="56">
        <v>0</v>
      </c>
      <c r="BO63" s="57">
        <v>1</v>
      </c>
    </row>
    <row r="64" spans="1:68" s="5" customFormat="1" ht="21.9" customHeight="1" x14ac:dyDescent="0.25">
      <c r="A64" s="76" t="s">
        <v>249</v>
      </c>
      <c r="AK64" s="63" t="s">
        <v>191</v>
      </c>
      <c r="AL64" s="63"/>
      <c r="AM64" s="63"/>
      <c r="AN64" s="64"/>
      <c r="AO64" s="64"/>
      <c r="AP64" s="63" t="s">
        <v>178</v>
      </c>
      <c r="AQ64" s="63"/>
      <c r="AS64" s="63"/>
      <c r="AU64" s="58"/>
      <c r="AV64" s="63"/>
      <c r="AW64" s="5" t="s">
        <v>179</v>
      </c>
      <c r="AX64" s="64"/>
      <c r="AY64" s="64"/>
      <c r="BA64" s="58"/>
      <c r="BB64" s="63"/>
      <c r="BD64" s="65"/>
      <c r="BE64" s="64"/>
      <c r="BF64" s="5" t="s">
        <v>180</v>
      </c>
      <c r="BG64" s="58"/>
      <c r="BH64" s="76"/>
    </row>
    <row r="65" spans="5:62" s="5" customFormat="1" ht="21.9" customHeight="1" x14ac:dyDescent="0.25">
      <c r="AK65" s="63"/>
      <c r="AL65" s="63"/>
      <c r="AM65" s="63"/>
      <c r="AN65" s="64"/>
      <c r="AO65" s="64"/>
      <c r="AP65" s="64"/>
      <c r="AQ65" s="65"/>
      <c r="AR65" s="63"/>
      <c r="AS65" s="63"/>
      <c r="AT65" s="63"/>
      <c r="AU65" s="58"/>
      <c r="AV65" s="63"/>
      <c r="AW65" s="65" t="s">
        <v>181</v>
      </c>
      <c r="AX65" s="63"/>
      <c r="AY65" s="63"/>
      <c r="BA65" s="63"/>
      <c r="BB65" s="63"/>
      <c r="BD65" s="65"/>
      <c r="BE65" s="63"/>
      <c r="BG65" s="59"/>
      <c r="BH65" s="58"/>
    </row>
    <row r="66" spans="5:62" ht="21.9" customHeight="1" x14ac:dyDescent="0.25">
      <c r="E66" s="8"/>
      <c r="AK66" s="76" t="s">
        <v>192</v>
      </c>
      <c r="AL66" s="5"/>
      <c r="AM66" s="58"/>
      <c r="AN66" s="76"/>
      <c r="AO66" s="76"/>
      <c r="AP66" s="77"/>
      <c r="AQ66" s="76"/>
      <c r="AR66" s="104"/>
      <c r="AS66" s="76"/>
      <c r="AT66" s="76"/>
      <c r="AU66" s="76"/>
      <c r="AV66" s="76"/>
      <c r="AW66" s="76"/>
      <c r="AX66" s="77"/>
      <c r="AY66" s="76"/>
      <c r="AZ66" s="76"/>
      <c r="BA66" s="76"/>
      <c r="BB66" s="76"/>
      <c r="BC66" s="59"/>
      <c r="BD66" s="59"/>
      <c r="BE66" s="59"/>
      <c r="BF66" s="75"/>
      <c r="BG66" s="59"/>
      <c r="BH66" s="58"/>
      <c r="BI66" s="5"/>
      <c r="BJ66" s="5"/>
    </row>
    <row r="67" spans="5:62" ht="21.9" customHeight="1" x14ac:dyDescent="0.25">
      <c r="E67" s="8"/>
      <c r="AK67" s="5" t="s">
        <v>195</v>
      </c>
      <c r="AL67" s="5"/>
      <c r="AM67" s="58"/>
      <c r="AN67" s="76"/>
      <c r="AO67" s="76"/>
      <c r="AP67" s="77"/>
      <c r="AQ67" s="76"/>
      <c r="AR67" s="104"/>
      <c r="AS67" s="76"/>
      <c r="AT67" s="76"/>
      <c r="AU67" s="76"/>
      <c r="AV67" s="76"/>
      <c r="AW67" s="76"/>
      <c r="AX67" s="77"/>
      <c r="AY67" s="76"/>
      <c r="AZ67" s="76"/>
      <c r="BA67" s="76"/>
      <c r="BB67" s="76"/>
      <c r="BC67" s="59"/>
      <c r="BD67" s="59"/>
      <c r="BE67" s="59"/>
      <c r="BF67" s="75"/>
      <c r="BG67" s="78"/>
      <c r="BH67" s="78"/>
      <c r="BI67" s="5"/>
      <c r="BJ67" s="5"/>
    </row>
    <row r="68" spans="5:62" ht="21.9" customHeight="1" x14ac:dyDescent="0.25">
      <c r="AK68" s="76" t="s">
        <v>193</v>
      </c>
      <c r="AL68" s="76"/>
      <c r="AM68" s="76"/>
      <c r="AN68" s="77"/>
      <c r="AO68" s="76"/>
      <c r="AP68" s="104"/>
      <c r="AQ68" s="104"/>
      <c r="AR68" s="104"/>
      <c r="AS68" s="76"/>
      <c r="AT68" s="76"/>
      <c r="AU68" s="76"/>
      <c r="AV68" s="76"/>
      <c r="AW68" s="76"/>
      <c r="AX68" s="77"/>
      <c r="AY68" s="76"/>
      <c r="AZ68" s="76"/>
      <c r="BA68" s="76"/>
      <c r="BB68" s="76"/>
      <c r="BC68" s="59"/>
      <c r="BD68" s="59"/>
      <c r="BE68" s="59"/>
      <c r="BF68" s="75"/>
      <c r="BG68" s="78"/>
      <c r="BH68" s="78"/>
      <c r="BI68" s="5"/>
      <c r="BJ68" s="5"/>
    </row>
    <row r="71" spans="5:62" x14ac:dyDescent="0.25">
      <c r="E71" s="8"/>
    </row>
    <row r="72" spans="5:62" s="15" customFormat="1" ht="15" customHeight="1" x14ac:dyDescent="0.25"/>
    <row r="73" spans="5:62" s="15" customFormat="1" ht="15" customHeight="1" x14ac:dyDescent="0.25"/>
    <row r="74" spans="5:62" s="15" customFormat="1" ht="15" customHeight="1" x14ac:dyDescent="0.25"/>
    <row r="75" spans="5:62" s="15" customFormat="1" ht="15" customHeight="1" x14ac:dyDescent="0.25"/>
    <row r="76" spans="5:62" s="15" customFormat="1" ht="15" customHeight="1" x14ac:dyDescent="0.25"/>
    <row r="77" spans="5:62" s="15" customFormat="1" ht="15" customHeight="1" x14ac:dyDescent="0.25"/>
    <row r="78" spans="5:62" s="15" customFormat="1" ht="15" customHeight="1" x14ac:dyDescent="0.25"/>
    <row r="79" spans="5:62" s="15" customFormat="1" ht="15" customHeight="1" x14ac:dyDescent="0.25"/>
    <row r="80" spans="5:62" s="15" customFormat="1" ht="15" customHeight="1" x14ac:dyDescent="0.25"/>
    <row r="81" s="15" customFormat="1" ht="15" customHeight="1" x14ac:dyDescent="0.25"/>
    <row r="82" s="15" customFormat="1" ht="15" customHeight="1" x14ac:dyDescent="0.25"/>
    <row r="83" s="15" customFormat="1" ht="15" customHeight="1" x14ac:dyDescent="0.25"/>
    <row r="84" s="15" customFormat="1" ht="15" customHeight="1" x14ac:dyDescent="0.25"/>
    <row r="85" s="15" customFormat="1" ht="15" customHeight="1" x14ac:dyDescent="0.25"/>
    <row r="86" s="15" customFormat="1" ht="15" customHeight="1" x14ac:dyDescent="0.25"/>
    <row r="87" s="15" customFormat="1" ht="15" customHeight="1" x14ac:dyDescent="0.25"/>
    <row r="88" s="15" customFormat="1" ht="15" customHeight="1" x14ac:dyDescent="0.25"/>
  </sheetData>
  <mergeCells count="122">
    <mergeCell ref="V7:V11"/>
    <mergeCell ref="Q7:Q11"/>
    <mergeCell ref="R7:R11"/>
    <mergeCell ref="S7:S11"/>
    <mergeCell ref="T7:T11"/>
    <mergeCell ref="I7:I11"/>
    <mergeCell ref="J7:J11"/>
    <mergeCell ref="E6:E11"/>
    <mergeCell ref="F6:J6"/>
    <mergeCell ref="U7:U11"/>
    <mergeCell ref="BN7:BN11"/>
    <mergeCell ref="BO7:BO11"/>
    <mergeCell ref="BD6:BF6"/>
    <mergeCell ref="A1:B1"/>
    <mergeCell ref="A2:B2"/>
    <mergeCell ref="AK1:AL1"/>
    <mergeCell ref="AK2:AL2"/>
    <mergeCell ref="AF1:AG1"/>
    <mergeCell ref="AH1:AJ1"/>
    <mergeCell ref="AK3:BO3"/>
    <mergeCell ref="A4:AJ4"/>
    <mergeCell ref="AK4:BO4"/>
    <mergeCell ref="A6:D11"/>
    <mergeCell ref="A3:AJ3"/>
    <mergeCell ref="K7:K11"/>
    <mergeCell ref="L7:L11"/>
    <mergeCell ref="M7:M11"/>
    <mergeCell ref="K6:M6"/>
    <mergeCell ref="N6:P6"/>
    <mergeCell ref="Q6:S6"/>
    <mergeCell ref="T6:AF6"/>
    <mergeCell ref="N7:N11"/>
    <mergeCell ref="O7:O11"/>
    <mergeCell ref="P7:P11"/>
    <mergeCell ref="BK1:BL1"/>
    <mergeCell ref="BM1:BO1"/>
    <mergeCell ref="AF2:AG2"/>
    <mergeCell ref="AH2:AJ2"/>
    <mergeCell ref="BK2:BL2"/>
    <mergeCell ref="BM2:BO2"/>
    <mergeCell ref="AG6:AJ6"/>
    <mergeCell ref="AK6:AN6"/>
    <mergeCell ref="AO6:AQ6"/>
    <mergeCell ref="AR6:AS6"/>
    <mergeCell ref="AT6:AV6"/>
    <mergeCell ref="BM6:BO6"/>
    <mergeCell ref="BL7:BL11"/>
    <mergeCell ref="BM7:BM11"/>
    <mergeCell ref="AW6:AX6"/>
    <mergeCell ref="AY6:AZ6"/>
    <mergeCell ref="BA6:BB6"/>
    <mergeCell ref="BG6:BG11"/>
    <mergeCell ref="BH6:BH11"/>
    <mergeCell ref="BI6:BL6"/>
    <mergeCell ref="BD7:BD11"/>
    <mergeCell ref="BE7:BE11"/>
    <mergeCell ref="AW7:AW11"/>
    <mergeCell ref="AX7:AX11"/>
    <mergeCell ref="BC6:BC11"/>
    <mergeCell ref="AY7:AY11"/>
    <mergeCell ref="AZ7:AZ11"/>
    <mergeCell ref="BA7:BA11"/>
    <mergeCell ref="BB7:BB11"/>
    <mergeCell ref="BF7:BF11"/>
    <mergeCell ref="BI7:BI11"/>
    <mergeCell ref="BJ7:BJ11"/>
    <mergeCell ref="BK7:BK11"/>
    <mergeCell ref="AM7:AM11"/>
    <mergeCell ref="AN7:AN11"/>
    <mergeCell ref="AO7:AO11"/>
    <mergeCell ref="AP7:AP11"/>
    <mergeCell ref="AQ7:AQ11"/>
    <mergeCell ref="AR7:AR11"/>
    <mergeCell ref="W7:W11"/>
    <mergeCell ref="X7:X11"/>
    <mergeCell ref="Y7:Y11"/>
    <mergeCell ref="Z7:Z11"/>
    <mergeCell ref="AA7:AA11"/>
    <mergeCell ref="AB7:AB11"/>
    <mergeCell ref="AC7:AC11"/>
    <mergeCell ref="AD7:AD11"/>
    <mergeCell ref="AE7:AE11"/>
    <mergeCell ref="A12:A13"/>
    <mergeCell ref="A14:A15"/>
    <mergeCell ref="A16:A17"/>
    <mergeCell ref="AS7:AS11"/>
    <mergeCell ref="AT7:AT11"/>
    <mergeCell ref="AU7:AU11"/>
    <mergeCell ref="AV7:AV11"/>
    <mergeCell ref="A40:A41"/>
    <mergeCell ref="A18:A19"/>
    <mergeCell ref="A20:A21"/>
    <mergeCell ref="A22:A23"/>
    <mergeCell ref="A24:A25"/>
    <mergeCell ref="A26:A27"/>
    <mergeCell ref="A28:A29"/>
    <mergeCell ref="AF7:AF11"/>
    <mergeCell ref="AG7:AG11"/>
    <mergeCell ref="AH7:AH11"/>
    <mergeCell ref="AI7:AI11"/>
    <mergeCell ref="AJ7:AJ11"/>
    <mergeCell ref="AK7:AK11"/>
    <mergeCell ref="AL7:AL11"/>
    <mergeCell ref="F7:F11"/>
    <mergeCell ref="G7:G11"/>
    <mergeCell ref="H7:H11"/>
    <mergeCell ref="A62:A63"/>
    <mergeCell ref="A48:A49"/>
    <mergeCell ref="A50:A51"/>
    <mergeCell ref="A52:A53"/>
    <mergeCell ref="A54:A55"/>
    <mergeCell ref="A30:A31"/>
    <mergeCell ref="A32:A33"/>
    <mergeCell ref="A34:A35"/>
    <mergeCell ref="A36:A37"/>
    <mergeCell ref="A38:A39"/>
    <mergeCell ref="A56:A57"/>
    <mergeCell ref="A42:A43"/>
    <mergeCell ref="A44:A45"/>
    <mergeCell ref="A46:A47"/>
    <mergeCell ref="A58:A59"/>
    <mergeCell ref="A60:A61"/>
  </mergeCells>
  <phoneticPr fontId="5" type="noConversion"/>
  <printOptions horizontalCentered="1"/>
  <pageMargins left="0.74803149606299213" right="0.74803149606299213" top="1.1811023622047245" bottom="0.78740157480314965" header="0" footer="0"/>
  <pageSetup paperSize="8" scale="6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Q68"/>
  <sheetViews>
    <sheetView zoomScale="80" zoomScaleNormal="80" workbookViewId="0">
      <selection activeCell="G7" sqref="G7:G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68" width="10.6640625" style="1" bestFit="1" customWidth="1"/>
    <col min="69"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E1" s="70"/>
      <c r="AF1" s="183" t="s">
        <v>45</v>
      </c>
      <c r="AG1" s="171"/>
      <c r="AH1" s="133" t="s">
        <v>334</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J1" s="69"/>
      <c r="BK1" s="170" t="s">
        <v>45</v>
      </c>
      <c r="BL1" s="171"/>
      <c r="BM1" s="133" t="s">
        <v>334</v>
      </c>
      <c r="BN1" s="173"/>
      <c r="BO1" s="174"/>
      <c r="BP1" s="38"/>
      <c r="BQ1" s="38"/>
    </row>
    <row r="2" spans="1:69"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41"/>
      <c r="AE2" s="71"/>
      <c r="AF2" s="184" t="s">
        <v>187</v>
      </c>
      <c r="AG2" s="166"/>
      <c r="AH2" s="167" t="s">
        <v>337</v>
      </c>
      <c r="AI2" s="168"/>
      <c r="AJ2" s="169"/>
      <c r="AK2" s="163" t="s">
        <v>279</v>
      </c>
      <c r="AL2" s="164"/>
      <c r="AM2" s="7" t="s">
        <v>290</v>
      </c>
      <c r="AN2" s="33"/>
      <c r="AO2" s="33"/>
      <c r="AP2" s="33"/>
      <c r="AQ2" s="33"/>
      <c r="AR2" s="33"/>
      <c r="AS2" s="33"/>
      <c r="AT2" s="33"/>
      <c r="AU2" s="33"/>
      <c r="AV2" s="33"/>
      <c r="AW2" s="33"/>
      <c r="AX2" s="33"/>
      <c r="AY2" s="33"/>
      <c r="AZ2" s="33"/>
      <c r="BA2" s="33"/>
      <c r="BB2" s="33"/>
      <c r="BC2" s="33"/>
      <c r="BD2" s="33"/>
      <c r="BE2" s="33"/>
      <c r="BF2" s="33"/>
      <c r="BG2" s="33"/>
      <c r="BH2" s="42"/>
      <c r="BI2" s="41"/>
      <c r="BJ2" s="72"/>
      <c r="BK2" s="165" t="s">
        <v>187</v>
      </c>
      <c r="BL2" s="166"/>
      <c r="BM2" s="167" t="s">
        <v>5</v>
      </c>
      <c r="BN2" s="168"/>
      <c r="BO2" s="169"/>
      <c r="BP2" s="43"/>
      <c r="BQ2" s="43"/>
    </row>
    <row r="3" spans="1:69" s="53" customFormat="1" ht="30" customHeight="1" x14ac:dyDescent="0.25">
      <c r="A3" s="159" t="s">
        <v>385</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388</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row>
    <row r="4" spans="1:69" s="37" customFormat="1" ht="26.1" customHeight="1" x14ac:dyDescent="0.25">
      <c r="A4" s="205" t="s">
        <v>347</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206" t="s">
        <v>348</v>
      </c>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row>
    <row r="5" spans="1:69" s="37" customFormat="1" ht="20.100000000000001" customHeight="1" x14ac:dyDescent="0.25">
      <c r="A5" s="40"/>
      <c r="B5" s="41"/>
      <c r="C5" s="41"/>
      <c r="D5" s="67"/>
      <c r="E5" s="67"/>
      <c r="F5" s="67"/>
      <c r="G5" s="67"/>
      <c r="H5" s="67"/>
      <c r="I5" s="67"/>
      <c r="J5" s="41"/>
      <c r="K5" s="67"/>
      <c r="L5" s="67"/>
      <c r="M5" s="67"/>
      <c r="N5" s="41"/>
      <c r="O5" s="67"/>
      <c r="P5" s="41"/>
      <c r="Q5" s="67"/>
      <c r="R5" s="44"/>
      <c r="S5" s="67"/>
      <c r="T5" s="33"/>
      <c r="U5" s="33"/>
      <c r="V5" s="33"/>
      <c r="W5" s="68"/>
      <c r="X5" s="5"/>
      <c r="Y5" s="33"/>
      <c r="Z5" s="33"/>
      <c r="AA5" s="33"/>
      <c r="AB5" s="33"/>
      <c r="AC5" s="33"/>
      <c r="AD5" s="33"/>
      <c r="AE5" s="33"/>
      <c r="AG5" s="33"/>
      <c r="AH5" s="33"/>
      <c r="AJ5" s="45" t="s">
        <v>48</v>
      </c>
      <c r="AK5" s="33"/>
      <c r="AL5" s="33"/>
      <c r="AM5" s="33"/>
      <c r="AN5" s="5"/>
      <c r="AO5" s="33"/>
      <c r="AP5" s="33"/>
      <c r="AQ5" s="33"/>
      <c r="AR5" s="33"/>
      <c r="AS5" s="33"/>
      <c r="AT5" s="33"/>
      <c r="AU5" s="33"/>
      <c r="AV5" s="33"/>
      <c r="AW5" s="44"/>
      <c r="AX5" s="45"/>
      <c r="AY5" s="45"/>
      <c r="AZ5" s="45"/>
      <c r="BA5" s="45"/>
      <c r="BB5" s="5"/>
      <c r="BC5" s="33"/>
      <c r="BD5" s="33"/>
      <c r="BE5" s="33"/>
      <c r="BF5" s="33"/>
      <c r="BG5" s="33"/>
      <c r="BH5" s="33"/>
      <c r="BI5" s="5"/>
      <c r="BJ5" s="5"/>
      <c r="BK5" s="5"/>
      <c r="BL5" s="5"/>
      <c r="BM5" s="5"/>
      <c r="BN5" s="5"/>
      <c r="BO5" s="46" t="s">
        <v>49</v>
      </c>
    </row>
    <row r="6" spans="1:69" s="5" customFormat="1" ht="27.9" customHeight="1" x14ac:dyDescent="0.25">
      <c r="A6" s="125" t="s">
        <v>144</v>
      </c>
      <c r="B6" s="125"/>
      <c r="C6" s="125"/>
      <c r="D6" s="125"/>
      <c r="E6" s="136" t="s">
        <v>50</v>
      </c>
      <c r="F6" s="187" t="s">
        <v>254</v>
      </c>
      <c r="G6" s="188"/>
      <c r="H6" s="188"/>
      <c r="I6" s="188"/>
      <c r="J6" s="189"/>
      <c r="K6" s="190" t="s">
        <v>52</v>
      </c>
      <c r="L6" s="191"/>
      <c r="M6" s="192"/>
      <c r="N6" s="193" t="s">
        <v>53</v>
      </c>
      <c r="O6" s="194"/>
      <c r="P6" s="195"/>
      <c r="Q6" s="193" t="s">
        <v>54</v>
      </c>
      <c r="R6" s="194"/>
      <c r="S6" s="195"/>
      <c r="T6" s="187" t="s">
        <v>55</v>
      </c>
      <c r="U6" s="188"/>
      <c r="V6" s="188"/>
      <c r="W6" s="188"/>
      <c r="X6" s="188"/>
      <c r="Y6" s="188"/>
      <c r="Z6" s="188"/>
      <c r="AA6" s="188"/>
      <c r="AB6" s="188"/>
      <c r="AC6" s="188"/>
      <c r="AD6" s="188"/>
      <c r="AE6" s="188"/>
      <c r="AF6" s="189"/>
      <c r="AG6" s="187" t="s">
        <v>121</v>
      </c>
      <c r="AH6" s="188"/>
      <c r="AI6" s="188"/>
      <c r="AJ6" s="189"/>
      <c r="AK6" s="187" t="s">
        <v>217</v>
      </c>
      <c r="AL6" s="188"/>
      <c r="AM6" s="188"/>
      <c r="AN6" s="188"/>
      <c r="AO6" s="187" t="s">
        <v>56</v>
      </c>
      <c r="AP6" s="188"/>
      <c r="AQ6" s="189"/>
      <c r="AR6" s="187" t="s">
        <v>57</v>
      </c>
      <c r="AS6" s="189"/>
      <c r="AT6" s="187" t="s">
        <v>58</v>
      </c>
      <c r="AU6" s="188"/>
      <c r="AV6" s="189"/>
      <c r="AW6" s="187" t="s">
        <v>59</v>
      </c>
      <c r="AX6" s="189"/>
      <c r="AY6" s="196" t="s">
        <v>60</v>
      </c>
      <c r="AZ6" s="197"/>
      <c r="BA6" s="196" t="s">
        <v>61</v>
      </c>
      <c r="BB6" s="197"/>
      <c r="BC6" s="180" t="s">
        <v>62</v>
      </c>
      <c r="BD6" s="196" t="s">
        <v>63</v>
      </c>
      <c r="BE6" s="201"/>
      <c r="BF6" s="197"/>
      <c r="BG6" s="176" t="s">
        <v>36</v>
      </c>
      <c r="BH6" s="180" t="s">
        <v>64</v>
      </c>
      <c r="BI6" s="187" t="s">
        <v>97</v>
      </c>
      <c r="BJ6" s="188"/>
      <c r="BK6" s="188"/>
      <c r="BL6" s="189"/>
      <c r="BM6" s="187" t="s">
        <v>65</v>
      </c>
      <c r="BN6" s="188"/>
      <c r="BO6" s="189"/>
    </row>
    <row r="7" spans="1:69" s="5" customFormat="1" ht="30" customHeight="1" x14ac:dyDescent="0.25">
      <c r="A7" s="125"/>
      <c r="B7" s="125"/>
      <c r="C7" s="125"/>
      <c r="D7" s="125"/>
      <c r="E7" s="136"/>
      <c r="F7" s="139" t="s">
        <v>221</v>
      </c>
      <c r="G7" s="139" t="s">
        <v>291</v>
      </c>
      <c r="H7" s="139" t="s">
        <v>66</v>
      </c>
      <c r="I7" s="130" t="s">
        <v>330</v>
      </c>
      <c r="J7" s="130" t="s">
        <v>331</v>
      </c>
      <c r="K7" s="139" t="s">
        <v>67</v>
      </c>
      <c r="L7" s="130" t="s">
        <v>333</v>
      </c>
      <c r="M7" s="139" t="s">
        <v>68</v>
      </c>
      <c r="N7" s="139" t="s">
        <v>293</v>
      </c>
      <c r="O7" s="139" t="s">
        <v>70</v>
      </c>
      <c r="P7" s="139" t="s">
        <v>71</v>
      </c>
      <c r="Q7" s="139" t="s">
        <v>294</v>
      </c>
      <c r="R7" s="130" t="s">
        <v>332</v>
      </c>
      <c r="S7" s="139" t="s">
        <v>72</v>
      </c>
      <c r="T7" s="139" t="s">
        <v>328</v>
      </c>
      <c r="U7" s="139" t="s">
        <v>296</v>
      </c>
      <c r="V7" s="139" t="s">
        <v>182</v>
      </c>
      <c r="W7" s="139" t="s">
        <v>118</v>
      </c>
      <c r="X7" s="139" t="s">
        <v>107</v>
      </c>
      <c r="Y7" s="139" t="s">
        <v>98</v>
      </c>
      <c r="Z7" s="139" t="s">
        <v>108</v>
      </c>
      <c r="AA7" s="130" t="s">
        <v>319</v>
      </c>
      <c r="AB7" s="139" t="s">
        <v>99</v>
      </c>
      <c r="AC7" s="139" t="s">
        <v>329</v>
      </c>
      <c r="AD7" s="139" t="s">
        <v>136</v>
      </c>
      <c r="AE7" s="139" t="s">
        <v>206</v>
      </c>
      <c r="AF7" s="139" t="s">
        <v>128</v>
      </c>
      <c r="AG7" s="139" t="s">
        <v>122</v>
      </c>
      <c r="AH7" s="139" t="s">
        <v>207</v>
      </c>
      <c r="AI7" s="139" t="s">
        <v>139</v>
      </c>
      <c r="AJ7" s="139" t="s">
        <v>211</v>
      </c>
      <c r="AK7" s="139" t="s">
        <v>129</v>
      </c>
      <c r="AL7" s="139" t="s">
        <v>102</v>
      </c>
      <c r="AM7" s="139" t="s">
        <v>130</v>
      </c>
      <c r="AN7" s="139" t="s">
        <v>208</v>
      </c>
      <c r="AO7" s="130" t="s">
        <v>274</v>
      </c>
      <c r="AP7" s="157" t="s">
        <v>233</v>
      </c>
      <c r="AQ7" s="139" t="s">
        <v>183</v>
      </c>
      <c r="AR7" s="139" t="s">
        <v>308</v>
      </c>
      <c r="AS7" s="139" t="s">
        <v>309</v>
      </c>
      <c r="AT7" s="130" t="s">
        <v>318</v>
      </c>
      <c r="AU7" s="139" t="s">
        <v>310</v>
      </c>
      <c r="AV7" s="139" t="s">
        <v>311</v>
      </c>
      <c r="AW7" s="139" t="s">
        <v>312</v>
      </c>
      <c r="AX7" s="139" t="s">
        <v>313</v>
      </c>
      <c r="AY7" s="139" t="s">
        <v>314</v>
      </c>
      <c r="AZ7" s="139" t="s">
        <v>315</v>
      </c>
      <c r="BA7" s="139" t="s">
        <v>316</v>
      </c>
      <c r="BB7" s="139" t="s">
        <v>317</v>
      </c>
      <c r="BC7" s="177"/>
      <c r="BD7" s="139" t="s">
        <v>116</v>
      </c>
      <c r="BE7" s="139" t="s">
        <v>73</v>
      </c>
      <c r="BF7" s="139" t="s">
        <v>138</v>
      </c>
      <c r="BG7" s="177"/>
      <c r="BH7" s="177"/>
      <c r="BI7" s="139" t="s">
        <v>119</v>
      </c>
      <c r="BJ7" s="139" t="s">
        <v>74</v>
      </c>
      <c r="BK7" s="132" t="s">
        <v>272</v>
      </c>
      <c r="BL7" s="139" t="s">
        <v>126</v>
      </c>
      <c r="BM7" s="139" t="s">
        <v>112</v>
      </c>
      <c r="BN7" s="139" t="s">
        <v>117</v>
      </c>
      <c r="BO7" s="139" t="s">
        <v>65</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58"/>
      <c r="AQ8" s="139"/>
      <c r="AR8" s="139"/>
      <c r="AS8" s="139"/>
      <c r="AT8" s="139"/>
      <c r="AU8" s="139"/>
      <c r="AV8" s="139"/>
      <c r="AW8" s="139"/>
      <c r="AX8" s="139"/>
      <c r="AY8" s="139"/>
      <c r="AZ8" s="139"/>
      <c r="BA8" s="139"/>
      <c r="BB8" s="139"/>
      <c r="BC8" s="177"/>
      <c r="BD8" s="139"/>
      <c r="BE8" s="139"/>
      <c r="BF8" s="139"/>
      <c r="BG8" s="177"/>
      <c r="BH8" s="177"/>
      <c r="BI8" s="139"/>
      <c r="BJ8" s="139"/>
      <c r="BK8" s="139"/>
      <c r="BL8" s="139"/>
      <c r="BM8" s="139"/>
      <c r="BN8" s="139"/>
      <c r="BO8" s="139"/>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58"/>
      <c r="AQ9" s="139"/>
      <c r="AR9" s="139"/>
      <c r="AS9" s="139"/>
      <c r="AT9" s="139"/>
      <c r="AU9" s="139"/>
      <c r="AV9" s="139"/>
      <c r="AW9" s="139"/>
      <c r="AX9" s="139"/>
      <c r="AY9" s="139"/>
      <c r="AZ9" s="139"/>
      <c r="BA9" s="139"/>
      <c r="BB9" s="139"/>
      <c r="BC9" s="177"/>
      <c r="BD9" s="139"/>
      <c r="BE9" s="139"/>
      <c r="BF9" s="139"/>
      <c r="BG9" s="177"/>
      <c r="BH9" s="177"/>
      <c r="BI9" s="139"/>
      <c r="BJ9" s="139"/>
      <c r="BK9" s="139"/>
      <c r="BL9" s="139"/>
      <c r="BM9" s="139"/>
      <c r="BN9" s="139"/>
      <c r="BO9" s="139"/>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58"/>
      <c r="AQ10" s="139"/>
      <c r="AR10" s="139"/>
      <c r="AS10" s="139"/>
      <c r="AT10" s="139"/>
      <c r="AU10" s="139"/>
      <c r="AV10" s="139"/>
      <c r="AW10" s="139"/>
      <c r="AX10" s="139"/>
      <c r="AY10" s="139"/>
      <c r="AZ10" s="139"/>
      <c r="BA10" s="139"/>
      <c r="BB10" s="139"/>
      <c r="BC10" s="177"/>
      <c r="BD10" s="139"/>
      <c r="BE10" s="139"/>
      <c r="BF10" s="139"/>
      <c r="BG10" s="177"/>
      <c r="BH10" s="177"/>
      <c r="BI10" s="139"/>
      <c r="BJ10" s="139"/>
      <c r="BK10" s="139"/>
      <c r="BL10" s="139"/>
      <c r="BM10" s="139"/>
      <c r="BN10" s="139"/>
      <c r="BO10" s="139"/>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58"/>
      <c r="AQ11" s="139"/>
      <c r="AR11" s="139"/>
      <c r="AS11" s="139"/>
      <c r="AT11" s="139"/>
      <c r="AU11" s="139"/>
      <c r="AV11" s="139"/>
      <c r="AW11" s="139"/>
      <c r="AX11" s="139"/>
      <c r="AY11" s="139"/>
      <c r="AZ11" s="139"/>
      <c r="BA11" s="139"/>
      <c r="BB11" s="139"/>
      <c r="BC11" s="178"/>
      <c r="BD11" s="139"/>
      <c r="BE11" s="139"/>
      <c r="BF11" s="139"/>
      <c r="BG11" s="178"/>
      <c r="BH11" s="178"/>
      <c r="BI11" s="139"/>
      <c r="BJ11" s="139"/>
      <c r="BK11" s="139"/>
      <c r="BL11" s="139"/>
      <c r="BM11" s="139"/>
      <c r="BN11" s="139"/>
      <c r="BO11" s="139"/>
    </row>
    <row r="12" spans="1:69" s="3" customFormat="1" ht="21.9" customHeight="1" x14ac:dyDescent="0.25">
      <c r="A12" s="125" t="s">
        <v>343</v>
      </c>
      <c r="B12" s="32"/>
      <c r="C12" s="51" t="s">
        <v>214</v>
      </c>
      <c r="D12" s="52"/>
      <c r="E12" s="16">
        <v>838664</v>
      </c>
      <c r="F12" s="16">
        <v>22408</v>
      </c>
      <c r="G12" s="16">
        <v>14477</v>
      </c>
      <c r="H12" s="16">
        <v>25819</v>
      </c>
      <c r="I12" s="16">
        <v>23109</v>
      </c>
      <c r="J12" s="16">
        <v>2747</v>
      </c>
      <c r="K12" s="16">
        <v>15230</v>
      </c>
      <c r="L12" s="16">
        <v>12988</v>
      </c>
      <c r="M12" s="16">
        <v>8407</v>
      </c>
      <c r="N12" s="16">
        <v>3116</v>
      </c>
      <c r="O12" s="16">
        <v>3249</v>
      </c>
      <c r="P12" s="16">
        <v>317</v>
      </c>
      <c r="Q12" s="16">
        <v>5899</v>
      </c>
      <c r="R12" s="16">
        <v>11812</v>
      </c>
      <c r="S12" s="16">
        <v>9793</v>
      </c>
      <c r="T12" s="16">
        <v>8230</v>
      </c>
      <c r="U12" s="16">
        <v>19705</v>
      </c>
      <c r="V12" s="16">
        <v>6963</v>
      </c>
      <c r="W12" s="16">
        <v>10571</v>
      </c>
      <c r="X12" s="16">
        <v>4354</v>
      </c>
      <c r="Y12" s="16">
        <v>24246</v>
      </c>
      <c r="Z12" s="16">
        <v>13801</v>
      </c>
      <c r="AA12" s="16">
        <v>4235</v>
      </c>
      <c r="AB12" s="16">
        <v>9444</v>
      </c>
      <c r="AC12" s="16">
        <v>4919</v>
      </c>
      <c r="AD12" s="16">
        <v>97515</v>
      </c>
      <c r="AE12" s="16">
        <v>51321</v>
      </c>
      <c r="AF12" s="16">
        <v>8350</v>
      </c>
      <c r="AG12" s="16">
        <v>14187</v>
      </c>
      <c r="AH12" s="16">
        <v>5801</v>
      </c>
      <c r="AI12" s="16">
        <v>18459</v>
      </c>
      <c r="AJ12" s="16">
        <v>1786</v>
      </c>
      <c r="AK12" s="103">
        <v>7129</v>
      </c>
      <c r="AL12" s="16">
        <v>5132</v>
      </c>
      <c r="AM12" s="16">
        <v>3135</v>
      </c>
      <c r="AN12" s="16">
        <v>20224</v>
      </c>
      <c r="AO12" s="16">
        <v>3674</v>
      </c>
      <c r="AP12" s="16">
        <v>3923</v>
      </c>
      <c r="AQ12" s="16">
        <v>935</v>
      </c>
      <c r="AR12" s="16">
        <v>6080</v>
      </c>
      <c r="AS12" s="16">
        <v>9022</v>
      </c>
      <c r="AT12" s="16">
        <v>32980</v>
      </c>
      <c r="AU12" s="16">
        <v>73574</v>
      </c>
      <c r="AV12" s="16">
        <v>27126</v>
      </c>
      <c r="AW12" s="16">
        <v>2005</v>
      </c>
      <c r="AX12" s="16">
        <v>13905</v>
      </c>
      <c r="AY12" s="16">
        <v>4792</v>
      </c>
      <c r="AZ12" s="16">
        <v>483</v>
      </c>
      <c r="BA12" s="16">
        <v>899</v>
      </c>
      <c r="BB12" s="16">
        <v>1500</v>
      </c>
      <c r="BC12" s="16">
        <v>2500</v>
      </c>
      <c r="BD12" s="16">
        <v>14448</v>
      </c>
      <c r="BE12" s="16">
        <v>17323</v>
      </c>
      <c r="BF12" s="16">
        <v>12289</v>
      </c>
      <c r="BG12" s="16">
        <v>26356</v>
      </c>
      <c r="BH12" s="16">
        <v>6465</v>
      </c>
      <c r="BI12" s="16">
        <v>9110</v>
      </c>
      <c r="BJ12" s="16">
        <v>16180</v>
      </c>
      <c r="BK12" s="16">
        <v>11458</v>
      </c>
      <c r="BL12" s="16">
        <v>15691</v>
      </c>
      <c r="BM12" s="16">
        <v>9973</v>
      </c>
      <c r="BN12" s="16">
        <v>2877</v>
      </c>
      <c r="BO12" s="16">
        <v>14218</v>
      </c>
    </row>
    <row r="13" spans="1:69" s="3" customFormat="1" ht="21.9" customHeight="1" x14ac:dyDescent="0.25">
      <c r="A13" s="125"/>
      <c r="B13" s="5"/>
      <c r="C13" s="47" t="s">
        <v>76</v>
      </c>
      <c r="D13" s="48"/>
      <c r="E13" s="16">
        <v>18817</v>
      </c>
      <c r="F13" s="26">
        <v>5</v>
      </c>
      <c r="G13" s="26">
        <v>6</v>
      </c>
      <c r="H13" s="26">
        <v>220</v>
      </c>
      <c r="I13" s="26">
        <v>27</v>
      </c>
      <c r="J13" s="26">
        <v>0</v>
      </c>
      <c r="K13" s="26">
        <v>23</v>
      </c>
      <c r="L13" s="26">
        <v>101</v>
      </c>
      <c r="M13" s="26">
        <v>2</v>
      </c>
      <c r="N13" s="26">
        <v>1</v>
      </c>
      <c r="O13" s="26">
        <v>17</v>
      </c>
      <c r="P13" s="26">
        <v>0</v>
      </c>
      <c r="Q13" s="26">
        <v>23</v>
      </c>
      <c r="R13" s="26">
        <v>255</v>
      </c>
      <c r="S13" s="26">
        <v>21</v>
      </c>
      <c r="T13" s="26">
        <v>61</v>
      </c>
      <c r="U13" s="26">
        <v>326</v>
      </c>
      <c r="V13" s="26">
        <v>14</v>
      </c>
      <c r="W13" s="26">
        <v>221</v>
      </c>
      <c r="X13" s="26">
        <v>70</v>
      </c>
      <c r="Y13" s="26">
        <v>53</v>
      </c>
      <c r="Z13" s="26">
        <v>164</v>
      </c>
      <c r="AA13" s="26">
        <v>7</v>
      </c>
      <c r="AB13" s="26">
        <v>40</v>
      </c>
      <c r="AC13" s="26">
        <v>47</v>
      </c>
      <c r="AD13" s="26">
        <v>715</v>
      </c>
      <c r="AE13" s="26">
        <v>264</v>
      </c>
      <c r="AF13" s="26">
        <v>52</v>
      </c>
      <c r="AG13" s="26">
        <v>247</v>
      </c>
      <c r="AH13" s="26">
        <v>205</v>
      </c>
      <c r="AI13" s="26">
        <v>28</v>
      </c>
      <c r="AJ13" s="26">
        <v>0</v>
      </c>
      <c r="AK13" s="99">
        <v>308</v>
      </c>
      <c r="AL13" s="26">
        <v>24</v>
      </c>
      <c r="AM13" s="26">
        <v>10</v>
      </c>
      <c r="AN13" s="26">
        <v>278</v>
      </c>
      <c r="AO13" s="26">
        <v>0</v>
      </c>
      <c r="AP13" s="26">
        <v>0</v>
      </c>
      <c r="AQ13" s="26">
        <v>0</v>
      </c>
      <c r="AR13" s="26">
        <v>158</v>
      </c>
      <c r="AS13" s="26">
        <v>135</v>
      </c>
      <c r="AT13" s="26">
        <v>2</v>
      </c>
      <c r="AU13" s="26">
        <v>391</v>
      </c>
      <c r="AV13" s="26">
        <v>175</v>
      </c>
      <c r="AW13" s="26">
        <v>5</v>
      </c>
      <c r="AX13" s="26">
        <v>30</v>
      </c>
      <c r="AY13" s="26">
        <v>8</v>
      </c>
      <c r="AZ13" s="26">
        <v>6</v>
      </c>
      <c r="BA13" s="26">
        <v>2</v>
      </c>
      <c r="BB13" s="26">
        <v>6</v>
      </c>
      <c r="BC13" s="26">
        <v>0</v>
      </c>
      <c r="BD13" s="26">
        <v>22</v>
      </c>
      <c r="BE13" s="26">
        <v>79</v>
      </c>
      <c r="BF13" s="26">
        <v>90</v>
      </c>
      <c r="BG13" s="26">
        <v>12615</v>
      </c>
      <c r="BH13" s="26">
        <v>9</v>
      </c>
      <c r="BI13" s="26">
        <v>41</v>
      </c>
      <c r="BJ13" s="26">
        <v>99</v>
      </c>
      <c r="BK13" s="26">
        <v>89</v>
      </c>
      <c r="BL13" s="26">
        <v>12</v>
      </c>
      <c r="BM13" s="26">
        <v>0</v>
      </c>
      <c r="BN13" s="26">
        <v>0</v>
      </c>
      <c r="BO13" s="26">
        <v>1008</v>
      </c>
    </row>
    <row r="14" spans="1:69" s="5" customFormat="1" ht="21.9" customHeight="1" x14ac:dyDescent="0.25">
      <c r="A14" s="125" t="s">
        <v>285</v>
      </c>
      <c r="B14" s="4"/>
      <c r="C14" s="47" t="s">
        <v>75</v>
      </c>
      <c r="D14" s="48"/>
      <c r="E14" s="16">
        <v>39834</v>
      </c>
      <c r="F14" s="16">
        <v>1323</v>
      </c>
      <c r="G14" s="16">
        <v>24</v>
      </c>
      <c r="H14" s="16">
        <v>4833</v>
      </c>
      <c r="I14" s="16">
        <v>5111</v>
      </c>
      <c r="J14" s="16">
        <v>0</v>
      </c>
      <c r="K14" s="16">
        <v>169</v>
      </c>
      <c r="L14" s="16">
        <v>289</v>
      </c>
      <c r="M14" s="16">
        <v>0</v>
      </c>
      <c r="N14" s="16">
        <v>0</v>
      </c>
      <c r="O14" s="16">
        <v>38</v>
      </c>
      <c r="P14" s="16">
        <v>0</v>
      </c>
      <c r="Q14" s="16">
        <v>270</v>
      </c>
      <c r="R14" s="16">
        <v>592</v>
      </c>
      <c r="S14" s="16">
        <v>123</v>
      </c>
      <c r="T14" s="16">
        <v>172</v>
      </c>
      <c r="U14" s="16">
        <v>321</v>
      </c>
      <c r="V14" s="16">
        <v>16</v>
      </c>
      <c r="W14" s="16">
        <v>255</v>
      </c>
      <c r="X14" s="16">
        <v>46</v>
      </c>
      <c r="Y14" s="16">
        <v>906</v>
      </c>
      <c r="Z14" s="16">
        <v>627</v>
      </c>
      <c r="AA14" s="16">
        <v>71</v>
      </c>
      <c r="AB14" s="16">
        <v>88</v>
      </c>
      <c r="AC14" s="16">
        <v>48</v>
      </c>
      <c r="AD14" s="16">
        <v>6511</v>
      </c>
      <c r="AE14" s="16">
        <v>4041</v>
      </c>
      <c r="AF14" s="16">
        <v>343</v>
      </c>
      <c r="AG14" s="16">
        <v>343</v>
      </c>
      <c r="AH14" s="16">
        <v>55</v>
      </c>
      <c r="AI14" s="16">
        <v>80</v>
      </c>
      <c r="AJ14" s="16">
        <v>18</v>
      </c>
      <c r="AK14" s="98">
        <v>432</v>
      </c>
      <c r="AL14" s="16">
        <v>87</v>
      </c>
      <c r="AM14" s="16">
        <v>36</v>
      </c>
      <c r="AN14" s="16">
        <v>205</v>
      </c>
      <c r="AO14" s="16">
        <v>0</v>
      </c>
      <c r="AP14" s="16">
        <v>0</v>
      </c>
      <c r="AQ14" s="16">
        <v>0</v>
      </c>
      <c r="AR14" s="16">
        <v>243</v>
      </c>
      <c r="AS14" s="16">
        <v>138</v>
      </c>
      <c r="AT14" s="16">
        <v>312</v>
      </c>
      <c r="AU14" s="16">
        <v>4723</v>
      </c>
      <c r="AV14" s="16">
        <v>594</v>
      </c>
      <c r="AW14" s="16">
        <v>15</v>
      </c>
      <c r="AX14" s="16">
        <v>202</v>
      </c>
      <c r="AY14" s="16">
        <v>6</v>
      </c>
      <c r="AZ14" s="16">
        <v>28</v>
      </c>
      <c r="BA14" s="16">
        <v>0</v>
      </c>
      <c r="BB14" s="16">
        <v>0</v>
      </c>
      <c r="BC14" s="16">
        <v>8</v>
      </c>
      <c r="BD14" s="16">
        <v>34</v>
      </c>
      <c r="BE14" s="16">
        <v>63</v>
      </c>
      <c r="BF14" s="16">
        <v>199</v>
      </c>
      <c r="BG14" s="16">
        <v>3225</v>
      </c>
      <c r="BH14" s="16">
        <v>35</v>
      </c>
      <c r="BI14" s="16">
        <v>83</v>
      </c>
      <c r="BJ14" s="16">
        <v>833</v>
      </c>
      <c r="BK14" s="16">
        <v>69</v>
      </c>
      <c r="BL14" s="16">
        <v>227</v>
      </c>
      <c r="BM14" s="16">
        <v>7</v>
      </c>
      <c r="BN14" s="16">
        <v>1</v>
      </c>
      <c r="BO14" s="16">
        <v>1316</v>
      </c>
    </row>
    <row r="15" spans="1:69" s="5" customFormat="1" ht="21.9" customHeight="1" x14ac:dyDescent="0.25">
      <c r="A15" s="125"/>
      <c r="B15" s="4"/>
      <c r="C15" s="47" t="s">
        <v>76</v>
      </c>
      <c r="D15" s="48"/>
      <c r="E15" s="16">
        <v>754</v>
      </c>
      <c r="F15" s="26">
        <v>1</v>
      </c>
      <c r="G15" s="26">
        <v>4</v>
      </c>
      <c r="H15" s="26">
        <v>3</v>
      </c>
      <c r="I15" s="26">
        <v>1</v>
      </c>
      <c r="J15" s="26">
        <v>0</v>
      </c>
      <c r="K15" s="26">
        <v>1</v>
      </c>
      <c r="L15" s="26">
        <v>8</v>
      </c>
      <c r="M15" s="26">
        <v>0</v>
      </c>
      <c r="N15" s="26">
        <v>0</v>
      </c>
      <c r="O15" s="26">
        <v>0</v>
      </c>
      <c r="P15" s="26">
        <v>0</v>
      </c>
      <c r="Q15" s="26">
        <v>2</v>
      </c>
      <c r="R15" s="26">
        <v>19</v>
      </c>
      <c r="S15" s="26">
        <v>0</v>
      </c>
      <c r="T15" s="16">
        <v>4</v>
      </c>
      <c r="U15" s="16">
        <v>26</v>
      </c>
      <c r="V15" s="16">
        <v>0</v>
      </c>
      <c r="W15" s="16">
        <v>18</v>
      </c>
      <c r="X15" s="16">
        <v>0</v>
      </c>
      <c r="Y15" s="16">
        <v>1</v>
      </c>
      <c r="Z15" s="16">
        <v>47</v>
      </c>
      <c r="AA15" s="16">
        <v>1</v>
      </c>
      <c r="AB15" s="16">
        <v>1</v>
      </c>
      <c r="AC15" s="16">
        <v>0</v>
      </c>
      <c r="AD15" s="16">
        <v>25</v>
      </c>
      <c r="AE15" s="16">
        <v>39</v>
      </c>
      <c r="AF15" s="16">
        <v>4</v>
      </c>
      <c r="AG15" s="16">
        <v>9</v>
      </c>
      <c r="AH15" s="16">
        <v>0</v>
      </c>
      <c r="AI15" s="16">
        <v>2</v>
      </c>
      <c r="AJ15" s="16">
        <v>0</v>
      </c>
      <c r="AK15" s="98">
        <v>35</v>
      </c>
      <c r="AL15" s="16">
        <v>0</v>
      </c>
      <c r="AM15" s="16">
        <v>0</v>
      </c>
      <c r="AN15" s="16">
        <v>11</v>
      </c>
      <c r="AO15" s="26">
        <v>0</v>
      </c>
      <c r="AP15" s="26">
        <v>0</v>
      </c>
      <c r="AQ15" s="26">
        <v>0</v>
      </c>
      <c r="AR15" s="26">
        <v>26</v>
      </c>
      <c r="AS15" s="26">
        <v>10</v>
      </c>
      <c r="AT15" s="26">
        <v>1</v>
      </c>
      <c r="AU15" s="26">
        <v>18</v>
      </c>
      <c r="AV15" s="26">
        <v>2</v>
      </c>
      <c r="AW15" s="26">
        <v>4</v>
      </c>
      <c r="AX15" s="26">
        <v>1</v>
      </c>
      <c r="AY15" s="16">
        <v>1</v>
      </c>
      <c r="AZ15" s="16">
        <v>0</v>
      </c>
      <c r="BA15" s="16">
        <v>0</v>
      </c>
      <c r="BB15" s="16">
        <v>0</v>
      </c>
      <c r="BC15" s="16">
        <v>0</v>
      </c>
      <c r="BD15" s="16">
        <v>0</v>
      </c>
      <c r="BE15" s="16">
        <v>10</v>
      </c>
      <c r="BF15" s="16">
        <v>10</v>
      </c>
      <c r="BG15" s="16">
        <v>173</v>
      </c>
      <c r="BH15" s="16">
        <v>2</v>
      </c>
      <c r="BI15" s="16">
        <v>0</v>
      </c>
      <c r="BJ15" s="16">
        <v>9</v>
      </c>
      <c r="BK15" s="16">
        <v>7</v>
      </c>
      <c r="BL15" s="16">
        <v>0</v>
      </c>
      <c r="BM15" s="16">
        <v>0</v>
      </c>
      <c r="BN15" s="16">
        <v>0</v>
      </c>
      <c r="BO15" s="16">
        <v>218</v>
      </c>
    </row>
    <row r="16" spans="1:69" s="5" customFormat="1" ht="21.9" customHeight="1" x14ac:dyDescent="0.25">
      <c r="A16" s="125" t="s">
        <v>283</v>
      </c>
      <c r="B16" s="4"/>
      <c r="C16" s="47" t="s">
        <v>75</v>
      </c>
      <c r="D16" s="48"/>
      <c r="E16" s="16">
        <v>111744</v>
      </c>
      <c r="F16" s="16">
        <v>2760</v>
      </c>
      <c r="G16" s="16">
        <v>2353</v>
      </c>
      <c r="H16" s="16">
        <v>2206</v>
      </c>
      <c r="I16" s="16">
        <v>2096</v>
      </c>
      <c r="J16" s="16">
        <v>998</v>
      </c>
      <c r="K16" s="16">
        <v>2254</v>
      </c>
      <c r="L16" s="16">
        <v>2065</v>
      </c>
      <c r="M16" s="16">
        <v>1771</v>
      </c>
      <c r="N16" s="16">
        <v>848</v>
      </c>
      <c r="O16" s="16">
        <v>693</v>
      </c>
      <c r="P16" s="16">
        <v>152</v>
      </c>
      <c r="Q16" s="16">
        <v>1971</v>
      </c>
      <c r="R16" s="16">
        <v>2437</v>
      </c>
      <c r="S16" s="16">
        <v>960</v>
      </c>
      <c r="T16" s="16">
        <v>2907</v>
      </c>
      <c r="U16" s="16">
        <v>2553</v>
      </c>
      <c r="V16" s="16">
        <v>1981</v>
      </c>
      <c r="W16" s="16">
        <v>2939</v>
      </c>
      <c r="X16" s="16">
        <v>1465</v>
      </c>
      <c r="Y16" s="16">
        <v>1691</v>
      </c>
      <c r="Z16" s="16">
        <v>2532</v>
      </c>
      <c r="AA16" s="16">
        <v>492</v>
      </c>
      <c r="AB16" s="16">
        <v>2113</v>
      </c>
      <c r="AC16" s="16">
        <v>459</v>
      </c>
      <c r="AD16" s="16">
        <v>6321</v>
      </c>
      <c r="AE16" s="16">
        <v>5860</v>
      </c>
      <c r="AF16" s="16">
        <v>1325</v>
      </c>
      <c r="AG16" s="16">
        <v>2760</v>
      </c>
      <c r="AH16" s="16">
        <v>1114</v>
      </c>
      <c r="AI16" s="16">
        <v>3052</v>
      </c>
      <c r="AJ16" s="16">
        <v>658</v>
      </c>
      <c r="AK16" s="98">
        <v>2125</v>
      </c>
      <c r="AL16" s="16">
        <v>1266</v>
      </c>
      <c r="AM16" s="16">
        <v>664</v>
      </c>
      <c r="AN16" s="16">
        <v>2075</v>
      </c>
      <c r="AO16" s="16">
        <v>689</v>
      </c>
      <c r="AP16" s="16">
        <v>758</v>
      </c>
      <c r="AQ16" s="16">
        <v>209</v>
      </c>
      <c r="AR16" s="16">
        <v>974</v>
      </c>
      <c r="AS16" s="16">
        <v>1496</v>
      </c>
      <c r="AT16" s="16">
        <v>5000</v>
      </c>
      <c r="AU16" s="16">
        <v>8156</v>
      </c>
      <c r="AV16" s="16">
        <v>4432</v>
      </c>
      <c r="AW16" s="16">
        <v>418</v>
      </c>
      <c r="AX16" s="16">
        <v>1038</v>
      </c>
      <c r="AY16" s="16">
        <v>291</v>
      </c>
      <c r="AZ16" s="16">
        <v>17</v>
      </c>
      <c r="BA16" s="16">
        <v>384</v>
      </c>
      <c r="BB16" s="16">
        <v>643</v>
      </c>
      <c r="BC16" s="16">
        <v>563</v>
      </c>
      <c r="BD16" s="16">
        <v>1481</v>
      </c>
      <c r="BE16" s="16">
        <v>2019</v>
      </c>
      <c r="BF16" s="16">
        <v>1483</v>
      </c>
      <c r="BG16" s="16">
        <v>749</v>
      </c>
      <c r="BH16" s="16">
        <v>548</v>
      </c>
      <c r="BI16" s="16">
        <v>1879</v>
      </c>
      <c r="BJ16" s="16">
        <v>1572</v>
      </c>
      <c r="BK16" s="16">
        <v>1646</v>
      </c>
      <c r="BL16" s="16">
        <v>1068</v>
      </c>
      <c r="BM16" s="16">
        <v>1808</v>
      </c>
      <c r="BN16" s="16">
        <v>103</v>
      </c>
      <c r="BO16" s="16">
        <v>2404</v>
      </c>
    </row>
    <row r="17" spans="1:67" s="5" customFormat="1" ht="21.9" customHeight="1" x14ac:dyDescent="0.25">
      <c r="A17" s="125"/>
      <c r="B17" s="4"/>
      <c r="C17" s="47" t="s">
        <v>76</v>
      </c>
      <c r="D17" s="48"/>
      <c r="E17" s="16">
        <v>1086</v>
      </c>
      <c r="F17" s="26">
        <v>0</v>
      </c>
      <c r="G17" s="26">
        <v>0</v>
      </c>
      <c r="H17" s="26">
        <v>18</v>
      </c>
      <c r="I17" s="26">
        <v>2</v>
      </c>
      <c r="J17" s="26">
        <v>0</v>
      </c>
      <c r="K17" s="26">
        <v>1</v>
      </c>
      <c r="L17" s="26">
        <v>0</v>
      </c>
      <c r="M17" s="26">
        <v>0</v>
      </c>
      <c r="N17" s="26">
        <v>0</v>
      </c>
      <c r="O17" s="26">
        <v>0</v>
      </c>
      <c r="P17" s="26">
        <v>0</v>
      </c>
      <c r="Q17" s="26">
        <v>1</v>
      </c>
      <c r="R17" s="26">
        <v>10</v>
      </c>
      <c r="S17" s="26">
        <v>0</v>
      </c>
      <c r="T17" s="16">
        <v>5</v>
      </c>
      <c r="U17" s="16">
        <v>63</v>
      </c>
      <c r="V17" s="16">
        <v>0</v>
      </c>
      <c r="W17" s="16">
        <v>31</v>
      </c>
      <c r="X17" s="16">
        <v>13</v>
      </c>
      <c r="Y17" s="16">
        <v>4</v>
      </c>
      <c r="Z17" s="16">
        <v>18</v>
      </c>
      <c r="AA17" s="16">
        <v>0</v>
      </c>
      <c r="AB17" s="16">
        <v>4</v>
      </c>
      <c r="AC17" s="16">
        <v>1</v>
      </c>
      <c r="AD17" s="16">
        <v>37</v>
      </c>
      <c r="AE17" s="16">
        <v>10</v>
      </c>
      <c r="AF17" s="16">
        <v>1</v>
      </c>
      <c r="AG17" s="16">
        <v>9</v>
      </c>
      <c r="AH17" s="16">
        <v>8</v>
      </c>
      <c r="AI17" s="16">
        <v>1</v>
      </c>
      <c r="AJ17" s="16">
        <v>0</v>
      </c>
      <c r="AK17" s="98">
        <v>7</v>
      </c>
      <c r="AL17" s="16">
        <v>0</v>
      </c>
      <c r="AM17" s="16">
        <v>0</v>
      </c>
      <c r="AN17" s="16">
        <v>14</v>
      </c>
      <c r="AO17" s="26">
        <v>0</v>
      </c>
      <c r="AP17" s="26">
        <v>0</v>
      </c>
      <c r="AQ17" s="26">
        <v>0</v>
      </c>
      <c r="AR17" s="26">
        <v>60</v>
      </c>
      <c r="AS17" s="26">
        <v>86</v>
      </c>
      <c r="AT17" s="26">
        <v>0</v>
      </c>
      <c r="AU17" s="26">
        <v>142</v>
      </c>
      <c r="AV17" s="26">
        <v>2</v>
      </c>
      <c r="AW17" s="26">
        <v>1</v>
      </c>
      <c r="AX17" s="26">
        <v>0</v>
      </c>
      <c r="AY17" s="16">
        <v>0</v>
      </c>
      <c r="AZ17" s="16">
        <v>0</v>
      </c>
      <c r="BA17" s="16">
        <v>2</v>
      </c>
      <c r="BB17" s="16">
        <v>0</v>
      </c>
      <c r="BC17" s="16">
        <v>0</v>
      </c>
      <c r="BD17" s="16">
        <v>0</v>
      </c>
      <c r="BE17" s="16">
        <v>6</v>
      </c>
      <c r="BF17" s="16">
        <v>2</v>
      </c>
      <c r="BG17" s="16">
        <v>422</v>
      </c>
      <c r="BH17" s="16">
        <v>0</v>
      </c>
      <c r="BI17" s="16">
        <v>0</v>
      </c>
      <c r="BJ17" s="16">
        <v>16</v>
      </c>
      <c r="BK17" s="16">
        <v>20</v>
      </c>
      <c r="BL17" s="16">
        <v>2</v>
      </c>
      <c r="BM17" s="16">
        <v>0</v>
      </c>
      <c r="BN17" s="16">
        <v>0</v>
      </c>
      <c r="BO17" s="16">
        <v>67</v>
      </c>
    </row>
    <row r="18" spans="1:67" s="5" customFormat="1" ht="21.9" customHeight="1" x14ac:dyDescent="0.25">
      <c r="A18" s="125" t="s">
        <v>77</v>
      </c>
      <c r="B18" s="4"/>
      <c r="C18" s="47" t="s">
        <v>75</v>
      </c>
      <c r="D18" s="48"/>
      <c r="E18" s="16">
        <v>34128</v>
      </c>
      <c r="F18" s="16">
        <v>1188</v>
      </c>
      <c r="G18" s="16">
        <v>975</v>
      </c>
      <c r="H18" s="16">
        <v>1230</v>
      </c>
      <c r="I18" s="16">
        <v>715</v>
      </c>
      <c r="J18" s="16">
        <v>345</v>
      </c>
      <c r="K18" s="16">
        <v>978</v>
      </c>
      <c r="L18" s="16">
        <v>964</v>
      </c>
      <c r="M18" s="16">
        <v>359</v>
      </c>
      <c r="N18" s="16">
        <v>390</v>
      </c>
      <c r="O18" s="16">
        <v>308</v>
      </c>
      <c r="P18" s="16">
        <v>0</v>
      </c>
      <c r="Q18" s="16">
        <v>718</v>
      </c>
      <c r="R18" s="16">
        <v>755</v>
      </c>
      <c r="S18" s="16">
        <v>379</v>
      </c>
      <c r="T18" s="16">
        <v>458</v>
      </c>
      <c r="U18" s="16">
        <v>954</v>
      </c>
      <c r="V18" s="16">
        <v>512</v>
      </c>
      <c r="W18" s="16">
        <v>997</v>
      </c>
      <c r="X18" s="16">
        <v>360</v>
      </c>
      <c r="Y18" s="16">
        <v>703</v>
      </c>
      <c r="Z18" s="16">
        <v>789</v>
      </c>
      <c r="AA18" s="16">
        <v>180</v>
      </c>
      <c r="AB18" s="16">
        <v>420</v>
      </c>
      <c r="AC18" s="16">
        <v>66</v>
      </c>
      <c r="AD18" s="16">
        <v>1738</v>
      </c>
      <c r="AE18" s="16">
        <v>741</v>
      </c>
      <c r="AF18" s="16">
        <v>322</v>
      </c>
      <c r="AG18" s="16">
        <v>1176</v>
      </c>
      <c r="AH18" s="16">
        <v>501</v>
      </c>
      <c r="AI18" s="16">
        <v>823</v>
      </c>
      <c r="AJ18" s="16">
        <v>366</v>
      </c>
      <c r="AK18" s="98">
        <v>507</v>
      </c>
      <c r="AL18" s="16">
        <v>258</v>
      </c>
      <c r="AM18" s="16">
        <v>272</v>
      </c>
      <c r="AN18" s="16">
        <v>394</v>
      </c>
      <c r="AO18" s="16">
        <v>250</v>
      </c>
      <c r="AP18" s="16">
        <v>316</v>
      </c>
      <c r="AQ18" s="16">
        <v>160</v>
      </c>
      <c r="AR18" s="16">
        <v>247</v>
      </c>
      <c r="AS18" s="16">
        <v>117</v>
      </c>
      <c r="AT18" s="16">
        <v>530</v>
      </c>
      <c r="AU18" s="16">
        <v>739</v>
      </c>
      <c r="AV18" s="16">
        <v>878</v>
      </c>
      <c r="AW18" s="16">
        <v>364</v>
      </c>
      <c r="AX18" s="16">
        <v>520</v>
      </c>
      <c r="AY18" s="16">
        <v>574</v>
      </c>
      <c r="AZ18" s="16">
        <v>114</v>
      </c>
      <c r="BA18" s="16">
        <v>196</v>
      </c>
      <c r="BB18" s="16">
        <v>264</v>
      </c>
      <c r="BC18" s="16">
        <v>207</v>
      </c>
      <c r="BD18" s="16">
        <v>407</v>
      </c>
      <c r="BE18" s="16">
        <v>505</v>
      </c>
      <c r="BF18" s="16">
        <v>300</v>
      </c>
      <c r="BG18" s="16">
        <v>2237</v>
      </c>
      <c r="BH18" s="16">
        <v>231</v>
      </c>
      <c r="BI18" s="16">
        <v>527</v>
      </c>
      <c r="BJ18" s="16">
        <v>643</v>
      </c>
      <c r="BK18" s="16">
        <v>626</v>
      </c>
      <c r="BL18" s="16">
        <v>341</v>
      </c>
      <c r="BM18" s="16">
        <v>208</v>
      </c>
      <c r="BN18" s="16">
        <v>115</v>
      </c>
      <c r="BO18" s="16">
        <v>671</v>
      </c>
    </row>
    <row r="19" spans="1:67" s="5" customFormat="1" ht="21.9" customHeight="1" x14ac:dyDescent="0.25">
      <c r="A19" s="125"/>
      <c r="B19" s="4"/>
      <c r="C19" s="47" t="s">
        <v>76</v>
      </c>
      <c r="D19" s="48"/>
      <c r="E19" s="16">
        <v>2843</v>
      </c>
      <c r="F19" s="16">
        <v>1</v>
      </c>
      <c r="G19" s="16">
        <v>1</v>
      </c>
      <c r="H19" s="16">
        <v>5</v>
      </c>
      <c r="I19" s="16">
        <v>4</v>
      </c>
      <c r="J19" s="16">
        <v>0</v>
      </c>
      <c r="K19" s="16">
        <v>2</v>
      </c>
      <c r="L19" s="16">
        <v>10</v>
      </c>
      <c r="M19" s="16">
        <v>0</v>
      </c>
      <c r="N19" s="16">
        <v>0</v>
      </c>
      <c r="O19" s="16">
        <v>0</v>
      </c>
      <c r="P19" s="16">
        <v>0</v>
      </c>
      <c r="Q19" s="16">
        <v>7</v>
      </c>
      <c r="R19" s="16">
        <v>21</v>
      </c>
      <c r="S19" s="16">
        <v>0</v>
      </c>
      <c r="T19" s="16">
        <v>7</v>
      </c>
      <c r="U19" s="16">
        <v>30</v>
      </c>
      <c r="V19" s="16">
        <v>5</v>
      </c>
      <c r="W19" s="16">
        <v>28</v>
      </c>
      <c r="X19" s="16">
        <v>3</v>
      </c>
      <c r="Y19" s="16">
        <v>8</v>
      </c>
      <c r="Z19" s="16">
        <v>12</v>
      </c>
      <c r="AA19" s="16">
        <v>0</v>
      </c>
      <c r="AB19" s="16">
        <v>0</v>
      </c>
      <c r="AC19" s="16">
        <v>1</v>
      </c>
      <c r="AD19" s="16">
        <v>17</v>
      </c>
      <c r="AE19" s="16">
        <v>20</v>
      </c>
      <c r="AF19" s="16">
        <v>2</v>
      </c>
      <c r="AG19" s="16">
        <v>8</v>
      </c>
      <c r="AH19" s="16">
        <v>17</v>
      </c>
      <c r="AI19" s="16">
        <v>4</v>
      </c>
      <c r="AJ19" s="16">
        <v>0</v>
      </c>
      <c r="AK19" s="98">
        <v>36</v>
      </c>
      <c r="AL19" s="16">
        <v>0</v>
      </c>
      <c r="AM19" s="16">
        <v>3</v>
      </c>
      <c r="AN19" s="16">
        <v>9</v>
      </c>
      <c r="AO19" s="16">
        <v>0</v>
      </c>
      <c r="AP19" s="16">
        <v>0</v>
      </c>
      <c r="AQ19" s="16">
        <v>0</v>
      </c>
      <c r="AR19" s="16">
        <v>7</v>
      </c>
      <c r="AS19" s="16">
        <v>2</v>
      </c>
      <c r="AT19" s="16">
        <v>0</v>
      </c>
      <c r="AU19" s="16">
        <v>6</v>
      </c>
      <c r="AV19" s="16">
        <v>0</v>
      </c>
      <c r="AW19" s="16">
        <v>0</v>
      </c>
      <c r="AX19" s="16">
        <v>1</v>
      </c>
      <c r="AY19" s="16">
        <v>3</v>
      </c>
      <c r="AZ19" s="16">
        <v>0</v>
      </c>
      <c r="BA19" s="16">
        <v>0</v>
      </c>
      <c r="BB19" s="16">
        <v>0</v>
      </c>
      <c r="BC19" s="16">
        <v>0</v>
      </c>
      <c r="BD19" s="16">
        <v>2</v>
      </c>
      <c r="BE19" s="16">
        <v>4</v>
      </c>
      <c r="BF19" s="16">
        <v>11</v>
      </c>
      <c r="BG19" s="16">
        <v>2457</v>
      </c>
      <c r="BH19" s="16">
        <v>0</v>
      </c>
      <c r="BI19" s="16">
        <v>0</v>
      </c>
      <c r="BJ19" s="16">
        <v>4</v>
      </c>
      <c r="BK19" s="16">
        <v>2</v>
      </c>
      <c r="BL19" s="16">
        <v>2</v>
      </c>
      <c r="BM19" s="16">
        <v>0</v>
      </c>
      <c r="BN19" s="16">
        <v>0</v>
      </c>
      <c r="BO19" s="16">
        <v>81</v>
      </c>
    </row>
    <row r="20" spans="1:67" s="5" customFormat="1" ht="21.9" customHeight="1" x14ac:dyDescent="0.25">
      <c r="A20" s="125" t="s">
        <v>78</v>
      </c>
      <c r="B20" s="4"/>
      <c r="C20" s="47" t="s">
        <v>75</v>
      </c>
      <c r="D20" s="48"/>
      <c r="E20" s="16">
        <v>15341</v>
      </c>
      <c r="F20" s="16">
        <v>81</v>
      </c>
      <c r="G20" s="16">
        <v>81</v>
      </c>
      <c r="H20" s="16">
        <v>361</v>
      </c>
      <c r="I20" s="16">
        <v>280</v>
      </c>
      <c r="J20" s="16">
        <v>25</v>
      </c>
      <c r="K20" s="16">
        <v>76</v>
      </c>
      <c r="L20" s="16">
        <v>215</v>
      </c>
      <c r="M20" s="16">
        <v>48</v>
      </c>
      <c r="N20" s="16">
        <v>4</v>
      </c>
      <c r="O20" s="16">
        <v>14</v>
      </c>
      <c r="P20" s="16">
        <v>0</v>
      </c>
      <c r="Q20" s="16">
        <v>22</v>
      </c>
      <c r="R20" s="16">
        <v>237</v>
      </c>
      <c r="S20" s="16">
        <v>99</v>
      </c>
      <c r="T20" s="16">
        <v>64</v>
      </c>
      <c r="U20" s="16">
        <v>327</v>
      </c>
      <c r="V20" s="16">
        <v>54</v>
      </c>
      <c r="W20" s="16">
        <v>395</v>
      </c>
      <c r="X20" s="16">
        <v>80</v>
      </c>
      <c r="Y20" s="16">
        <v>285</v>
      </c>
      <c r="Z20" s="16">
        <v>802</v>
      </c>
      <c r="AA20" s="16">
        <v>40</v>
      </c>
      <c r="AB20" s="16">
        <v>82</v>
      </c>
      <c r="AC20" s="16">
        <v>93</v>
      </c>
      <c r="AD20" s="16">
        <v>2797</v>
      </c>
      <c r="AE20" s="16">
        <v>647</v>
      </c>
      <c r="AF20" s="16">
        <v>229</v>
      </c>
      <c r="AG20" s="16">
        <v>90</v>
      </c>
      <c r="AH20" s="16">
        <v>58</v>
      </c>
      <c r="AI20" s="16">
        <v>260</v>
      </c>
      <c r="AJ20" s="16">
        <v>2</v>
      </c>
      <c r="AK20" s="98">
        <v>161</v>
      </c>
      <c r="AL20" s="16">
        <v>38</v>
      </c>
      <c r="AM20" s="16">
        <v>60</v>
      </c>
      <c r="AN20" s="16">
        <v>304</v>
      </c>
      <c r="AO20" s="16">
        <v>11</v>
      </c>
      <c r="AP20" s="16">
        <v>9</v>
      </c>
      <c r="AQ20" s="16">
        <v>0</v>
      </c>
      <c r="AR20" s="16">
        <v>18</v>
      </c>
      <c r="AS20" s="16">
        <v>50</v>
      </c>
      <c r="AT20" s="16">
        <v>86</v>
      </c>
      <c r="AU20" s="16">
        <v>800</v>
      </c>
      <c r="AV20" s="16">
        <v>288</v>
      </c>
      <c r="AW20" s="16">
        <v>4</v>
      </c>
      <c r="AX20" s="16">
        <v>135</v>
      </c>
      <c r="AY20" s="16">
        <v>39</v>
      </c>
      <c r="AZ20" s="16">
        <v>3</v>
      </c>
      <c r="BA20" s="16">
        <v>4</v>
      </c>
      <c r="BB20" s="16">
        <v>9</v>
      </c>
      <c r="BC20" s="16">
        <v>119</v>
      </c>
      <c r="BD20" s="16">
        <v>173</v>
      </c>
      <c r="BE20" s="16">
        <v>274</v>
      </c>
      <c r="BF20" s="16">
        <v>267</v>
      </c>
      <c r="BG20" s="16">
        <v>1181</v>
      </c>
      <c r="BH20" s="16">
        <v>78</v>
      </c>
      <c r="BI20" s="16">
        <v>233</v>
      </c>
      <c r="BJ20" s="16">
        <v>940</v>
      </c>
      <c r="BK20" s="16">
        <v>1281</v>
      </c>
      <c r="BL20" s="16">
        <v>202</v>
      </c>
      <c r="BM20" s="16">
        <v>11</v>
      </c>
      <c r="BN20" s="16">
        <v>1</v>
      </c>
      <c r="BO20" s="16">
        <v>714</v>
      </c>
    </row>
    <row r="21" spans="1:67" s="5" customFormat="1" ht="21.9" customHeight="1" x14ac:dyDescent="0.25">
      <c r="A21" s="125"/>
      <c r="B21" s="4"/>
      <c r="C21" s="47" t="s">
        <v>76</v>
      </c>
      <c r="D21" s="48"/>
      <c r="E21" s="16">
        <v>1562</v>
      </c>
      <c r="F21" s="16">
        <v>1</v>
      </c>
      <c r="G21" s="16">
        <v>1</v>
      </c>
      <c r="H21" s="16">
        <v>1</v>
      </c>
      <c r="I21" s="16">
        <v>7</v>
      </c>
      <c r="J21" s="16">
        <v>0</v>
      </c>
      <c r="K21" s="16">
        <v>0</v>
      </c>
      <c r="L21" s="16">
        <v>18</v>
      </c>
      <c r="M21" s="16">
        <v>1</v>
      </c>
      <c r="N21" s="16">
        <v>0</v>
      </c>
      <c r="O21" s="16">
        <v>5</v>
      </c>
      <c r="P21" s="16">
        <v>0</v>
      </c>
      <c r="Q21" s="16">
        <v>2</v>
      </c>
      <c r="R21" s="16">
        <v>33</v>
      </c>
      <c r="S21" s="16">
        <v>4</v>
      </c>
      <c r="T21" s="16">
        <v>8</v>
      </c>
      <c r="U21" s="16">
        <v>58</v>
      </c>
      <c r="V21" s="16">
        <v>3</v>
      </c>
      <c r="W21" s="16">
        <v>28</v>
      </c>
      <c r="X21" s="16">
        <v>26</v>
      </c>
      <c r="Y21" s="16">
        <v>10</v>
      </c>
      <c r="Z21" s="16">
        <v>12</v>
      </c>
      <c r="AA21" s="16">
        <v>1</v>
      </c>
      <c r="AB21" s="16">
        <v>4</v>
      </c>
      <c r="AC21" s="16">
        <v>17</v>
      </c>
      <c r="AD21" s="16">
        <v>46</v>
      </c>
      <c r="AE21" s="16">
        <v>46</v>
      </c>
      <c r="AF21" s="16">
        <v>12</v>
      </c>
      <c r="AG21" s="16">
        <v>21</v>
      </c>
      <c r="AH21" s="16">
        <v>24</v>
      </c>
      <c r="AI21" s="16">
        <v>6</v>
      </c>
      <c r="AJ21" s="16">
        <v>0</v>
      </c>
      <c r="AK21" s="98">
        <v>34</v>
      </c>
      <c r="AL21" s="16">
        <v>3</v>
      </c>
      <c r="AM21" s="16">
        <v>0</v>
      </c>
      <c r="AN21" s="16">
        <v>62</v>
      </c>
      <c r="AO21" s="16">
        <v>0</v>
      </c>
      <c r="AP21" s="16">
        <v>0</v>
      </c>
      <c r="AQ21" s="16">
        <v>0</v>
      </c>
      <c r="AR21" s="16">
        <v>2</v>
      </c>
      <c r="AS21" s="16">
        <v>3</v>
      </c>
      <c r="AT21" s="16">
        <v>1</v>
      </c>
      <c r="AU21" s="16">
        <v>26</v>
      </c>
      <c r="AV21" s="16">
        <v>8</v>
      </c>
      <c r="AW21" s="16">
        <v>0</v>
      </c>
      <c r="AX21" s="16">
        <v>10</v>
      </c>
      <c r="AY21" s="16">
        <v>1</v>
      </c>
      <c r="AZ21" s="16">
        <v>0</v>
      </c>
      <c r="BA21" s="16">
        <v>0</v>
      </c>
      <c r="BB21" s="16">
        <v>5</v>
      </c>
      <c r="BC21" s="16">
        <v>0</v>
      </c>
      <c r="BD21" s="16">
        <v>2</v>
      </c>
      <c r="BE21" s="16">
        <v>14</v>
      </c>
      <c r="BF21" s="16">
        <v>16</v>
      </c>
      <c r="BG21" s="16">
        <v>946</v>
      </c>
      <c r="BH21" s="16">
        <v>0</v>
      </c>
      <c r="BI21" s="16">
        <v>0</v>
      </c>
      <c r="BJ21" s="16">
        <v>0</v>
      </c>
      <c r="BK21" s="16">
        <v>25</v>
      </c>
      <c r="BL21" s="16">
        <v>1</v>
      </c>
      <c r="BM21" s="16">
        <v>0</v>
      </c>
      <c r="BN21" s="16">
        <v>0</v>
      </c>
      <c r="BO21" s="16">
        <v>8</v>
      </c>
    </row>
    <row r="22" spans="1:67" s="5" customFormat="1" ht="21.9" customHeight="1" x14ac:dyDescent="0.25">
      <c r="A22" s="125" t="s">
        <v>209</v>
      </c>
      <c r="B22" s="4"/>
      <c r="C22" s="47" t="s">
        <v>75</v>
      </c>
      <c r="D22" s="48"/>
      <c r="E22" s="16">
        <v>4759</v>
      </c>
      <c r="F22" s="16">
        <v>37</v>
      </c>
      <c r="G22" s="16">
        <v>62</v>
      </c>
      <c r="H22" s="16">
        <v>98</v>
      </c>
      <c r="I22" s="16">
        <v>44</v>
      </c>
      <c r="J22" s="16">
        <v>1</v>
      </c>
      <c r="K22" s="16">
        <v>88</v>
      </c>
      <c r="L22" s="16">
        <v>122</v>
      </c>
      <c r="M22" s="16">
        <v>14</v>
      </c>
      <c r="N22" s="16">
        <v>6</v>
      </c>
      <c r="O22" s="16">
        <v>1</v>
      </c>
      <c r="P22" s="16">
        <v>0</v>
      </c>
      <c r="Q22" s="16">
        <v>22</v>
      </c>
      <c r="R22" s="16">
        <v>219</v>
      </c>
      <c r="S22" s="16">
        <v>84</v>
      </c>
      <c r="T22" s="16">
        <v>32</v>
      </c>
      <c r="U22" s="16">
        <v>184</v>
      </c>
      <c r="V22" s="16">
        <v>8</v>
      </c>
      <c r="W22" s="16">
        <v>213</v>
      </c>
      <c r="X22" s="16">
        <v>65</v>
      </c>
      <c r="Y22" s="16">
        <v>197</v>
      </c>
      <c r="Z22" s="16">
        <v>139</v>
      </c>
      <c r="AA22" s="16">
        <v>0</v>
      </c>
      <c r="AB22" s="16">
        <v>9</v>
      </c>
      <c r="AC22" s="16">
        <v>10</v>
      </c>
      <c r="AD22" s="16">
        <v>936</v>
      </c>
      <c r="AE22" s="16">
        <v>209</v>
      </c>
      <c r="AF22" s="16">
        <v>79</v>
      </c>
      <c r="AG22" s="16">
        <v>103</v>
      </c>
      <c r="AH22" s="16">
        <v>37</v>
      </c>
      <c r="AI22" s="16">
        <v>15</v>
      </c>
      <c r="AJ22" s="16">
        <v>11</v>
      </c>
      <c r="AK22" s="98">
        <v>50</v>
      </c>
      <c r="AL22" s="16">
        <v>1</v>
      </c>
      <c r="AM22" s="16">
        <v>87</v>
      </c>
      <c r="AN22" s="16">
        <v>75</v>
      </c>
      <c r="AO22" s="16">
        <v>0</v>
      </c>
      <c r="AP22" s="16">
        <v>0</v>
      </c>
      <c r="AQ22" s="16">
        <v>0</v>
      </c>
      <c r="AR22" s="16">
        <v>62</v>
      </c>
      <c r="AS22" s="16">
        <v>83</v>
      </c>
      <c r="AT22" s="16">
        <v>1</v>
      </c>
      <c r="AU22" s="16">
        <v>587</v>
      </c>
      <c r="AV22" s="16">
        <v>57</v>
      </c>
      <c r="AW22" s="16">
        <v>0</v>
      </c>
      <c r="AX22" s="16">
        <v>0</v>
      </c>
      <c r="AY22" s="16">
        <v>0</v>
      </c>
      <c r="AZ22" s="16">
        <v>0</v>
      </c>
      <c r="BA22" s="16">
        <v>0</v>
      </c>
      <c r="BB22" s="16">
        <v>0</v>
      </c>
      <c r="BC22" s="16">
        <v>0</v>
      </c>
      <c r="BD22" s="16">
        <v>26</v>
      </c>
      <c r="BE22" s="16">
        <v>35</v>
      </c>
      <c r="BF22" s="16">
        <v>5</v>
      </c>
      <c r="BG22" s="16">
        <v>15</v>
      </c>
      <c r="BH22" s="16">
        <v>11</v>
      </c>
      <c r="BI22" s="16">
        <v>0</v>
      </c>
      <c r="BJ22" s="16">
        <v>329</v>
      </c>
      <c r="BK22" s="16">
        <v>131</v>
      </c>
      <c r="BL22" s="16">
        <v>138</v>
      </c>
      <c r="BM22" s="16">
        <v>0</v>
      </c>
      <c r="BN22" s="16">
        <v>0</v>
      </c>
      <c r="BO22" s="16">
        <v>21</v>
      </c>
    </row>
    <row r="23" spans="1:67" s="5" customFormat="1" ht="21.9" customHeight="1" x14ac:dyDescent="0.25">
      <c r="A23" s="125"/>
      <c r="B23" s="4"/>
      <c r="C23" s="47" t="s">
        <v>76</v>
      </c>
      <c r="D23" s="48"/>
      <c r="E23" s="16">
        <v>126</v>
      </c>
      <c r="F23" s="16">
        <v>0</v>
      </c>
      <c r="G23" s="16">
        <v>0</v>
      </c>
      <c r="H23" s="16">
        <v>0</v>
      </c>
      <c r="I23" s="16">
        <v>0</v>
      </c>
      <c r="J23" s="16">
        <v>0</v>
      </c>
      <c r="K23" s="16">
        <v>1</v>
      </c>
      <c r="L23" s="16">
        <v>0</v>
      </c>
      <c r="M23" s="16">
        <v>0</v>
      </c>
      <c r="N23" s="16">
        <v>0</v>
      </c>
      <c r="O23" s="16">
        <v>0</v>
      </c>
      <c r="P23" s="16">
        <v>0</v>
      </c>
      <c r="Q23" s="16">
        <v>0</v>
      </c>
      <c r="R23" s="16">
        <v>0</v>
      </c>
      <c r="S23" s="16">
        <v>0</v>
      </c>
      <c r="T23" s="16">
        <v>0</v>
      </c>
      <c r="U23" s="16">
        <v>6</v>
      </c>
      <c r="V23" s="16">
        <v>1</v>
      </c>
      <c r="W23" s="16">
        <v>2</v>
      </c>
      <c r="X23" s="16">
        <v>4</v>
      </c>
      <c r="Y23" s="16">
        <v>0</v>
      </c>
      <c r="Z23" s="16">
        <v>3</v>
      </c>
      <c r="AA23" s="16">
        <v>0</v>
      </c>
      <c r="AB23" s="16">
        <v>2</v>
      </c>
      <c r="AC23" s="16">
        <v>0</v>
      </c>
      <c r="AD23" s="16">
        <v>0</v>
      </c>
      <c r="AE23" s="16">
        <v>0</v>
      </c>
      <c r="AF23" s="16">
        <v>1</v>
      </c>
      <c r="AG23" s="16">
        <v>11</v>
      </c>
      <c r="AH23" s="16">
        <v>4</v>
      </c>
      <c r="AI23" s="16">
        <v>0</v>
      </c>
      <c r="AJ23" s="16">
        <v>0</v>
      </c>
      <c r="AK23" s="98">
        <v>0</v>
      </c>
      <c r="AL23" s="16">
        <v>0</v>
      </c>
      <c r="AM23" s="16">
        <v>0</v>
      </c>
      <c r="AN23" s="16">
        <v>5</v>
      </c>
      <c r="AO23" s="16">
        <v>0</v>
      </c>
      <c r="AP23" s="16">
        <v>0</v>
      </c>
      <c r="AQ23" s="16">
        <v>0</v>
      </c>
      <c r="AR23" s="16">
        <v>27</v>
      </c>
      <c r="AS23" s="16">
        <v>0</v>
      </c>
      <c r="AT23" s="16">
        <v>0</v>
      </c>
      <c r="AU23" s="16">
        <v>50</v>
      </c>
      <c r="AV23" s="16">
        <v>0</v>
      </c>
      <c r="AW23" s="16">
        <v>0</v>
      </c>
      <c r="AX23" s="16">
        <v>0</v>
      </c>
      <c r="AY23" s="16">
        <v>0</v>
      </c>
      <c r="AZ23" s="16">
        <v>0</v>
      </c>
      <c r="BA23" s="16">
        <v>0</v>
      </c>
      <c r="BB23" s="16">
        <v>0</v>
      </c>
      <c r="BC23" s="16">
        <v>0</v>
      </c>
      <c r="BD23" s="16">
        <v>0</v>
      </c>
      <c r="BE23" s="16">
        <v>0</v>
      </c>
      <c r="BF23" s="16">
        <v>0</v>
      </c>
      <c r="BG23" s="16">
        <v>4</v>
      </c>
      <c r="BH23" s="16">
        <v>0</v>
      </c>
      <c r="BI23" s="16">
        <v>0</v>
      </c>
      <c r="BJ23" s="16">
        <v>5</v>
      </c>
      <c r="BK23" s="16">
        <v>0</v>
      </c>
      <c r="BL23" s="16">
        <v>0</v>
      </c>
      <c r="BM23" s="16">
        <v>0</v>
      </c>
      <c r="BN23" s="16">
        <v>0</v>
      </c>
      <c r="BO23" s="16">
        <v>0</v>
      </c>
    </row>
    <row r="24" spans="1:67" s="5" customFormat="1" ht="21.9" customHeight="1" x14ac:dyDescent="0.25">
      <c r="A24" s="125" t="s">
        <v>80</v>
      </c>
      <c r="B24" s="4"/>
      <c r="C24" s="47" t="s">
        <v>132</v>
      </c>
      <c r="D24" s="48"/>
      <c r="E24" s="16">
        <v>22845</v>
      </c>
      <c r="F24" s="16">
        <v>464</v>
      </c>
      <c r="G24" s="16">
        <v>195</v>
      </c>
      <c r="H24" s="16">
        <v>867</v>
      </c>
      <c r="I24" s="16">
        <v>1214</v>
      </c>
      <c r="J24" s="16">
        <v>51</v>
      </c>
      <c r="K24" s="16">
        <v>1045</v>
      </c>
      <c r="L24" s="16">
        <v>373</v>
      </c>
      <c r="M24" s="16">
        <v>71</v>
      </c>
      <c r="N24" s="16">
        <v>55</v>
      </c>
      <c r="O24" s="16">
        <v>100</v>
      </c>
      <c r="P24" s="16">
        <v>14</v>
      </c>
      <c r="Q24" s="16">
        <v>100</v>
      </c>
      <c r="R24" s="16">
        <v>547</v>
      </c>
      <c r="S24" s="16">
        <v>140</v>
      </c>
      <c r="T24" s="16">
        <v>334</v>
      </c>
      <c r="U24" s="16">
        <v>810</v>
      </c>
      <c r="V24" s="16">
        <v>242</v>
      </c>
      <c r="W24" s="16">
        <v>461</v>
      </c>
      <c r="X24" s="16">
        <v>193</v>
      </c>
      <c r="Y24" s="16">
        <v>608</v>
      </c>
      <c r="Z24" s="16">
        <v>448</v>
      </c>
      <c r="AA24" s="16">
        <v>164</v>
      </c>
      <c r="AB24" s="16">
        <v>167</v>
      </c>
      <c r="AC24" s="16">
        <v>155</v>
      </c>
      <c r="AD24" s="16">
        <v>3648</v>
      </c>
      <c r="AE24" s="16">
        <v>866</v>
      </c>
      <c r="AF24" s="16">
        <v>245</v>
      </c>
      <c r="AG24" s="16">
        <v>318</v>
      </c>
      <c r="AH24" s="16">
        <v>80</v>
      </c>
      <c r="AI24" s="16">
        <v>386</v>
      </c>
      <c r="AJ24" s="16">
        <v>42</v>
      </c>
      <c r="AK24" s="98">
        <v>129</v>
      </c>
      <c r="AL24" s="16">
        <v>56</v>
      </c>
      <c r="AM24" s="16">
        <v>65</v>
      </c>
      <c r="AN24" s="16">
        <v>480</v>
      </c>
      <c r="AO24" s="16">
        <v>40</v>
      </c>
      <c r="AP24" s="16">
        <v>20</v>
      </c>
      <c r="AQ24" s="16">
        <v>37</v>
      </c>
      <c r="AR24" s="16">
        <v>135</v>
      </c>
      <c r="AS24" s="16">
        <v>92</v>
      </c>
      <c r="AT24" s="16">
        <v>331</v>
      </c>
      <c r="AU24" s="16">
        <v>2140</v>
      </c>
      <c r="AV24" s="16">
        <v>459</v>
      </c>
      <c r="AW24" s="16">
        <v>31</v>
      </c>
      <c r="AX24" s="16">
        <v>448</v>
      </c>
      <c r="AY24" s="16">
        <v>89</v>
      </c>
      <c r="AZ24" s="16">
        <v>57</v>
      </c>
      <c r="BA24" s="16">
        <v>15</v>
      </c>
      <c r="BB24" s="16">
        <v>22</v>
      </c>
      <c r="BC24" s="16">
        <v>52</v>
      </c>
      <c r="BD24" s="16">
        <v>317</v>
      </c>
      <c r="BE24" s="16">
        <v>318</v>
      </c>
      <c r="BF24" s="16">
        <v>293</v>
      </c>
      <c r="BG24" s="16">
        <v>539</v>
      </c>
      <c r="BH24" s="16">
        <v>134</v>
      </c>
      <c r="BI24" s="16">
        <v>276</v>
      </c>
      <c r="BJ24" s="16">
        <v>451</v>
      </c>
      <c r="BK24" s="16">
        <v>428</v>
      </c>
      <c r="BL24" s="16">
        <v>359</v>
      </c>
      <c r="BM24" s="16">
        <v>185</v>
      </c>
      <c r="BN24" s="16">
        <v>35</v>
      </c>
      <c r="BO24" s="16">
        <v>409</v>
      </c>
    </row>
    <row r="25" spans="1:67" s="5" customFormat="1" ht="21.9" customHeight="1" x14ac:dyDescent="0.25">
      <c r="A25" s="125"/>
      <c r="B25" s="4"/>
      <c r="C25" s="47" t="s">
        <v>76</v>
      </c>
      <c r="D25" s="48"/>
      <c r="E25" s="16">
        <v>395</v>
      </c>
      <c r="F25" s="16">
        <v>1</v>
      </c>
      <c r="G25" s="16">
        <v>0</v>
      </c>
      <c r="H25" s="16">
        <v>0</v>
      </c>
      <c r="I25" s="16">
        <v>1</v>
      </c>
      <c r="J25" s="16">
        <v>0</v>
      </c>
      <c r="K25" s="16">
        <v>0</v>
      </c>
      <c r="L25" s="16">
        <v>4</v>
      </c>
      <c r="M25" s="16">
        <v>0</v>
      </c>
      <c r="N25" s="16">
        <v>1</v>
      </c>
      <c r="O25" s="16">
        <v>1</v>
      </c>
      <c r="P25" s="16">
        <v>0</v>
      </c>
      <c r="Q25" s="16">
        <v>2</v>
      </c>
      <c r="R25" s="16">
        <v>31</v>
      </c>
      <c r="S25" s="16">
        <v>0</v>
      </c>
      <c r="T25" s="16">
        <v>2</v>
      </c>
      <c r="U25" s="16">
        <v>14</v>
      </c>
      <c r="V25" s="16">
        <v>2</v>
      </c>
      <c r="W25" s="16">
        <v>13</v>
      </c>
      <c r="X25" s="16">
        <v>4</v>
      </c>
      <c r="Y25" s="16">
        <v>0</v>
      </c>
      <c r="Z25" s="16">
        <v>1</v>
      </c>
      <c r="AA25" s="16">
        <v>0</v>
      </c>
      <c r="AB25" s="16">
        <v>1</v>
      </c>
      <c r="AC25" s="16">
        <v>1</v>
      </c>
      <c r="AD25" s="16">
        <v>9</v>
      </c>
      <c r="AE25" s="16">
        <v>2</v>
      </c>
      <c r="AF25" s="16">
        <v>5</v>
      </c>
      <c r="AG25" s="16">
        <v>11</v>
      </c>
      <c r="AH25" s="16">
        <v>4</v>
      </c>
      <c r="AI25" s="16">
        <v>1</v>
      </c>
      <c r="AJ25" s="16">
        <v>0</v>
      </c>
      <c r="AK25" s="98">
        <v>8</v>
      </c>
      <c r="AL25" s="16">
        <v>1</v>
      </c>
      <c r="AM25" s="16">
        <v>1</v>
      </c>
      <c r="AN25" s="16">
        <v>12</v>
      </c>
      <c r="AO25" s="16">
        <v>0</v>
      </c>
      <c r="AP25" s="16">
        <v>0</v>
      </c>
      <c r="AQ25" s="16">
        <v>0</v>
      </c>
      <c r="AR25" s="16">
        <v>0</v>
      </c>
      <c r="AS25" s="16">
        <v>1</v>
      </c>
      <c r="AT25" s="16">
        <v>0</v>
      </c>
      <c r="AU25" s="16">
        <v>18</v>
      </c>
      <c r="AV25" s="16">
        <v>0</v>
      </c>
      <c r="AW25" s="16">
        <v>0</v>
      </c>
      <c r="AX25" s="16">
        <v>0</v>
      </c>
      <c r="AY25" s="16">
        <v>0</v>
      </c>
      <c r="AZ25" s="16">
        <v>0</v>
      </c>
      <c r="BA25" s="16">
        <v>0</v>
      </c>
      <c r="BB25" s="16">
        <v>0</v>
      </c>
      <c r="BC25" s="16">
        <v>0</v>
      </c>
      <c r="BD25" s="16">
        <v>0</v>
      </c>
      <c r="BE25" s="16">
        <v>1</v>
      </c>
      <c r="BF25" s="16">
        <v>0</v>
      </c>
      <c r="BG25" s="16">
        <v>207</v>
      </c>
      <c r="BH25" s="16">
        <v>0</v>
      </c>
      <c r="BI25" s="16">
        <v>1</v>
      </c>
      <c r="BJ25" s="16">
        <v>1</v>
      </c>
      <c r="BK25" s="16">
        <v>2</v>
      </c>
      <c r="BL25" s="16">
        <v>0</v>
      </c>
      <c r="BM25" s="16">
        <v>0</v>
      </c>
      <c r="BN25" s="16">
        <v>0</v>
      </c>
      <c r="BO25" s="16">
        <v>31</v>
      </c>
    </row>
    <row r="26" spans="1:67" s="5" customFormat="1" ht="21.9" customHeight="1" x14ac:dyDescent="0.25">
      <c r="A26" s="125" t="s">
        <v>284</v>
      </c>
      <c r="B26" s="4"/>
      <c r="C26" s="47" t="s">
        <v>75</v>
      </c>
      <c r="D26" s="48"/>
      <c r="E26" s="16">
        <v>64513</v>
      </c>
      <c r="F26" s="16">
        <v>1662</v>
      </c>
      <c r="G26" s="16">
        <v>1545</v>
      </c>
      <c r="H26" s="16">
        <v>4743</v>
      </c>
      <c r="I26" s="16">
        <v>2565</v>
      </c>
      <c r="J26" s="16">
        <v>278</v>
      </c>
      <c r="K26" s="16">
        <v>1770</v>
      </c>
      <c r="L26" s="16">
        <v>1830</v>
      </c>
      <c r="M26" s="16">
        <v>474</v>
      </c>
      <c r="N26" s="16">
        <v>384</v>
      </c>
      <c r="O26" s="16">
        <v>353</v>
      </c>
      <c r="P26" s="16">
        <v>0</v>
      </c>
      <c r="Q26" s="16">
        <v>1257</v>
      </c>
      <c r="R26" s="16">
        <v>1403</v>
      </c>
      <c r="S26" s="16">
        <v>360</v>
      </c>
      <c r="T26" s="16">
        <v>951</v>
      </c>
      <c r="U26" s="16">
        <v>1736</v>
      </c>
      <c r="V26" s="16">
        <v>964</v>
      </c>
      <c r="W26" s="16">
        <v>1329</v>
      </c>
      <c r="X26" s="16">
        <v>313</v>
      </c>
      <c r="Y26" s="16">
        <v>991</v>
      </c>
      <c r="Z26" s="16">
        <v>1261</v>
      </c>
      <c r="AA26" s="16">
        <v>152</v>
      </c>
      <c r="AB26" s="16">
        <v>439</v>
      </c>
      <c r="AC26" s="16">
        <v>118</v>
      </c>
      <c r="AD26" s="16">
        <v>4353</v>
      </c>
      <c r="AE26" s="16">
        <v>2367</v>
      </c>
      <c r="AF26" s="16">
        <v>495</v>
      </c>
      <c r="AG26" s="16">
        <v>2314</v>
      </c>
      <c r="AH26" s="16">
        <v>628</v>
      </c>
      <c r="AI26" s="16">
        <v>1006</v>
      </c>
      <c r="AJ26" s="16">
        <v>60</v>
      </c>
      <c r="AK26" s="98">
        <v>724</v>
      </c>
      <c r="AL26" s="16">
        <v>316</v>
      </c>
      <c r="AM26" s="16">
        <v>446</v>
      </c>
      <c r="AN26" s="16">
        <v>1173</v>
      </c>
      <c r="AO26" s="16">
        <v>737</v>
      </c>
      <c r="AP26" s="16">
        <v>767</v>
      </c>
      <c r="AQ26" s="16">
        <v>166</v>
      </c>
      <c r="AR26" s="16">
        <v>401</v>
      </c>
      <c r="AS26" s="16">
        <v>73</v>
      </c>
      <c r="AT26" s="16">
        <v>1133</v>
      </c>
      <c r="AU26" s="16">
        <v>1566</v>
      </c>
      <c r="AV26" s="16">
        <v>1772</v>
      </c>
      <c r="AW26" s="16">
        <v>374</v>
      </c>
      <c r="AX26" s="16">
        <v>863</v>
      </c>
      <c r="AY26" s="16">
        <v>605</v>
      </c>
      <c r="AZ26" s="16">
        <v>76</v>
      </c>
      <c r="BA26" s="16">
        <v>176</v>
      </c>
      <c r="BB26" s="16">
        <v>327</v>
      </c>
      <c r="BC26" s="16">
        <v>153</v>
      </c>
      <c r="BD26" s="16">
        <v>935</v>
      </c>
      <c r="BE26" s="16">
        <v>1226</v>
      </c>
      <c r="BF26" s="16">
        <v>929</v>
      </c>
      <c r="BG26" s="16">
        <v>4887</v>
      </c>
      <c r="BH26" s="16">
        <v>636</v>
      </c>
      <c r="BI26" s="16">
        <v>596</v>
      </c>
      <c r="BJ26" s="16">
        <v>797</v>
      </c>
      <c r="BK26" s="16">
        <v>1130</v>
      </c>
      <c r="BL26" s="16">
        <v>858</v>
      </c>
      <c r="BM26" s="16">
        <v>149</v>
      </c>
      <c r="BN26" s="16">
        <v>82</v>
      </c>
      <c r="BO26" s="16">
        <v>2339</v>
      </c>
    </row>
    <row r="27" spans="1:67" s="5" customFormat="1" ht="21.9" customHeight="1" x14ac:dyDescent="0.25">
      <c r="A27" s="125"/>
      <c r="B27" s="4"/>
      <c r="C27" s="47" t="s">
        <v>76</v>
      </c>
      <c r="D27" s="48"/>
      <c r="E27" s="16">
        <v>3067</v>
      </c>
      <c r="F27" s="16">
        <v>0</v>
      </c>
      <c r="G27" s="16">
        <v>0</v>
      </c>
      <c r="H27" s="16">
        <v>19</v>
      </c>
      <c r="I27" s="16">
        <v>0</v>
      </c>
      <c r="J27" s="16">
        <v>0</v>
      </c>
      <c r="K27" s="16">
        <v>4</v>
      </c>
      <c r="L27" s="16">
        <v>5</v>
      </c>
      <c r="M27" s="16">
        <v>0</v>
      </c>
      <c r="N27" s="16">
        <v>0</v>
      </c>
      <c r="O27" s="16">
        <v>1</v>
      </c>
      <c r="P27" s="16">
        <v>0</v>
      </c>
      <c r="Q27" s="16">
        <v>1</v>
      </c>
      <c r="R27" s="16">
        <v>21</v>
      </c>
      <c r="S27" s="16">
        <v>0</v>
      </c>
      <c r="T27" s="16">
        <v>2</v>
      </c>
      <c r="U27" s="16">
        <v>5</v>
      </c>
      <c r="V27" s="16">
        <v>0</v>
      </c>
      <c r="W27" s="16">
        <v>17</v>
      </c>
      <c r="X27" s="16">
        <v>0</v>
      </c>
      <c r="Y27" s="16">
        <v>0</v>
      </c>
      <c r="Z27" s="16">
        <v>1</v>
      </c>
      <c r="AA27" s="16">
        <v>0</v>
      </c>
      <c r="AB27" s="16">
        <v>0</v>
      </c>
      <c r="AC27" s="16">
        <v>5</v>
      </c>
      <c r="AD27" s="16">
        <v>10</v>
      </c>
      <c r="AE27" s="16">
        <v>1</v>
      </c>
      <c r="AF27" s="16">
        <v>0</v>
      </c>
      <c r="AG27" s="16">
        <v>8</v>
      </c>
      <c r="AH27" s="16">
        <v>4</v>
      </c>
      <c r="AI27" s="16">
        <v>0</v>
      </c>
      <c r="AJ27" s="16">
        <v>0</v>
      </c>
      <c r="AK27" s="98">
        <v>14</v>
      </c>
      <c r="AL27" s="16">
        <v>1</v>
      </c>
      <c r="AM27" s="16">
        <v>1</v>
      </c>
      <c r="AN27" s="16">
        <v>3</v>
      </c>
      <c r="AO27" s="16">
        <v>0</v>
      </c>
      <c r="AP27" s="16">
        <v>0</v>
      </c>
      <c r="AQ27" s="16">
        <v>0</v>
      </c>
      <c r="AR27" s="16">
        <v>0</v>
      </c>
      <c r="AS27" s="16">
        <v>1</v>
      </c>
      <c r="AT27" s="16">
        <v>0</v>
      </c>
      <c r="AU27" s="16">
        <v>17</v>
      </c>
      <c r="AV27" s="16">
        <v>0</v>
      </c>
      <c r="AW27" s="16">
        <v>0</v>
      </c>
      <c r="AX27" s="16">
        <v>0</v>
      </c>
      <c r="AY27" s="16">
        <v>0</v>
      </c>
      <c r="AZ27" s="16">
        <v>0</v>
      </c>
      <c r="BA27" s="16">
        <v>0</v>
      </c>
      <c r="BB27" s="16">
        <v>0</v>
      </c>
      <c r="BC27" s="16">
        <v>0</v>
      </c>
      <c r="BD27" s="16">
        <v>0</v>
      </c>
      <c r="BE27" s="16">
        <v>25</v>
      </c>
      <c r="BF27" s="16">
        <v>3</v>
      </c>
      <c r="BG27" s="16">
        <v>2476</v>
      </c>
      <c r="BH27" s="16">
        <v>0</v>
      </c>
      <c r="BI27" s="16">
        <v>0</v>
      </c>
      <c r="BJ27" s="16">
        <v>23</v>
      </c>
      <c r="BK27" s="16">
        <v>9</v>
      </c>
      <c r="BL27" s="16">
        <v>2</v>
      </c>
      <c r="BM27" s="16">
        <v>0</v>
      </c>
      <c r="BN27" s="16">
        <v>0</v>
      </c>
      <c r="BO27" s="16">
        <v>388</v>
      </c>
    </row>
    <row r="28" spans="1:67" s="5" customFormat="1" ht="21.9" customHeight="1" x14ac:dyDescent="0.25">
      <c r="A28" s="125" t="s">
        <v>189</v>
      </c>
      <c r="B28" s="4"/>
      <c r="C28" s="47" t="s">
        <v>75</v>
      </c>
      <c r="D28" s="48"/>
      <c r="E28" s="16">
        <v>12501</v>
      </c>
      <c r="F28" s="16">
        <v>160</v>
      </c>
      <c r="G28" s="16">
        <v>54</v>
      </c>
      <c r="H28" s="16">
        <v>700</v>
      </c>
      <c r="I28" s="16">
        <v>1620</v>
      </c>
      <c r="J28" s="16">
        <v>0</v>
      </c>
      <c r="K28" s="16">
        <v>391</v>
      </c>
      <c r="L28" s="16">
        <v>53</v>
      </c>
      <c r="M28" s="16">
        <v>0</v>
      </c>
      <c r="N28" s="16">
        <v>12</v>
      </c>
      <c r="O28" s="16">
        <v>0</v>
      </c>
      <c r="P28" s="16">
        <v>10</v>
      </c>
      <c r="Q28" s="16">
        <v>28</v>
      </c>
      <c r="R28" s="16">
        <v>108</v>
      </c>
      <c r="S28" s="16">
        <v>0</v>
      </c>
      <c r="T28" s="16">
        <v>76</v>
      </c>
      <c r="U28" s="16">
        <v>191</v>
      </c>
      <c r="V28" s="16">
        <v>95</v>
      </c>
      <c r="W28" s="16">
        <v>186</v>
      </c>
      <c r="X28" s="16">
        <v>74</v>
      </c>
      <c r="Y28" s="16">
        <v>186</v>
      </c>
      <c r="Z28" s="16">
        <v>38</v>
      </c>
      <c r="AA28" s="16">
        <v>76</v>
      </c>
      <c r="AB28" s="16">
        <v>9</v>
      </c>
      <c r="AC28" s="16">
        <v>3</v>
      </c>
      <c r="AD28" s="16">
        <v>1054</v>
      </c>
      <c r="AE28" s="16">
        <v>147</v>
      </c>
      <c r="AF28" s="16">
        <v>132</v>
      </c>
      <c r="AG28" s="16">
        <v>725</v>
      </c>
      <c r="AH28" s="16">
        <v>10</v>
      </c>
      <c r="AI28" s="16">
        <v>77</v>
      </c>
      <c r="AJ28" s="16">
        <v>5</v>
      </c>
      <c r="AK28" s="98">
        <v>63</v>
      </c>
      <c r="AL28" s="16">
        <v>10</v>
      </c>
      <c r="AM28" s="16">
        <v>6</v>
      </c>
      <c r="AN28" s="16">
        <v>21</v>
      </c>
      <c r="AO28" s="16">
        <v>8</v>
      </c>
      <c r="AP28" s="16">
        <v>5</v>
      </c>
      <c r="AQ28" s="16">
        <v>15</v>
      </c>
      <c r="AR28" s="16">
        <v>499</v>
      </c>
      <c r="AS28" s="16">
        <v>14</v>
      </c>
      <c r="AT28" s="16">
        <v>87</v>
      </c>
      <c r="AU28" s="16">
        <v>133</v>
      </c>
      <c r="AV28" s="16">
        <v>1927</v>
      </c>
      <c r="AW28" s="16">
        <v>23</v>
      </c>
      <c r="AX28" s="16">
        <v>191</v>
      </c>
      <c r="AY28" s="16">
        <v>79</v>
      </c>
      <c r="AZ28" s="16">
        <v>2</v>
      </c>
      <c r="BA28" s="16">
        <v>0</v>
      </c>
      <c r="BB28" s="16">
        <v>0</v>
      </c>
      <c r="BC28" s="16">
        <v>13</v>
      </c>
      <c r="BD28" s="16">
        <v>127</v>
      </c>
      <c r="BE28" s="16">
        <v>211</v>
      </c>
      <c r="BF28" s="16">
        <v>69</v>
      </c>
      <c r="BG28" s="16">
        <v>191</v>
      </c>
      <c r="BH28" s="16">
        <v>25</v>
      </c>
      <c r="BI28" s="16">
        <v>344</v>
      </c>
      <c r="BJ28" s="16">
        <v>876</v>
      </c>
      <c r="BK28" s="16">
        <v>0</v>
      </c>
      <c r="BL28" s="16">
        <v>37</v>
      </c>
      <c r="BM28" s="16">
        <v>28</v>
      </c>
      <c r="BN28" s="16">
        <v>0</v>
      </c>
      <c r="BO28" s="16">
        <v>1277</v>
      </c>
    </row>
    <row r="29" spans="1:67" s="5" customFormat="1" ht="21.9" customHeight="1" x14ac:dyDescent="0.25">
      <c r="A29" s="125"/>
      <c r="B29" s="4"/>
      <c r="C29" s="47" t="s">
        <v>184</v>
      </c>
      <c r="D29" s="48"/>
      <c r="E29" s="16">
        <v>323</v>
      </c>
      <c r="F29" s="16">
        <v>0</v>
      </c>
      <c r="G29" s="16">
        <v>0</v>
      </c>
      <c r="H29" s="16">
        <v>0</v>
      </c>
      <c r="I29" s="16">
        <v>0</v>
      </c>
      <c r="J29" s="16">
        <v>0</v>
      </c>
      <c r="K29" s="16">
        <v>0</v>
      </c>
      <c r="L29" s="16">
        <v>0</v>
      </c>
      <c r="M29" s="16">
        <v>0</v>
      </c>
      <c r="N29" s="16">
        <v>0</v>
      </c>
      <c r="O29" s="16">
        <v>0</v>
      </c>
      <c r="P29" s="16">
        <v>0</v>
      </c>
      <c r="Q29" s="16">
        <v>0</v>
      </c>
      <c r="R29" s="16">
        <v>1</v>
      </c>
      <c r="S29" s="16">
        <v>0</v>
      </c>
      <c r="T29" s="16">
        <v>0</v>
      </c>
      <c r="U29" s="16">
        <v>0</v>
      </c>
      <c r="V29" s="16">
        <v>0</v>
      </c>
      <c r="W29" s="16">
        <v>1</v>
      </c>
      <c r="X29" s="16">
        <v>1</v>
      </c>
      <c r="Y29" s="16">
        <v>0</v>
      </c>
      <c r="Z29" s="16">
        <v>0</v>
      </c>
      <c r="AA29" s="16">
        <v>0</v>
      </c>
      <c r="AB29" s="16">
        <v>0</v>
      </c>
      <c r="AC29" s="16">
        <v>0</v>
      </c>
      <c r="AD29" s="16">
        <v>4</v>
      </c>
      <c r="AE29" s="16">
        <v>0</v>
      </c>
      <c r="AF29" s="16">
        <v>5</v>
      </c>
      <c r="AG29" s="16">
        <v>5</v>
      </c>
      <c r="AH29" s="16">
        <v>0</v>
      </c>
      <c r="AI29" s="16">
        <v>0</v>
      </c>
      <c r="AJ29" s="16">
        <v>0</v>
      </c>
      <c r="AK29" s="98">
        <v>0</v>
      </c>
      <c r="AL29" s="16">
        <v>0</v>
      </c>
      <c r="AM29" s="16">
        <v>0</v>
      </c>
      <c r="AN29" s="16">
        <v>0</v>
      </c>
      <c r="AO29" s="16">
        <v>0</v>
      </c>
      <c r="AP29" s="16">
        <v>0</v>
      </c>
      <c r="AQ29" s="16">
        <v>0</v>
      </c>
      <c r="AR29" s="16">
        <v>17</v>
      </c>
      <c r="AS29" s="16">
        <v>0</v>
      </c>
      <c r="AT29" s="16">
        <v>0</v>
      </c>
      <c r="AU29" s="16">
        <v>2</v>
      </c>
      <c r="AV29" s="16">
        <v>77</v>
      </c>
      <c r="AW29" s="16">
        <v>0</v>
      </c>
      <c r="AX29" s="16">
        <v>0</v>
      </c>
      <c r="AY29" s="16">
        <v>0</v>
      </c>
      <c r="AZ29" s="16">
        <v>0</v>
      </c>
      <c r="BA29" s="16">
        <v>0</v>
      </c>
      <c r="BB29" s="16">
        <v>0</v>
      </c>
      <c r="BC29" s="16">
        <v>0</v>
      </c>
      <c r="BD29" s="16">
        <v>0</v>
      </c>
      <c r="BE29" s="16">
        <v>0</v>
      </c>
      <c r="BF29" s="16">
        <v>0</v>
      </c>
      <c r="BG29" s="16">
        <v>189</v>
      </c>
      <c r="BH29" s="16">
        <v>0</v>
      </c>
      <c r="BI29" s="16">
        <v>3</v>
      </c>
      <c r="BJ29" s="16">
        <v>7</v>
      </c>
      <c r="BK29" s="16">
        <v>0</v>
      </c>
      <c r="BL29" s="16">
        <v>0</v>
      </c>
      <c r="BM29" s="16">
        <v>0</v>
      </c>
      <c r="BN29" s="16">
        <v>0</v>
      </c>
      <c r="BO29" s="16">
        <v>11</v>
      </c>
    </row>
    <row r="30" spans="1:67" s="5" customFormat="1" ht="21.9" customHeight="1" x14ac:dyDescent="0.25">
      <c r="A30" s="125" t="s">
        <v>194</v>
      </c>
      <c r="B30" s="4"/>
      <c r="C30" s="47" t="s">
        <v>75</v>
      </c>
      <c r="D30" s="48"/>
      <c r="E30" s="16">
        <v>57042</v>
      </c>
      <c r="F30" s="16">
        <v>1431</v>
      </c>
      <c r="G30" s="16">
        <v>382</v>
      </c>
      <c r="H30" s="16">
        <v>939</v>
      </c>
      <c r="I30" s="16">
        <v>1398</v>
      </c>
      <c r="J30" s="16">
        <v>48</v>
      </c>
      <c r="K30" s="16">
        <v>354</v>
      </c>
      <c r="L30" s="16">
        <v>835</v>
      </c>
      <c r="M30" s="16">
        <v>299</v>
      </c>
      <c r="N30" s="16">
        <v>36</v>
      </c>
      <c r="O30" s="16">
        <v>194</v>
      </c>
      <c r="P30" s="16">
        <v>8</v>
      </c>
      <c r="Q30" s="16">
        <v>239</v>
      </c>
      <c r="R30" s="16">
        <v>1129</v>
      </c>
      <c r="S30" s="16">
        <v>1116</v>
      </c>
      <c r="T30" s="16">
        <v>555</v>
      </c>
      <c r="U30" s="16">
        <v>1587</v>
      </c>
      <c r="V30" s="16">
        <v>386</v>
      </c>
      <c r="W30" s="16">
        <v>562</v>
      </c>
      <c r="X30" s="16">
        <v>214</v>
      </c>
      <c r="Y30" s="16">
        <v>1363</v>
      </c>
      <c r="Z30" s="16">
        <v>438</v>
      </c>
      <c r="AA30" s="16">
        <v>224</v>
      </c>
      <c r="AB30" s="16">
        <v>441</v>
      </c>
      <c r="AC30" s="16">
        <v>1390</v>
      </c>
      <c r="AD30" s="16">
        <v>9189</v>
      </c>
      <c r="AE30" s="16">
        <v>1381</v>
      </c>
      <c r="AF30" s="16">
        <v>547</v>
      </c>
      <c r="AG30" s="16">
        <v>1287</v>
      </c>
      <c r="AH30" s="16">
        <v>173</v>
      </c>
      <c r="AI30" s="16">
        <v>900</v>
      </c>
      <c r="AJ30" s="16">
        <v>10</v>
      </c>
      <c r="AK30" s="98">
        <v>203</v>
      </c>
      <c r="AL30" s="16">
        <v>35</v>
      </c>
      <c r="AM30" s="16">
        <v>39</v>
      </c>
      <c r="AN30" s="16">
        <v>1675</v>
      </c>
      <c r="AO30" s="16">
        <v>0</v>
      </c>
      <c r="AP30" s="16">
        <v>0</v>
      </c>
      <c r="AQ30" s="16">
        <v>0</v>
      </c>
      <c r="AR30" s="16">
        <v>271</v>
      </c>
      <c r="AS30" s="16">
        <v>399</v>
      </c>
      <c r="AT30" s="16">
        <v>3115</v>
      </c>
      <c r="AU30" s="16">
        <v>9073</v>
      </c>
      <c r="AV30" s="16">
        <v>1441</v>
      </c>
      <c r="AW30" s="16">
        <v>79</v>
      </c>
      <c r="AX30" s="16">
        <v>1042</v>
      </c>
      <c r="AY30" s="16">
        <v>133</v>
      </c>
      <c r="AZ30" s="16">
        <v>68</v>
      </c>
      <c r="BA30" s="16">
        <v>1</v>
      </c>
      <c r="BB30" s="16">
        <v>29</v>
      </c>
      <c r="BC30" s="16">
        <v>13</v>
      </c>
      <c r="BD30" s="16">
        <v>927</v>
      </c>
      <c r="BE30" s="16">
        <v>1367</v>
      </c>
      <c r="BF30" s="16">
        <v>1419</v>
      </c>
      <c r="BG30" s="16">
        <v>2190</v>
      </c>
      <c r="BH30" s="16">
        <v>8</v>
      </c>
      <c r="BI30" s="16">
        <v>35</v>
      </c>
      <c r="BJ30" s="16">
        <v>703</v>
      </c>
      <c r="BK30" s="16">
        <v>439</v>
      </c>
      <c r="BL30" s="16">
        <v>1454</v>
      </c>
      <c r="BM30" s="16">
        <v>1769</v>
      </c>
      <c r="BN30" s="16">
        <v>0</v>
      </c>
      <c r="BO30" s="16">
        <v>60</v>
      </c>
    </row>
    <row r="31" spans="1:67" s="5" customFormat="1" ht="21.9" customHeight="1" x14ac:dyDescent="0.25">
      <c r="A31" s="125"/>
      <c r="B31" s="4"/>
      <c r="C31" s="47" t="s">
        <v>76</v>
      </c>
      <c r="D31" s="48"/>
      <c r="E31" s="16">
        <v>511</v>
      </c>
      <c r="F31" s="26">
        <v>0</v>
      </c>
      <c r="G31" s="26">
        <v>0</v>
      </c>
      <c r="H31" s="26">
        <v>0</v>
      </c>
      <c r="I31" s="26">
        <v>0</v>
      </c>
      <c r="J31" s="26">
        <v>0</v>
      </c>
      <c r="K31" s="26">
        <v>1</v>
      </c>
      <c r="L31" s="26">
        <v>4</v>
      </c>
      <c r="M31" s="26">
        <v>0</v>
      </c>
      <c r="N31" s="26">
        <v>0</v>
      </c>
      <c r="O31" s="26">
        <v>0</v>
      </c>
      <c r="P31" s="26">
        <v>0</v>
      </c>
      <c r="Q31" s="26">
        <v>0</v>
      </c>
      <c r="R31" s="26">
        <v>7</v>
      </c>
      <c r="S31" s="26">
        <v>0</v>
      </c>
      <c r="T31" s="16">
        <v>0</v>
      </c>
      <c r="U31" s="16">
        <v>5</v>
      </c>
      <c r="V31" s="16">
        <v>1</v>
      </c>
      <c r="W31" s="16">
        <v>1</v>
      </c>
      <c r="X31" s="16">
        <v>2</v>
      </c>
      <c r="Y31" s="16">
        <v>1</v>
      </c>
      <c r="Z31" s="16">
        <v>1</v>
      </c>
      <c r="AA31" s="16">
        <v>0</v>
      </c>
      <c r="AB31" s="16">
        <v>2</v>
      </c>
      <c r="AC31" s="16">
        <v>0</v>
      </c>
      <c r="AD31" s="16">
        <v>9</v>
      </c>
      <c r="AE31" s="16">
        <v>4</v>
      </c>
      <c r="AF31" s="16">
        <v>0</v>
      </c>
      <c r="AG31" s="16">
        <v>11</v>
      </c>
      <c r="AH31" s="16">
        <v>10</v>
      </c>
      <c r="AI31" s="16">
        <v>1</v>
      </c>
      <c r="AJ31" s="16">
        <v>0</v>
      </c>
      <c r="AK31" s="98">
        <v>3</v>
      </c>
      <c r="AL31" s="16">
        <v>0</v>
      </c>
      <c r="AM31" s="16">
        <v>0</v>
      </c>
      <c r="AN31" s="16">
        <v>33</v>
      </c>
      <c r="AO31" s="26">
        <v>0</v>
      </c>
      <c r="AP31" s="26">
        <v>0</v>
      </c>
      <c r="AQ31" s="26">
        <v>0</v>
      </c>
      <c r="AR31" s="26">
        <v>0</v>
      </c>
      <c r="AS31" s="26">
        <v>18</v>
      </c>
      <c r="AT31" s="26">
        <v>0</v>
      </c>
      <c r="AU31" s="26">
        <v>2</v>
      </c>
      <c r="AV31" s="26">
        <v>1</v>
      </c>
      <c r="AW31" s="26">
        <v>0</v>
      </c>
      <c r="AX31" s="26">
        <v>0</v>
      </c>
      <c r="AY31" s="16">
        <v>0</v>
      </c>
      <c r="AZ31" s="16">
        <v>0</v>
      </c>
      <c r="BA31" s="16">
        <v>0</v>
      </c>
      <c r="BB31" s="16">
        <v>0</v>
      </c>
      <c r="BC31" s="16">
        <v>0</v>
      </c>
      <c r="BD31" s="16">
        <v>0</v>
      </c>
      <c r="BE31" s="16">
        <v>1</v>
      </c>
      <c r="BF31" s="16">
        <v>1</v>
      </c>
      <c r="BG31" s="16">
        <v>382</v>
      </c>
      <c r="BH31" s="16">
        <v>2</v>
      </c>
      <c r="BI31" s="16">
        <v>5</v>
      </c>
      <c r="BJ31" s="16">
        <v>1</v>
      </c>
      <c r="BK31" s="16">
        <v>1</v>
      </c>
      <c r="BL31" s="16">
        <v>0</v>
      </c>
      <c r="BM31" s="16">
        <v>0</v>
      </c>
      <c r="BN31" s="16">
        <v>0</v>
      </c>
      <c r="BO31" s="16">
        <v>1</v>
      </c>
    </row>
    <row r="32" spans="1:67" s="5" customFormat="1" ht="21.9" customHeight="1" x14ac:dyDescent="0.25">
      <c r="A32" s="125" t="s">
        <v>81</v>
      </c>
      <c r="C32" s="47" t="s">
        <v>75</v>
      </c>
      <c r="D32" s="48"/>
      <c r="E32" s="16">
        <v>22511</v>
      </c>
      <c r="F32" s="16">
        <v>281</v>
      </c>
      <c r="G32" s="16">
        <v>206</v>
      </c>
      <c r="H32" s="16">
        <v>467</v>
      </c>
      <c r="I32" s="16">
        <v>226</v>
      </c>
      <c r="J32" s="16">
        <v>25</v>
      </c>
      <c r="K32" s="16">
        <v>112</v>
      </c>
      <c r="L32" s="16">
        <v>354</v>
      </c>
      <c r="M32" s="16">
        <v>94</v>
      </c>
      <c r="N32" s="16">
        <v>29</v>
      </c>
      <c r="O32" s="16">
        <v>44</v>
      </c>
      <c r="P32" s="16">
        <v>0</v>
      </c>
      <c r="Q32" s="16">
        <v>43</v>
      </c>
      <c r="R32" s="16">
        <v>266</v>
      </c>
      <c r="S32" s="16">
        <v>192</v>
      </c>
      <c r="T32" s="16">
        <v>59</v>
      </c>
      <c r="U32" s="16">
        <v>683</v>
      </c>
      <c r="V32" s="16">
        <v>171</v>
      </c>
      <c r="W32" s="16">
        <v>481</v>
      </c>
      <c r="X32" s="16">
        <v>61</v>
      </c>
      <c r="Y32" s="16">
        <v>775</v>
      </c>
      <c r="Z32" s="16">
        <v>924</v>
      </c>
      <c r="AA32" s="16">
        <v>85</v>
      </c>
      <c r="AB32" s="16">
        <v>162</v>
      </c>
      <c r="AC32" s="16">
        <v>43</v>
      </c>
      <c r="AD32" s="16">
        <v>3949</v>
      </c>
      <c r="AE32" s="16">
        <v>1578</v>
      </c>
      <c r="AF32" s="16">
        <v>290</v>
      </c>
      <c r="AG32" s="16">
        <v>213</v>
      </c>
      <c r="AH32" s="16">
        <v>184</v>
      </c>
      <c r="AI32" s="16">
        <v>241</v>
      </c>
      <c r="AJ32" s="16">
        <v>1</v>
      </c>
      <c r="AK32" s="98">
        <v>174</v>
      </c>
      <c r="AL32" s="16">
        <v>79</v>
      </c>
      <c r="AM32" s="16">
        <v>57</v>
      </c>
      <c r="AN32" s="16">
        <v>641</v>
      </c>
      <c r="AO32" s="16">
        <v>35</v>
      </c>
      <c r="AP32" s="16">
        <v>42</v>
      </c>
      <c r="AQ32" s="16">
        <v>5</v>
      </c>
      <c r="AR32" s="16">
        <v>18</v>
      </c>
      <c r="AS32" s="16">
        <v>161</v>
      </c>
      <c r="AT32" s="16">
        <v>461</v>
      </c>
      <c r="AU32" s="16">
        <v>1137</v>
      </c>
      <c r="AV32" s="16">
        <v>507</v>
      </c>
      <c r="AW32" s="16">
        <v>9</v>
      </c>
      <c r="AX32" s="16">
        <v>175</v>
      </c>
      <c r="AY32" s="16">
        <v>17</v>
      </c>
      <c r="AZ32" s="16">
        <v>0</v>
      </c>
      <c r="BA32" s="16">
        <v>3</v>
      </c>
      <c r="BB32" s="16">
        <v>5</v>
      </c>
      <c r="BC32" s="16">
        <v>0</v>
      </c>
      <c r="BD32" s="16">
        <v>187</v>
      </c>
      <c r="BE32" s="16">
        <v>121</v>
      </c>
      <c r="BF32" s="16">
        <v>155</v>
      </c>
      <c r="BG32" s="16">
        <v>1467</v>
      </c>
      <c r="BH32" s="16">
        <v>446</v>
      </c>
      <c r="BI32" s="16">
        <v>363</v>
      </c>
      <c r="BJ32" s="16">
        <v>1467</v>
      </c>
      <c r="BK32" s="16">
        <v>1034</v>
      </c>
      <c r="BL32" s="16">
        <v>787</v>
      </c>
      <c r="BM32" s="16">
        <v>213</v>
      </c>
      <c r="BN32" s="16">
        <v>21</v>
      </c>
      <c r="BO32" s="16">
        <v>485</v>
      </c>
    </row>
    <row r="33" spans="1:67" s="5" customFormat="1" ht="21.9" customHeight="1" x14ac:dyDescent="0.25">
      <c r="A33" s="125"/>
      <c r="C33" s="47" t="s">
        <v>76</v>
      </c>
      <c r="D33" s="48"/>
      <c r="E33" s="16">
        <v>1311</v>
      </c>
      <c r="F33" s="26">
        <v>0</v>
      </c>
      <c r="G33" s="26">
        <v>0</v>
      </c>
      <c r="H33" s="26">
        <v>4</v>
      </c>
      <c r="I33" s="26">
        <v>1</v>
      </c>
      <c r="J33" s="26">
        <v>0</v>
      </c>
      <c r="K33" s="26">
        <v>2</v>
      </c>
      <c r="L33" s="26">
        <v>2</v>
      </c>
      <c r="M33" s="26">
        <v>0</v>
      </c>
      <c r="N33" s="26">
        <v>0</v>
      </c>
      <c r="O33" s="26">
        <v>0</v>
      </c>
      <c r="P33" s="26">
        <v>0</v>
      </c>
      <c r="Q33" s="26">
        <v>1</v>
      </c>
      <c r="R33" s="26">
        <v>22</v>
      </c>
      <c r="S33" s="26">
        <v>1</v>
      </c>
      <c r="T33" s="16">
        <v>6</v>
      </c>
      <c r="U33" s="16">
        <v>47</v>
      </c>
      <c r="V33" s="16">
        <v>0</v>
      </c>
      <c r="W33" s="16">
        <v>8</v>
      </c>
      <c r="X33" s="16">
        <v>1</v>
      </c>
      <c r="Y33" s="16">
        <v>9</v>
      </c>
      <c r="Z33" s="16">
        <v>16</v>
      </c>
      <c r="AA33" s="16">
        <v>1</v>
      </c>
      <c r="AB33" s="16">
        <v>4</v>
      </c>
      <c r="AC33" s="16">
        <v>1</v>
      </c>
      <c r="AD33" s="16">
        <v>16</v>
      </c>
      <c r="AE33" s="16">
        <v>30</v>
      </c>
      <c r="AF33" s="16">
        <v>2</v>
      </c>
      <c r="AG33" s="16">
        <v>10</v>
      </c>
      <c r="AH33" s="16">
        <v>23</v>
      </c>
      <c r="AI33" s="16">
        <v>1</v>
      </c>
      <c r="AJ33" s="16">
        <v>0</v>
      </c>
      <c r="AK33" s="98">
        <v>20</v>
      </c>
      <c r="AL33" s="16">
        <v>0</v>
      </c>
      <c r="AM33" s="16">
        <v>0</v>
      </c>
      <c r="AN33" s="16">
        <v>28</v>
      </c>
      <c r="AO33" s="26">
        <v>0</v>
      </c>
      <c r="AP33" s="26">
        <v>0</v>
      </c>
      <c r="AQ33" s="26">
        <v>0</v>
      </c>
      <c r="AR33" s="26">
        <v>3</v>
      </c>
      <c r="AS33" s="26">
        <v>1</v>
      </c>
      <c r="AT33" s="26">
        <v>0</v>
      </c>
      <c r="AU33" s="26">
        <v>16</v>
      </c>
      <c r="AV33" s="26">
        <v>2</v>
      </c>
      <c r="AW33" s="26">
        <v>0</v>
      </c>
      <c r="AX33" s="26">
        <v>0</v>
      </c>
      <c r="AY33" s="16">
        <v>0</v>
      </c>
      <c r="AZ33" s="16">
        <v>0</v>
      </c>
      <c r="BA33" s="16">
        <v>0</v>
      </c>
      <c r="BB33" s="16">
        <v>0</v>
      </c>
      <c r="BC33" s="16">
        <v>0</v>
      </c>
      <c r="BD33" s="16">
        <v>3</v>
      </c>
      <c r="BE33" s="16">
        <v>3</v>
      </c>
      <c r="BF33" s="16">
        <v>19</v>
      </c>
      <c r="BG33" s="16">
        <v>950</v>
      </c>
      <c r="BH33" s="16">
        <v>0</v>
      </c>
      <c r="BI33" s="16">
        <v>12</v>
      </c>
      <c r="BJ33" s="16">
        <v>16</v>
      </c>
      <c r="BK33" s="16">
        <v>14</v>
      </c>
      <c r="BL33" s="16">
        <v>3</v>
      </c>
      <c r="BM33" s="16">
        <v>0</v>
      </c>
      <c r="BN33" s="16">
        <v>0</v>
      </c>
      <c r="BO33" s="16">
        <v>13</v>
      </c>
    </row>
    <row r="34" spans="1:67" s="5" customFormat="1" ht="21.9" customHeight="1" x14ac:dyDescent="0.25">
      <c r="A34" s="125" t="s">
        <v>82</v>
      </c>
      <c r="B34" s="4"/>
      <c r="C34" s="47" t="s">
        <v>75</v>
      </c>
      <c r="D34" s="48"/>
      <c r="E34" s="16">
        <v>93410</v>
      </c>
      <c r="F34" s="16">
        <v>2010</v>
      </c>
      <c r="G34" s="16">
        <v>1837</v>
      </c>
      <c r="H34" s="16">
        <v>952</v>
      </c>
      <c r="I34" s="16">
        <v>1052</v>
      </c>
      <c r="J34" s="16">
        <v>77</v>
      </c>
      <c r="K34" s="16">
        <v>283</v>
      </c>
      <c r="L34" s="16">
        <v>815</v>
      </c>
      <c r="M34" s="16">
        <v>1708</v>
      </c>
      <c r="N34" s="16">
        <v>196</v>
      </c>
      <c r="O34" s="16">
        <v>141</v>
      </c>
      <c r="P34" s="16">
        <v>10</v>
      </c>
      <c r="Q34" s="16">
        <v>74</v>
      </c>
      <c r="R34" s="16">
        <v>394</v>
      </c>
      <c r="S34" s="16">
        <v>1239</v>
      </c>
      <c r="T34" s="16">
        <v>188</v>
      </c>
      <c r="U34" s="16">
        <v>1314</v>
      </c>
      <c r="V34" s="16">
        <v>583</v>
      </c>
      <c r="W34" s="16">
        <v>238</v>
      </c>
      <c r="X34" s="16">
        <v>211</v>
      </c>
      <c r="Y34" s="16">
        <v>2289</v>
      </c>
      <c r="Z34" s="16">
        <v>339</v>
      </c>
      <c r="AA34" s="16">
        <v>319</v>
      </c>
      <c r="AB34" s="16">
        <v>884</v>
      </c>
      <c r="AC34" s="16">
        <v>197</v>
      </c>
      <c r="AD34" s="16">
        <v>12639</v>
      </c>
      <c r="AE34" s="16">
        <v>10602</v>
      </c>
      <c r="AF34" s="16">
        <v>752</v>
      </c>
      <c r="AG34" s="16">
        <v>427</v>
      </c>
      <c r="AH34" s="16">
        <v>568</v>
      </c>
      <c r="AI34" s="16">
        <v>1993</v>
      </c>
      <c r="AJ34" s="16">
        <v>0</v>
      </c>
      <c r="AK34" s="98">
        <v>155</v>
      </c>
      <c r="AL34" s="16">
        <v>503</v>
      </c>
      <c r="AM34" s="16">
        <v>623</v>
      </c>
      <c r="AN34" s="16">
        <v>3180</v>
      </c>
      <c r="AO34" s="16">
        <v>415</v>
      </c>
      <c r="AP34" s="16">
        <v>1145</v>
      </c>
      <c r="AQ34" s="16">
        <v>71</v>
      </c>
      <c r="AR34" s="16">
        <v>626</v>
      </c>
      <c r="AS34" s="16">
        <v>1761</v>
      </c>
      <c r="AT34" s="16">
        <v>7931</v>
      </c>
      <c r="AU34" s="16">
        <v>15702</v>
      </c>
      <c r="AV34" s="16">
        <v>3445</v>
      </c>
      <c r="AW34" s="16">
        <v>48</v>
      </c>
      <c r="AX34" s="16">
        <v>1334</v>
      </c>
      <c r="AY34" s="16">
        <v>5</v>
      </c>
      <c r="AZ34" s="16">
        <v>6</v>
      </c>
      <c r="BA34" s="16">
        <v>46</v>
      </c>
      <c r="BB34" s="16">
        <v>18</v>
      </c>
      <c r="BC34" s="16">
        <v>40</v>
      </c>
      <c r="BD34" s="16">
        <v>1453</v>
      </c>
      <c r="BE34" s="16">
        <v>1735</v>
      </c>
      <c r="BF34" s="16">
        <v>551</v>
      </c>
      <c r="BG34" s="16">
        <v>461</v>
      </c>
      <c r="BH34" s="16">
        <v>608</v>
      </c>
      <c r="BI34" s="16">
        <v>501</v>
      </c>
      <c r="BJ34" s="16">
        <v>990</v>
      </c>
      <c r="BK34" s="16">
        <v>460</v>
      </c>
      <c r="BL34" s="16">
        <v>3470</v>
      </c>
      <c r="BM34" s="16">
        <v>1760</v>
      </c>
      <c r="BN34" s="16">
        <v>5</v>
      </c>
      <c r="BO34" s="16">
        <v>31</v>
      </c>
    </row>
    <row r="35" spans="1:67" s="5" customFormat="1" ht="21.9" customHeight="1" x14ac:dyDescent="0.25">
      <c r="A35" s="125"/>
      <c r="B35" s="4"/>
      <c r="C35" s="47" t="s">
        <v>76</v>
      </c>
      <c r="D35" s="48"/>
      <c r="E35" s="16">
        <v>470</v>
      </c>
      <c r="F35" s="26">
        <v>0</v>
      </c>
      <c r="G35" s="26">
        <v>0</v>
      </c>
      <c r="H35" s="26">
        <v>0</v>
      </c>
      <c r="I35" s="26">
        <v>0</v>
      </c>
      <c r="J35" s="26">
        <v>0</v>
      </c>
      <c r="K35" s="26">
        <v>0</v>
      </c>
      <c r="L35" s="26">
        <v>1</v>
      </c>
      <c r="M35" s="26">
        <v>0</v>
      </c>
      <c r="N35" s="26">
        <v>0</v>
      </c>
      <c r="O35" s="26">
        <v>0</v>
      </c>
      <c r="P35" s="26">
        <v>0</v>
      </c>
      <c r="Q35" s="26">
        <v>0</v>
      </c>
      <c r="R35" s="26">
        <v>4</v>
      </c>
      <c r="S35" s="26">
        <v>0</v>
      </c>
      <c r="T35" s="16">
        <v>1</v>
      </c>
      <c r="U35" s="16">
        <v>1</v>
      </c>
      <c r="V35" s="16">
        <v>0</v>
      </c>
      <c r="W35" s="16">
        <v>2</v>
      </c>
      <c r="X35" s="16">
        <v>0</v>
      </c>
      <c r="Y35" s="16">
        <v>5</v>
      </c>
      <c r="Z35" s="16">
        <v>4</v>
      </c>
      <c r="AA35" s="16">
        <v>0</v>
      </c>
      <c r="AB35" s="16">
        <v>0</v>
      </c>
      <c r="AC35" s="16">
        <v>0</v>
      </c>
      <c r="AD35" s="16">
        <v>14</v>
      </c>
      <c r="AE35" s="16">
        <v>5</v>
      </c>
      <c r="AF35" s="16">
        <v>0</v>
      </c>
      <c r="AG35" s="16">
        <v>3</v>
      </c>
      <c r="AH35" s="16">
        <v>4</v>
      </c>
      <c r="AI35" s="16">
        <v>6</v>
      </c>
      <c r="AJ35" s="16">
        <v>0</v>
      </c>
      <c r="AK35" s="98">
        <v>3</v>
      </c>
      <c r="AL35" s="16">
        <v>0</v>
      </c>
      <c r="AM35" s="16">
        <v>0</v>
      </c>
      <c r="AN35" s="16">
        <v>0</v>
      </c>
      <c r="AO35" s="26">
        <v>0</v>
      </c>
      <c r="AP35" s="26">
        <v>0</v>
      </c>
      <c r="AQ35" s="26">
        <v>0</v>
      </c>
      <c r="AR35" s="26">
        <v>0</v>
      </c>
      <c r="AS35" s="26">
        <v>0</v>
      </c>
      <c r="AT35" s="26">
        <v>0</v>
      </c>
      <c r="AU35" s="26">
        <v>1</v>
      </c>
      <c r="AV35" s="26">
        <v>0</v>
      </c>
      <c r="AW35" s="26">
        <v>0</v>
      </c>
      <c r="AX35" s="26">
        <v>0</v>
      </c>
      <c r="AY35" s="26">
        <v>0</v>
      </c>
      <c r="AZ35" s="26">
        <v>0</v>
      </c>
      <c r="BA35" s="26">
        <v>0</v>
      </c>
      <c r="BB35" s="26">
        <v>0</v>
      </c>
      <c r="BC35" s="16">
        <v>0</v>
      </c>
      <c r="BD35" s="16">
        <v>0</v>
      </c>
      <c r="BE35" s="16">
        <v>0</v>
      </c>
      <c r="BF35" s="16">
        <v>0</v>
      </c>
      <c r="BG35" s="16">
        <v>409</v>
      </c>
      <c r="BH35" s="16">
        <v>0</v>
      </c>
      <c r="BI35" s="16">
        <v>0</v>
      </c>
      <c r="BJ35" s="16">
        <v>0</v>
      </c>
      <c r="BK35" s="16">
        <v>0</v>
      </c>
      <c r="BL35" s="16">
        <v>0</v>
      </c>
      <c r="BM35" s="16">
        <v>0</v>
      </c>
      <c r="BN35" s="16">
        <v>0</v>
      </c>
      <c r="BO35" s="16">
        <v>7</v>
      </c>
    </row>
    <row r="36" spans="1:67" s="5" customFormat="1" ht="21.9" customHeight="1" x14ac:dyDescent="0.25">
      <c r="A36" s="125" t="s">
        <v>83</v>
      </c>
      <c r="B36" s="4"/>
      <c r="C36" s="47" t="s">
        <v>75</v>
      </c>
      <c r="D36" s="48"/>
      <c r="E36" s="16">
        <v>20927</v>
      </c>
      <c r="F36" s="16">
        <v>1631</v>
      </c>
      <c r="G36" s="16">
        <v>158</v>
      </c>
      <c r="H36" s="16">
        <v>1</v>
      </c>
      <c r="I36" s="16">
        <v>1304</v>
      </c>
      <c r="J36" s="16">
        <v>0</v>
      </c>
      <c r="K36" s="16">
        <v>52</v>
      </c>
      <c r="L36" s="16">
        <v>71</v>
      </c>
      <c r="M36" s="16">
        <v>88</v>
      </c>
      <c r="N36" s="16">
        <v>41</v>
      </c>
      <c r="O36" s="16">
        <v>0</v>
      </c>
      <c r="P36" s="16">
        <v>0</v>
      </c>
      <c r="Q36" s="16">
        <v>27</v>
      </c>
      <c r="R36" s="16">
        <v>110</v>
      </c>
      <c r="S36" s="16">
        <v>2</v>
      </c>
      <c r="T36" s="16">
        <v>177</v>
      </c>
      <c r="U36" s="16">
        <v>1173</v>
      </c>
      <c r="V36" s="16">
        <v>17</v>
      </c>
      <c r="W36" s="16">
        <v>58</v>
      </c>
      <c r="X36" s="16">
        <v>95</v>
      </c>
      <c r="Y36" s="16">
        <v>597</v>
      </c>
      <c r="Z36" s="16">
        <v>280</v>
      </c>
      <c r="AA36" s="16">
        <v>556</v>
      </c>
      <c r="AB36" s="16">
        <v>150</v>
      </c>
      <c r="AC36" s="16">
        <v>9</v>
      </c>
      <c r="AD36" s="16">
        <v>3544</v>
      </c>
      <c r="AE36" s="16">
        <v>1756</v>
      </c>
      <c r="AF36" s="16">
        <v>432</v>
      </c>
      <c r="AG36" s="16">
        <v>181</v>
      </c>
      <c r="AH36" s="16">
        <v>98</v>
      </c>
      <c r="AI36" s="16">
        <v>172</v>
      </c>
      <c r="AJ36" s="16">
        <v>13</v>
      </c>
      <c r="AK36" s="98">
        <v>61</v>
      </c>
      <c r="AL36" s="16">
        <v>42</v>
      </c>
      <c r="AM36" s="16">
        <v>5</v>
      </c>
      <c r="AN36" s="16">
        <v>245</v>
      </c>
      <c r="AO36" s="16">
        <v>0</v>
      </c>
      <c r="AP36" s="16">
        <v>0</v>
      </c>
      <c r="AQ36" s="16">
        <v>16</v>
      </c>
      <c r="AR36" s="16">
        <v>215</v>
      </c>
      <c r="AS36" s="16">
        <v>162</v>
      </c>
      <c r="AT36" s="16">
        <v>1009</v>
      </c>
      <c r="AU36" s="16">
        <v>3966</v>
      </c>
      <c r="AV36" s="16">
        <v>552</v>
      </c>
      <c r="AW36" s="16">
        <v>12</v>
      </c>
      <c r="AX36" s="16">
        <v>115</v>
      </c>
      <c r="AY36" s="16">
        <v>2</v>
      </c>
      <c r="AZ36" s="16">
        <v>0</v>
      </c>
      <c r="BA36" s="16">
        <v>0</v>
      </c>
      <c r="BB36" s="16">
        <v>0</v>
      </c>
      <c r="BC36" s="16">
        <v>0</v>
      </c>
      <c r="BD36" s="16">
        <v>44</v>
      </c>
      <c r="BE36" s="16">
        <v>77</v>
      </c>
      <c r="BF36" s="16">
        <v>193</v>
      </c>
      <c r="BG36" s="16">
        <v>364</v>
      </c>
      <c r="BH36" s="16">
        <v>34</v>
      </c>
      <c r="BI36" s="16">
        <v>196</v>
      </c>
      <c r="BJ36" s="16">
        <v>259</v>
      </c>
      <c r="BK36" s="16">
        <v>83</v>
      </c>
      <c r="BL36" s="16">
        <v>325</v>
      </c>
      <c r="BM36" s="16">
        <v>67</v>
      </c>
      <c r="BN36" s="16">
        <v>0</v>
      </c>
      <c r="BO36" s="16">
        <v>90</v>
      </c>
    </row>
    <row r="37" spans="1:67" s="5" customFormat="1" ht="21.9" customHeight="1" x14ac:dyDescent="0.25">
      <c r="A37" s="125"/>
      <c r="B37" s="4"/>
      <c r="C37" s="47" t="s">
        <v>216</v>
      </c>
      <c r="D37" s="48"/>
      <c r="E37" s="16">
        <v>616</v>
      </c>
      <c r="F37" s="26">
        <v>1</v>
      </c>
      <c r="G37" s="26">
        <v>0</v>
      </c>
      <c r="H37" s="26">
        <v>1</v>
      </c>
      <c r="I37" s="26">
        <v>5</v>
      </c>
      <c r="J37" s="26">
        <v>0</v>
      </c>
      <c r="K37" s="26">
        <v>4</v>
      </c>
      <c r="L37" s="26">
        <v>5</v>
      </c>
      <c r="M37" s="26">
        <v>0</v>
      </c>
      <c r="N37" s="26">
        <v>0</v>
      </c>
      <c r="O37" s="26">
        <v>0</v>
      </c>
      <c r="P37" s="26">
        <v>0</v>
      </c>
      <c r="Q37" s="26">
        <v>2</v>
      </c>
      <c r="R37" s="26">
        <v>6</v>
      </c>
      <c r="S37" s="26">
        <v>1</v>
      </c>
      <c r="T37" s="16">
        <v>7</v>
      </c>
      <c r="U37" s="16">
        <v>15</v>
      </c>
      <c r="V37" s="16">
        <v>2</v>
      </c>
      <c r="W37" s="16">
        <v>12</v>
      </c>
      <c r="X37" s="16">
        <v>5</v>
      </c>
      <c r="Y37" s="16">
        <v>5</v>
      </c>
      <c r="Z37" s="16">
        <v>5</v>
      </c>
      <c r="AA37" s="16">
        <v>4</v>
      </c>
      <c r="AB37" s="16">
        <v>4</v>
      </c>
      <c r="AC37" s="16">
        <v>0</v>
      </c>
      <c r="AD37" s="16">
        <v>27</v>
      </c>
      <c r="AE37" s="16">
        <v>3</v>
      </c>
      <c r="AF37" s="16">
        <v>1</v>
      </c>
      <c r="AG37" s="16">
        <v>67</v>
      </c>
      <c r="AH37" s="16">
        <v>31</v>
      </c>
      <c r="AI37" s="16">
        <v>0</v>
      </c>
      <c r="AJ37" s="16">
        <v>0</v>
      </c>
      <c r="AK37" s="98">
        <v>22</v>
      </c>
      <c r="AL37" s="16">
        <v>1</v>
      </c>
      <c r="AM37" s="16">
        <v>0</v>
      </c>
      <c r="AN37" s="16">
        <v>21</v>
      </c>
      <c r="AO37" s="26">
        <v>0</v>
      </c>
      <c r="AP37" s="26">
        <v>0</v>
      </c>
      <c r="AQ37" s="26">
        <v>0</v>
      </c>
      <c r="AR37" s="26">
        <v>1</v>
      </c>
      <c r="AS37" s="26">
        <v>0</v>
      </c>
      <c r="AT37" s="26">
        <v>0</v>
      </c>
      <c r="AU37" s="26">
        <v>53</v>
      </c>
      <c r="AV37" s="26">
        <v>20</v>
      </c>
      <c r="AW37" s="26">
        <v>0</v>
      </c>
      <c r="AX37" s="26">
        <v>2</v>
      </c>
      <c r="AY37" s="16">
        <v>0</v>
      </c>
      <c r="AZ37" s="16">
        <v>0</v>
      </c>
      <c r="BA37" s="16">
        <v>0</v>
      </c>
      <c r="BB37" s="16">
        <v>0</v>
      </c>
      <c r="BC37" s="16">
        <v>0</v>
      </c>
      <c r="BD37" s="16">
        <v>4</v>
      </c>
      <c r="BE37" s="16">
        <v>5</v>
      </c>
      <c r="BF37" s="16">
        <v>6</v>
      </c>
      <c r="BG37" s="16">
        <v>258</v>
      </c>
      <c r="BH37" s="16">
        <v>0</v>
      </c>
      <c r="BI37" s="16">
        <v>2</v>
      </c>
      <c r="BJ37" s="16">
        <v>1</v>
      </c>
      <c r="BK37" s="16">
        <v>2</v>
      </c>
      <c r="BL37" s="16">
        <v>0</v>
      </c>
      <c r="BM37" s="16">
        <v>0</v>
      </c>
      <c r="BN37" s="16">
        <v>0</v>
      </c>
      <c r="BO37" s="16">
        <v>5</v>
      </c>
    </row>
    <row r="38" spans="1:67" s="5" customFormat="1" ht="21.9" customHeight="1" x14ac:dyDescent="0.25">
      <c r="A38" s="125" t="s">
        <v>84</v>
      </c>
      <c r="B38" s="4"/>
      <c r="C38" s="47" t="s">
        <v>212</v>
      </c>
      <c r="D38" s="48"/>
      <c r="E38" s="16">
        <v>53276</v>
      </c>
      <c r="F38" s="16">
        <v>1963</v>
      </c>
      <c r="G38" s="16">
        <v>792</v>
      </c>
      <c r="H38" s="16">
        <v>689</v>
      </c>
      <c r="I38" s="16">
        <v>841</v>
      </c>
      <c r="J38" s="16">
        <v>291</v>
      </c>
      <c r="K38" s="16">
        <v>188</v>
      </c>
      <c r="L38" s="16">
        <v>398</v>
      </c>
      <c r="M38" s="16">
        <v>247</v>
      </c>
      <c r="N38" s="16">
        <v>45</v>
      </c>
      <c r="O38" s="16">
        <v>85</v>
      </c>
      <c r="P38" s="16">
        <v>20</v>
      </c>
      <c r="Q38" s="16">
        <v>39</v>
      </c>
      <c r="R38" s="16">
        <v>213</v>
      </c>
      <c r="S38" s="16">
        <v>443</v>
      </c>
      <c r="T38" s="16">
        <v>715</v>
      </c>
      <c r="U38" s="16">
        <v>724</v>
      </c>
      <c r="V38" s="16">
        <v>116</v>
      </c>
      <c r="W38" s="16">
        <v>180</v>
      </c>
      <c r="X38" s="16">
        <v>352</v>
      </c>
      <c r="Y38" s="16">
        <v>731</v>
      </c>
      <c r="Z38" s="16">
        <v>383</v>
      </c>
      <c r="AA38" s="16">
        <v>520</v>
      </c>
      <c r="AB38" s="16">
        <v>815</v>
      </c>
      <c r="AC38" s="16">
        <v>307</v>
      </c>
      <c r="AD38" s="16">
        <v>6309</v>
      </c>
      <c r="AE38" s="16">
        <v>2253</v>
      </c>
      <c r="AF38" s="16">
        <v>520</v>
      </c>
      <c r="AG38" s="16">
        <v>414</v>
      </c>
      <c r="AH38" s="16">
        <v>53</v>
      </c>
      <c r="AI38" s="16">
        <v>678</v>
      </c>
      <c r="AJ38" s="16">
        <v>15</v>
      </c>
      <c r="AK38" s="98">
        <v>188</v>
      </c>
      <c r="AL38" s="16">
        <v>945</v>
      </c>
      <c r="AM38" s="16">
        <v>35</v>
      </c>
      <c r="AN38" s="16">
        <v>1540</v>
      </c>
      <c r="AO38" s="16">
        <v>200</v>
      </c>
      <c r="AP38" s="16">
        <v>41</v>
      </c>
      <c r="AQ38" s="16">
        <v>120</v>
      </c>
      <c r="AR38" s="16">
        <v>236</v>
      </c>
      <c r="AS38" s="16">
        <v>268</v>
      </c>
      <c r="AT38" s="16">
        <v>2006</v>
      </c>
      <c r="AU38" s="16">
        <v>5323</v>
      </c>
      <c r="AV38" s="16">
        <v>1231</v>
      </c>
      <c r="AW38" s="16">
        <v>62</v>
      </c>
      <c r="AX38" s="16">
        <v>2881</v>
      </c>
      <c r="AY38" s="16">
        <v>816</v>
      </c>
      <c r="AZ38" s="16">
        <v>40</v>
      </c>
      <c r="BA38" s="16">
        <v>0</v>
      </c>
      <c r="BB38" s="16">
        <v>0</v>
      </c>
      <c r="BC38" s="16">
        <v>58</v>
      </c>
      <c r="BD38" s="16">
        <v>3228</v>
      </c>
      <c r="BE38" s="16">
        <v>2833</v>
      </c>
      <c r="BF38" s="16">
        <v>3151</v>
      </c>
      <c r="BG38" s="16">
        <v>1011</v>
      </c>
      <c r="BH38" s="16">
        <v>1225</v>
      </c>
      <c r="BI38" s="16">
        <v>121</v>
      </c>
      <c r="BJ38" s="16">
        <v>655</v>
      </c>
      <c r="BK38" s="16">
        <v>220</v>
      </c>
      <c r="BL38" s="16">
        <v>826</v>
      </c>
      <c r="BM38" s="16">
        <v>467</v>
      </c>
      <c r="BN38" s="16">
        <v>1985</v>
      </c>
      <c r="BO38" s="16">
        <v>225</v>
      </c>
    </row>
    <row r="39" spans="1:67" s="5" customFormat="1" ht="21.9" customHeight="1" x14ac:dyDescent="0.25">
      <c r="A39" s="125"/>
      <c r="B39" s="4"/>
      <c r="C39" s="47" t="s">
        <v>76</v>
      </c>
      <c r="D39" s="48"/>
      <c r="E39" s="16">
        <v>314</v>
      </c>
      <c r="F39" s="26">
        <v>0</v>
      </c>
      <c r="G39" s="26">
        <v>0</v>
      </c>
      <c r="H39" s="26">
        <v>0</v>
      </c>
      <c r="I39" s="26">
        <v>0</v>
      </c>
      <c r="J39" s="26">
        <v>0</v>
      </c>
      <c r="K39" s="26">
        <v>0</v>
      </c>
      <c r="L39" s="26">
        <v>1</v>
      </c>
      <c r="M39" s="26">
        <v>0</v>
      </c>
      <c r="N39" s="26">
        <v>0</v>
      </c>
      <c r="O39" s="26">
        <v>0</v>
      </c>
      <c r="P39" s="26">
        <v>0</v>
      </c>
      <c r="Q39" s="26">
        <v>0</v>
      </c>
      <c r="R39" s="26">
        <v>0</v>
      </c>
      <c r="S39" s="26">
        <v>0</v>
      </c>
      <c r="T39" s="16">
        <v>0</v>
      </c>
      <c r="U39" s="16">
        <v>1</v>
      </c>
      <c r="V39" s="16">
        <v>0</v>
      </c>
      <c r="W39" s="16">
        <v>7</v>
      </c>
      <c r="X39" s="16">
        <v>0</v>
      </c>
      <c r="Y39" s="16">
        <v>0</v>
      </c>
      <c r="Z39" s="16">
        <v>3</v>
      </c>
      <c r="AA39" s="16">
        <v>0</v>
      </c>
      <c r="AB39" s="16">
        <v>0</v>
      </c>
      <c r="AC39" s="16">
        <v>1</v>
      </c>
      <c r="AD39" s="16">
        <v>1</v>
      </c>
      <c r="AE39" s="16">
        <v>1</v>
      </c>
      <c r="AF39" s="16">
        <v>3</v>
      </c>
      <c r="AG39" s="16">
        <v>0</v>
      </c>
      <c r="AH39" s="16">
        <v>3</v>
      </c>
      <c r="AI39" s="16">
        <v>0</v>
      </c>
      <c r="AJ39" s="16">
        <v>0</v>
      </c>
      <c r="AK39" s="98">
        <v>10</v>
      </c>
      <c r="AL39" s="16">
        <v>0</v>
      </c>
      <c r="AM39" s="16">
        <v>0</v>
      </c>
      <c r="AN39" s="16">
        <v>15</v>
      </c>
      <c r="AO39" s="26">
        <v>0</v>
      </c>
      <c r="AP39" s="26">
        <v>0</v>
      </c>
      <c r="AQ39" s="26">
        <v>0</v>
      </c>
      <c r="AR39" s="26">
        <v>0</v>
      </c>
      <c r="AS39" s="26">
        <v>0</v>
      </c>
      <c r="AT39" s="26">
        <v>0</v>
      </c>
      <c r="AU39" s="26">
        <v>2</v>
      </c>
      <c r="AV39" s="26">
        <v>2</v>
      </c>
      <c r="AW39" s="26">
        <v>0</v>
      </c>
      <c r="AX39" s="26">
        <v>1</v>
      </c>
      <c r="AY39" s="16">
        <v>0</v>
      </c>
      <c r="AZ39" s="16">
        <v>0</v>
      </c>
      <c r="BA39" s="16">
        <v>0</v>
      </c>
      <c r="BB39" s="16">
        <v>0</v>
      </c>
      <c r="BC39" s="16">
        <v>0</v>
      </c>
      <c r="BD39" s="16">
        <v>0</v>
      </c>
      <c r="BE39" s="16">
        <v>0</v>
      </c>
      <c r="BF39" s="16">
        <v>0</v>
      </c>
      <c r="BG39" s="16">
        <v>254</v>
      </c>
      <c r="BH39" s="16">
        <v>1</v>
      </c>
      <c r="BI39" s="16">
        <v>4</v>
      </c>
      <c r="BJ39" s="16">
        <v>3</v>
      </c>
      <c r="BK39" s="16">
        <v>0</v>
      </c>
      <c r="BL39" s="16">
        <v>1</v>
      </c>
      <c r="BM39" s="16">
        <v>0</v>
      </c>
      <c r="BN39" s="16">
        <v>0</v>
      </c>
      <c r="BO39" s="16">
        <v>0</v>
      </c>
    </row>
    <row r="40" spans="1:67" s="5" customFormat="1" ht="21.9" customHeight="1" x14ac:dyDescent="0.25">
      <c r="A40" s="125" t="s">
        <v>85</v>
      </c>
      <c r="C40" s="47" t="s">
        <v>75</v>
      </c>
      <c r="D40" s="48"/>
      <c r="E40" s="16">
        <v>24296</v>
      </c>
      <c r="F40" s="16">
        <v>1068</v>
      </c>
      <c r="G40" s="16">
        <v>826</v>
      </c>
      <c r="H40" s="16">
        <v>1174</v>
      </c>
      <c r="I40" s="16">
        <v>490</v>
      </c>
      <c r="J40" s="16">
        <v>58</v>
      </c>
      <c r="K40" s="16">
        <v>219</v>
      </c>
      <c r="L40" s="16">
        <v>298</v>
      </c>
      <c r="M40" s="16">
        <v>184</v>
      </c>
      <c r="N40" s="16">
        <v>112</v>
      </c>
      <c r="O40" s="16">
        <v>14</v>
      </c>
      <c r="P40" s="16">
        <v>0</v>
      </c>
      <c r="Q40" s="16">
        <v>42</v>
      </c>
      <c r="R40" s="16">
        <v>66</v>
      </c>
      <c r="S40" s="16">
        <v>271</v>
      </c>
      <c r="T40" s="16">
        <v>44</v>
      </c>
      <c r="U40" s="16">
        <v>400</v>
      </c>
      <c r="V40" s="16">
        <v>106</v>
      </c>
      <c r="W40" s="16">
        <v>230</v>
      </c>
      <c r="X40" s="16">
        <v>9</v>
      </c>
      <c r="Y40" s="16">
        <v>788</v>
      </c>
      <c r="Z40" s="16">
        <v>391</v>
      </c>
      <c r="AA40" s="16">
        <v>84</v>
      </c>
      <c r="AB40" s="16">
        <v>651</v>
      </c>
      <c r="AC40" s="16">
        <v>488</v>
      </c>
      <c r="AD40" s="16">
        <v>2235</v>
      </c>
      <c r="AE40" s="16">
        <v>1611</v>
      </c>
      <c r="AF40" s="16">
        <v>231</v>
      </c>
      <c r="AG40" s="16">
        <v>153</v>
      </c>
      <c r="AH40" s="16">
        <v>170</v>
      </c>
      <c r="AI40" s="16">
        <v>809</v>
      </c>
      <c r="AJ40" s="16">
        <v>22</v>
      </c>
      <c r="AK40" s="98">
        <v>276</v>
      </c>
      <c r="AL40" s="16">
        <v>233</v>
      </c>
      <c r="AM40" s="16">
        <v>38</v>
      </c>
      <c r="AN40" s="16">
        <v>2007</v>
      </c>
      <c r="AO40" s="16">
        <v>43</v>
      </c>
      <c r="AP40" s="16">
        <v>27</v>
      </c>
      <c r="AQ40" s="16">
        <v>18</v>
      </c>
      <c r="AR40" s="16">
        <v>81</v>
      </c>
      <c r="AS40" s="16">
        <v>47</v>
      </c>
      <c r="AT40" s="16">
        <v>1100</v>
      </c>
      <c r="AU40" s="16">
        <v>1257</v>
      </c>
      <c r="AV40" s="16">
        <v>1064</v>
      </c>
      <c r="AW40" s="16">
        <v>11</v>
      </c>
      <c r="AX40" s="16">
        <v>443</v>
      </c>
      <c r="AY40" s="16">
        <v>35</v>
      </c>
      <c r="AZ40" s="16">
        <v>53</v>
      </c>
      <c r="BA40" s="16">
        <v>7</v>
      </c>
      <c r="BB40" s="16">
        <v>7</v>
      </c>
      <c r="BC40" s="16">
        <v>17</v>
      </c>
      <c r="BD40" s="16">
        <v>362</v>
      </c>
      <c r="BE40" s="16">
        <v>369</v>
      </c>
      <c r="BF40" s="16">
        <v>105</v>
      </c>
      <c r="BG40" s="16">
        <v>394</v>
      </c>
      <c r="BH40" s="16">
        <v>277</v>
      </c>
      <c r="BI40" s="16">
        <v>165</v>
      </c>
      <c r="BJ40" s="16">
        <v>461</v>
      </c>
      <c r="BK40" s="16">
        <v>328</v>
      </c>
      <c r="BL40" s="16">
        <v>660</v>
      </c>
      <c r="BM40" s="16">
        <v>0</v>
      </c>
      <c r="BN40" s="16">
        <v>161</v>
      </c>
      <c r="BO40" s="16">
        <v>1006</v>
      </c>
    </row>
    <row r="41" spans="1:67" s="5" customFormat="1" ht="21.9" customHeight="1" x14ac:dyDescent="0.25">
      <c r="A41" s="125"/>
      <c r="C41" s="47" t="s">
        <v>76</v>
      </c>
      <c r="D41" s="48"/>
      <c r="E41" s="16">
        <v>733</v>
      </c>
      <c r="F41" s="26">
        <v>0</v>
      </c>
      <c r="G41" s="26">
        <v>0</v>
      </c>
      <c r="H41" s="26">
        <v>0</v>
      </c>
      <c r="I41" s="26">
        <v>0</v>
      </c>
      <c r="J41" s="26">
        <v>0</v>
      </c>
      <c r="K41" s="26">
        <v>0</v>
      </c>
      <c r="L41" s="26">
        <v>5</v>
      </c>
      <c r="M41" s="26">
        <v>0</v>
      </c>
      <c r="N41" s="26">
        <v>0</v>
      </c>
      <c r="O41" s="26">
        <v>1</v>
      </c>
      <c r="P41" s="26">
        <v>0</v>
      </c>
      <c r="Q41" s="26">
        <v>0</v>
      </c>
      <c r="R41" s="26">
        <v>17</v>
      </c>
      <c r="S41" s="26">
        <v>0</v>
      </c>
      <c r="T41" s="16">
        <v>0</v>
      </c>
      <c r="U41" s="16">
        <v>17</v>
      </c>
      <c r="V41" s="16">
        <v>0</v>
      </c>
      <c r="W41" s="16">
        <v>11</v>
      </c>
      <c r="X41" s="16">
        <v>4</v>
      </c>
      <c r="Y41" s="16">
        <v>4</v>
      </c>
      <c r="Z41" s="16">
        <v>14</v>
      </c>
      <c r="AA41" s="16">
        <v>0</v>
      </c>
      <c r="AB41" s="16">
        <v>9</v>
      </c>
      <c r="AC41" s="16">
        <v>4</v>
      </c>
      <c r="AD41" s="16">
        <v>18</v>
      </c>
      <c r="AE41" s="16">
        <v>19</v>
      </c>
      <c r="AF41" s="16">
        <v>3</v>
      </c>
      <c r="AG41" s="16">
        <v>7</v>
      </c>
      <c r="AH41" s="16">
        <v>27</v>
      </c>
      <c r="AI41" s="16">
        <v>0</v>
      </c>
      <c r="AJ41" s="16">
        <v>0</v>
      </c>
      <c r="AK41" s="98">
        <v>9</v>
      </c>
      <c r="AL41" s="16">
        <v>2</v>
      </c>
      <c r="AM41" s="16">
        <v>0</v>
      </c>
      <c r="AN41" s="16">
        <v>16</v>
      </c>
      <c r="AO41" s="26">
        <v>0</v>
      </c>
      <c r="AP41" s="26">
        <v>0</v>
      </c>
      <c r="AQ41" s="26">
        <v>0</v>
      </c>
      <c r="AR41" s="26">
        <v>0</v>
      </c>
      <c r="AS41" s="26">
        <v>0</v>
      </c>
      <c r="AT41" s="26">
        <v>0</v>
      </c>
      <c r="AU41" s="26">
        <v>10</v>
      </c>
      <c r="AV41" s="26">
        <v>31</v>
      </c>
      <c r="AW41" s="26">
        <v>0</v>
      </c>
      <c r="AX41" s="26">
        <v>2</v>
      </c>
      <c r="AY41" s="16">
        <v>0</v>
      </c>
      <c r="AZ41" s="16">
        <v>0</v>
      </c>
      <c r="BA41" s="16">
        <v>0</v>
      </c>
      <c r="BB41" s="16">
        <v>0</v>
      </c>
      <c r="BC41" s="16">
        <v>0</v>
      </c>
      <c r="BD41" s="16">
        <v>0</v>
      </c>
      <c r="BE41" s="16">
        <v>1</v>
      </c>
      <c r="BF41" s="16">
        <v>2</v>
      </c>
      <c r="BG41" s="16">
        <v>388</v>
      </c>
      <c r="BH41" s="16">
        <v>0</v>
      </c>
      <c r="BI41" s="16">
        <v>6</v>
      </c>
      <c r="BJ41" s="16">
        <v>0</v>
      </c>
      <c r="BK41" s="16">
        <v>0</v>
      </c>
      <c r="BL41" s="16">
        <v>1</v>
      </c>
      <c r="BM41" s="16">
        <v>0</v>
      </c>
      <c r="BN41" s="16">
        <v>0</v>
      </c>
      <c r="BO41" s="16">
        <v>105</v>
      </c>
    </row>
    <row r="42" spans="1:67" s="5" customFormat="1" ht="21.9" customHeight="1" x14ac:dyDescent="0.25">
      <c r="A42" s="125" t="s">
        <v>86</v>
      </c>
      <c r="B42" s="4"/>
      <c r="C42" s="47" t="s">
        <v>75</v>
      </c>
      <c r="D42" s="48"/>
      <c r="E42" s="16">
        <v>24129</v>
      </c>
      <c r="F42" s="16">
        <v>1051</v>
      </c>
      <c r="G42" s="16">
        <v>848</v>
      </c>
      <c r="H42" s="16">
        <v>771</v>
      </c>
      <c r="I42" s="16">
        <v>233</v>
      </c>
      <c r="J42" s="16">
        <v>77</v>
      </c>
      <c r="K42" s="16">
        <v>809</v>
      </c>
      <c r="L42" s="16">
        <v>540</v>
      </c>
      <c r="M42" s="16">
        <v>271</v>
      </c>
      <c r="N42" s="16">
        <v>159</v>
      </c>
      <c r="O42" s="16">
        <v>78</v>
      </c>
      <c r="P42" s="16">
        <v>27</v>
      </c>
      <c r="Q42" s="16">
        <v>42</v>
      </c>
      <c r="R42" s="16">
        <v>67</v>
      </c>
      <c r="S42" s="16">
        <v>156</v>
      </c>
      <c r="T42" s="16">
        <v>327</v>
      </c>
      <c r="U42" s="16">
        <v>421</v>
      </c>
      <c r="V42" s="16">
        <v>143</v>
      </c>
      <c r="W42" s="16">
        <v>132</v>
      </c>
      <c r="X42" s="16">
        <v>189</v>
      </c>
      <c r="Y42" s="16">
        <v>298</v>
      </c>
      <c r="Z42" s="16">
        <v>87</v>
      </c>
      <c r="AA42" s="16">
        <v>75</v>
      </c>
      <c r="AB42" s="16">
        <v>209</v>
      </c>
      <c r="AC42" s="16">
        <v>61</v>
      </c>
      <c r="AD42" s="16">
        <v>1823</v>
      </c>
      <c r="AE42" s="16">
        <v>620</v>
      </c>
      <c r="AF42" s="16">
        <v>239</v>
      </c>
      <c r="AG42" s="16">
        <v>363</v>
      </c>
      <c r="AH42" s="16">
        <v>193</v>
      </c>
      <c r="AI42" s="16">
        <v>331</v>
      </c>
      <c r="AJ42" s="16">
        <v>34</v>
      </c>
      <c r="AK42" s="98">
        <v>88</v>
      </c>
      <c r="AL42" s="16">
        <v>142</v>
      </c>
      <c r="AM42" s="16">
        <v>104</v>
      </c>
      <c r="AN42" s="16">
        <v>349</v>
      </c>
      <c r="AO42" s="16">
        <v>651</v>
      </c>
      <c r="AP42" s="16">
        <v>129</v>
      </c>
      <c r="AQ42" s="16">
        <v>51</v>
      </c>
      <c r="AR42" s="16">
        <v>201</v>
      </c>
      <c r="AS42" s="16">
        <v>165</v>
      </c>
      <c r="AT42" s="16">
        <v>684</v>
      </c>
      <c r="AU42" s="16">
        <v>972</v>
      </c>
      <c r="AV42" s="16">
        <v>862</v>
      </c>
      <c r="AW42" s="16">
        <v>114</v>
      </c>
      <c r="AX42" s="16">
        <v>862</v>
      </c>
      <c r="AY42" s="16">
        <v>615</v>
      </c>
      <c r="AZ42" s="16">
        <v>6</v>
      </c>
      <c r="BA42" s="16">
        <v>47</v>
      </c>
      <c r="BB42" s="26">
        <v>29</v>
      </c>
      <c r="BC42" s="16">
        <v>232</v>
      </c>
      <c r="BD42" s="16">
        <v>1110</v>
      </c>
      <c r="BE42" s="16">
        <v>550</v>
      </c>
      <c r="BF42" s="16">
        <v>344</v>
      </c>
      <c r="BG42" s="16">
        <v>954</v>
      </c>
      <c r="BH42" s="16">
        <v>599</v>
      </c>
      <c r="BI42" s="16">
        <v>1325</v>
      </c>
      <c r="BJ42" s="16">
        <v>593</v>
      </c>
      <c r="BK42" s="16">
        <v>494</v>
      </c>
      <c r="BL42" s="16">
        <v>277</v>
      </c>
      <c r="BM42" s="16">
        <v>125</v>
      </c>
      <c r="BN42" s="16">
        <v>44</v>
      </c>
      <c r="BO42" s="16">
        <v>737</v>
      </c>
    </row>
    <row r="43" spans="1:67" s="5" customFormat="1" ht="21.9" customHeight="1" x14ac:dyDescent="0.25">
      <c r="A43" s="125"/>
      <c r="B43" s="4"/>
      <c r="C43" s="47" t="s">
        <v>76</v>
      </c>
      <c r="D43" s="48"/>
      <c r="E43" s="16">
        <v>1042</v>
      </c>
      <c r="F43" s="26">
        <v>0</v>
      </c>
      <c r="G43" s="26">
        <v>0</v>
      </c>
      <c r="H43" s="26">
        <v>0</v>
      </c>
      <c r="I43" s="26">
        <v>0</v>
      </c>
      <c r="J43" s="26">
        <v>0</v>
      </c>
      <c r="K43" s="26">
        <v>0</v>
      </c>
      <c r="L43" s="26">
        <v>2</v>
      </c>
      <c r="M43" s="26">
        <v>0</v>
      </c>
      <c r="N43" s="26">
        <v>0</v>
      </c>
      <c r="O43" s="26">
        <v>3</v>
      </c>
      <c r="P43" s="26">
        <v>0</v>
      </c>
      <c r="Q43" s="26">
        <v>1</v>
      </c>
      <c r="R43" s="26">
        <v>8</v>
      </c>
      <c r="S43" s="26">
        <v>0</v>
      </c>
      <c r="T43" s="16">
        <v>3</v>
      </c>
      <c r="U43" s="16">
        <v>8</v>
      </c>
      <c r="V43" s="16">
        <v>0</v>
      </c>
      <c r="W43" s="16">
        <v>11</v>
      </c>
      <c r="X43" s="16">
        <v>2</v>
      </c>
      <c r="Y43" s="16">
        <v>1</v>
      </c>
      <c r="Z43" s="16">
        <v>2</v>
      </c>
      <c r="AA43" s="16">
        <v>0</v>
      </c>
      <c r="AB43" s="16">
        <v>3</v>
      </c>
      <c r="AC43" s="16">
        <v>1</v>
      </c>
      <c r="AD43" s="16">
        <v>19</v>
      </c>
      <c r="AE43" s="16">
        <v>7</v>
      </c>
      <c r="AF43" s="16">
        <v>3</v>
      </c>
      <c r="AG43" s="16">
        <v>10</v>
      </c>
      <c r="AH43" s="16">
        <v>15</v>
      </c>
      <c r="AI43" s="16">
        <v>0</v>
      </c>
      <c r="AJ43" s="16">
        <v>0</v>
      </c>
      <c r="AK43" s="98">
        <v>9</v>
      </c>
      <c r="AL43" s="16">
        <v>0</v>
      </c>
      <c r="AM43" s="16">
        <v>2</v>
      </c>
      <c r="AN43" s="16">
        <v>13</v>
      </c>
      <c r="AO43" s="26">
        <v>0</v>
      </c>
      <c r="AP43" s="26">
        <v>0</v>
      </c>
      <c r="AQ43" s="26">
        <v>0</v>
      </c>
      <c r="AR43" s="26">
        <v>0</v>
      </c>
      <c r="AS43" s="26">
        <v>3</v>
      </c>
      <c r="AT43" s="26">
        <v>0</v>
      </c>
      <c r="AU43" s="16">
        <v>7</v>
      </c>
      <c r="AV43" s="26">
        <v>14</v>
      </c>
      <c r="AW43" s="26">
        <v>0</v>
      </c>
      <c r="AX43" s="16">
        <v>6</v>
      </c>
      <c r="AY43" s="16">
        <v>0</v>
      </c>
      <c r="AZ43" s="26">
        <v>0</v>
      </c>
      <c r="BA43" s="26">
        <v>0</v>
      </c>
      <c r="BB43" s="26">
        <v>0</v>
      </c>
      <c r="BC43" s="26">
        <v>0</v>
      </c>
      <c r="BD43" s="16">
        <v>0</v>
      </c>
      <c r="BE43" s="16">
        <v>2</v>
      </c>
      <c r="BF43" s="16">
        <v>6</v>
      </c>
      <c r="BG43" s="16">
        <v>841</v>
      </c>
      <c r="BH43" s="26">
        <v>0</v>
      </c>
      <c r="BI43" s="26">
        <v>1</v>
      </c>
      <c r="BJ43" s="26">
        <v>0</v>
      </c>
      <c r="BK43" s="26">
        <v>4</v>
      </c>
      <c r="BL43" s="26">
        <v>0</v>
      </c>
      <c r="BM43" s="26">
        <v>0</v>
      </c>
      <c r="BN43" s="26">
        <v>0</v>
      </c>
      <c r="BO43" s="16">
        <v>35</v>
      </c>
    </row>
    <row r="44" spans="1:67" s="5" customFormat="1" ht="21.9" customHeight="1" x14ac:dyDescent="0.25">
      <c r="A44" s="125" t="s">
        <v>87</v>
      </c>
      <c r="B44" s="4"/>
      <c r="C44" s="47" t="s">
        <v>75</v>
      </c>
      <c r="D44" s="48"/>
      <c r="E44" s="16">
        <v>18976</v>
      </c>
      <c r="F44" s="16">
        <v>343</v>
      </c>
      <c r="G44" s="16">
        <v>47</v>
      </c>
      <c r="H44" s="16">
        <v>62</v>
      </c>
      <c r="I44" s="16">
        <v>190</v>
      </c>
      <c r="J44" s="16">
        <v>41</v>
      </c>
      <c r="K44" s="16">
        <v>1077</v>
      </c>
      <c r="L44" s="16">
        <v>225</v>
      </c>
      <c r="M44" s="16">
        <v>59</v>
      </c>
      <c r="N44" s="16">
        <v>18</v>
      </c>
      <c r="O44" s="16">
        <v>53</v>
      </c>
      <c r="P44" s="16">
        <v>0</v>
      </c>
      <c r="Q44" s="16">
        <v>137</v>
      </c>
      <c r="R44" s="16">
        <v>361</v>
      </c>
      <c r="S44" s="16">
        <v>133</v>
      </c>
      <c r="T44" s="16">
        <v>234</v>
      </c>
      <c r="U44" s="16">
        <v>647</v>
      </c>
      <c r="V44" s="16">
        <v>143</v>
      </c>
      <c r="W44" s="16">
        <v>168</v>
      </c>
      <c r="X44" s="16">
        <v>28</v>
      </c>
      <c r="Y44" s="16">
        <v>598</v>
      </c>
      <c r="Z44" s="16">
        <v>214</v>
      </c>
      <c r="AA44" s="16">
        <v>167</v>
      </c>
      <c r="AB44" s="16">
        <v>133</v>
      </c>
      <c r="AC44" s="16">
        <v>85</v>
      </c>
      <c r="AD44" s="16">
        <v>6414</v>
      </c>
      <c r="AE44" s="16">
        <v>1533</v>
      </c>
      <c r="AF44" s="16">
        <v>391</v>
      </c>
      <c r="AG44" s="16">
        <v>449</v>
      </c>
      <c r="AH44" s="16">
        <v>34</v>
      </c>
      <c r="AI44" s="16">
        <v>121</v>
      </c>
      <c r="AJ44" s="16">
        <v>4</v>
      </c>
      <c r="AK44" s="98">
        <v>106</v>
      </c>
      <c r="AL44" s="16">
        <v>58</v>
      </c>
      <c r="AM44" s="16">
        <v>16</v>
      </c>
      <c r="AN44" s="16">
        <v>289</v>
      </c>
      <c r="AO44" s="16">
        <v>0</v>
      </c>
      <c r="AP44" s="16">
        <v>0</v>
      </c>
      <c r="AQ44" s="16">
        <v>3</v>
      </c>
      <c r="AR44" s="16">
        <v>164</v>
      </c>
      <c r="AS44" s="16">
        <v>498</v>
      </c>
      <c r="AT44" s="16">
        <v>108</v>
      </c>
      <c r="AU44" s="16">
        <v>1140</v>
      </c>
      <c r="AV44" s="16">
        <v>432</v>
      </c>
      <c r="AW44" s="16">
        <v>14</v>
      </c>
      <c r="AX44" s="16">
        <v>46</v>
      </c>
      <c r="AY44" s="16">
        <v>16</v>
      </c>
      <c r="AZ44" s="16">
        <v>0</v>
      </c>
      <c r="BA44" s="26">
        <v>0</v>
      </c>
      <c r="BB44" s="16">
        <v>0</v>
      </c>
      <c r="BC44" s="26">
        <v>0</v>
      </c>
      <c r="BD44" s="16">
        <v>49</v>
      </c>
      <c r="BE44" s="16">
        <v>45</v>
      </c>
      <c r="BF44" s="16">
        <v>110</v>
      </c>
      <c r="BG44" s="16">
        <v>385</v>
      </c>
      <c r="BH44" s="16">
        <v>121</v>
      </c>
      <c r="BI44" s="16">
        <v>21</v>
      </c>
      <c r="BJ44" s="16">
        <v>232</v>
      </c>
      <c r="BK44" s="16">
        <v>290</v>
      </c>
      <c r="BL44" s="16">
        <v>206</v>
      </c>
      <c r="BM44" s="26">
        <v>4</v>
      </c>
      <c r="BN44" s="26">
        <v>3</v>
      </c>
      <c r="BO44" s="16">
        <v>511</v>
      </c>
    </row>
    <row r="45" spans="1:67" s="5" customFormat="1" ht="21.9" customHeight="1" x14ac:dyDescent="0.25">
      <c r="A45" s="125"/>
      <c r="B45" s="4"/>
      <c r="C45" s="47" t="s">
        <v>76</v>
      </c>
      <c r="D45" s="48"/>
      <c r="E45" s="16">
        <v>432</v>
      </c>
      <c r="F45" s="26">
        <v>0</v>
      </c>
      <c r="G45" s="26">
        <v>0</v>
      </c>
      <c r="H45" s="26">
        <v>0</v>
      </c>
      <c r="I45" s="26">
        <v>0</v>
      </c>
      <c r="J45" s="26">
        <v>0</v>
      </c>
      <c r="K45" s="26">
        <v>0</v>
      </c>
      <c r="L45" s="26">
        <v>2</v>
      </c>
      <c r="M45" s="26">
        <v>0</v>
      </c>
      <c r="N45" s="26">
        <v>0</v>
      </c>
      <c r="O45" s="26">
        <v>0</v>
      </c>
      <c r="P45" s="26">
        <v>0</v>
      </c>
      <c r="Q45" s="26">
        <v>0</v>
      </c>
      <c r="R45" s="26">
        <v>0</v>
      </c>
      <c r="S45" s="26">
        <v>0</v>
      </c>
      <c r="T45" s="16">
        <v>4</v>
      </c>
      <c r="U45" s="16">
        <v>5</v>
      </c>
      <c r="V45" s="16">
        <v>0</v>
      </c>
      <c r="W45" s="16">
        <v>2</v>
      </c>
      <c r="X45" s="16">
        <v>0</v>
      </c>
      <c r="Y45" s="16">
        <v>0</v>
      </c>
      <c r="Z45" s="16">
        <v>0</v>
      </c>
      <c r="AA45" s="16">
        <v>0</v>
      </c>
      <c r="AB45" s="16">
        <v>0</v>
      </c>
      <c r="AC45" s="16">
        <v>0</v>
      </c>
      <c r="AD45" s="16">
        <v>5</v>
      </c>
      <c r="AE45" s="16">
        <v>2</v>
      </c>
      <c r="AF45" s="16">
        <v>1</v>
      </c>
      <c r="AG45" s="16">
        <v>1</v>
      </c>
      <c r="AH45" s="16">
        <v>3</v>
      </c>
      <c r="AI45" s="16">
        <v>0</v>
      </c>
      <c r="AJ45" s="16">
        <v>0</v>
      </c>
      <c r="AK45" s="98">
        <v>5</v>
      </c>
      <c r="AL45" s="16">
        <v>1</v>
      </c>
      <c r="AM45" s="16">
        <v>0</v>
      </c>
      <c r="AN45" s="16">
        <v>2</v>
      </c>
      <c r="AO45" s="26">
        <v>0</v>
      </c>
      <c r="AP45" s="26">
        <v>0</v>
      </c>
      <c r="AQ45" s="26">
        <v>0</v>
      </c>
      <c r="AR45" s="16">
        <v>0</v>
      </c>
      <c r="AS45" s="16">
        <v>0</v>
      </c>
      <c r="AT45" s="26">
        <v>0</v>
      </c>
      <c r="AU45" s="16">
        <v>1</v>
      </c>
      <c r="AV45" s="26">
        <v>0</v>
      </c>
      <c r="AW45" s="26">
        <v>0</v>
      </c>
      <c r="AX45" s="16">
        <v>0</v>
      </c>
      <c r="AY45" s="16">
        <v>1</v>
      </c>
      <c r="AZ45" s="26">
        <v>0</v>
      </c>
      <c r="BA45" s="26">
        <v>0</v>
      </c>
      <c r="BB45" s="26">
        <v>0</v>
      </c>
      <c r="BC45" s="26">
        <v>0</v>
      </c>
      <c r="BD45" s="26">
        <v>0</v>
      </c>
      <c r="BE45" s="16">
        <v>0</v>
      </c>
      <c r="BF45" s="16">
        <v>1</v>
      </c>
      <c r="BG45" s="16">
        <v>385</v>
      </c>
      <c r="BH45" s="16">
        <v>0</v>
      </c>
      <c r="BI45" s="16">
        <v>0</v>
      </c>
      <c r="BJ45" s="26">
        <v>1</v>
      </c>
      <c r="BK45" s="16">
        <v>0</v>
      </c>
      <c r="BL45" s="16">
        <v>0</v>
      </c>
      <c r="BM45" s="26">
        <v>0</v>
      </c>
      <c r="BN45" s="26">
        <v>0</v>
      </c>
      <c r="BO45" s="26">
        <v>10</v>
      </c>
    </row>
    <row r="46" spans="1:67" s="5" customFormat="1" ht="21.9" customHeight="1" x14ac:dyDescent="0.25">
      <c r="A46" s="125" t="s">
        <v>88</v>
      </c>
      <c r="C46" s="47" t="s">
        <v>75</v>
      </c>
      <c r="D46" s="48"/>
      <c r="E46" s="16">
        <v>10945</v>
      </c>
      <c r="F46" s="16">
        <v>244</v>
      </c>
      <c r="G46" s="16">
        <v>392</v>
      </c>
      <c r="H46" s="16">
        <v>625</v>
      </c>
      <c r="I46" s="16">
        <v>118</v>
      </c>
      <c r="J46" s="16">
        <v>33</v>
      </c>
      <c r="K46" s="16">
        <v>20</v>
      </c>
      <c r="L46" s="16">
        <v>327</v>
      </c>
      <c r="M46" s="16">
        <v>91</v>
      </c>
      <c r="N46" s="16">
        <v>13</v>
      </c>
      <c r="O46" s="16">
        <v>95</v>
      </c>
      <c r="P46" s="16">
        <v>0</v>
      </c>
      <c r="Q46" s="16">
        <v>21</v>
      </c>
      <c r="R46" s="16">
        <v>219</v>
      </c>
      <c r="S46" s="16">
        <v>49</v>
      </c>
      <c r="T46" s="16">
        <v>0</v>
      </c>
      <c r="U46" s="16">
        <v>369</v>
      </c>
      <c r="V46" s="16">
        <v>125</v>
      </c>
      <c r="W46" s="16">
        <v>180</v>
      </c>
      <c r="X46" s="16">
        <v>0</v>
      </c>
      <c r="Y46" s="16">
        <v>115</v>
      </c>
      <c r="Z46" s="16">
        <v>34</v>
      </c>
      <c r="AA46" s="16">
        <v>0</v>
      </c>
      <c r="AB46" s="16">
        <v>78</v>
      </c>
      <c r="AC46" s="16">
        <v>86</v>
      </c>
      <c r="AD46" s="16">
        <v>772</v>
      </c>
      <c r="AE46" s="16">
        <v>322</v>
      </c>
      <c r="AF46" s="16">
        <v>12</v>
      </c>
      <c r="AG46" s="16">
        <v>139</v>
      </c>
      <c r="AH46" s="16">
        <v>54</v>
      </c>
      <c r="AI46" s="16">
        <v>23</v>
      </c>
      <c r="AJ46" s="16">
        <v>0</v>
      </c>
      <c r="AK46" s="98">
        <v>21</v>
      </c>
      <c r="AL46" s="16">
        <v>53</v>
      </c>
      <c r="AM46" s="16">
        <v>0</v>
      </c>
      <c r="AN46" s="16">
        <v>119</v>
      </c>
      <c r="AO46" s="16">
        <v>40</v>
      </c>
      <c r="AP46" s="16">
        <v>72</v>
      </c>
      <c r="AQ46" s="16">
        <v>17</v>
      </c>
      <c r="AR46" s="16">
        <v>71</v>
      </c>
      <c r="AS46" s="16">
        <v>194</v>
      </c>
      <c r="AT46" s="16">
        <v>203</v>
      </c>
      <c r="AU46" s="16">
        <v>428</v>
      </c>
      <c r="AV46" s="16">
        <v>866</v>
      </c>
      <c r="AW46" s="16">
        <v>139</v>
      </c>
      <c r="AX46" s="16">
        <v>186</v>
      </c>
      <c r="AY46" s="16">
        <v>253</v>
      </c>
      <c r="AZ46" s="16">
        <v>0</v>
      </c>
      <c r="BA46" s="16">
        <v>0</v>
      </c>
      <c r="BB46" s="16">
        <v>0</v>
      </c>
      <c r="BC46" s="16">
        <v>324</v>
      </c>
      <c r="BD46" s="16">
        <v>255</v>
      </c>
      <c r="BE46" s="16">
        <v>375</v>
      </c>
      <c r="BF46" s="16">
        <v>100</v>
      </c>
      <c r="BG46" s="16">
        <v>169</v>
      </c>
      <c r="BH46" s="16">
        <v>35</v>
      </c>
      <c r="BI46" s="26">
        <v>1751</v>
      </c>
      <c r="BJ46" s="16">
        <v>606</v>
      </c>
      <c r="BK46" s="16">
        <v>88</v>
      </c>
      <c r="BL46" s="16">
        <v>8</v>
      </c>
      <c r="BM46" s="16">
        <v>11</v>
      </c>
      <c r="BN46" s="16">
        <v>0</v>
      </c>
      <c r="BO46" s="16">
        <v>5</v>
      </c>
    </row>
    <row r="47" spans="1:67" s="5" customFormat="1" ht="21.9" customHeight="1" x14ac:dyDescent="0.25">
      <c r="A47" s="125"/>
      <c r="C47" s="47" t="s">
        <v>76</v>
      </c>
      <c r="D47" s="48"/>
      <c r="E47" s="16">
        <v>146</v>
      </c>
      <c r="F47" s="26">
        <v>0</v>
      </c>
      <c r="G47" s="26">
        <v>0</v>
      </c>
      <c r="H47" s="26">
        <v>1</v>
      </c>
      <c r="I47" s="26">
        <v>1</v>
      </c>
      <c r="J47" s="26">
        <v>0</v>
      </c>
      <c r="K47" s="26">
        <v>1</v>
      </c>
      <c r="L47" s="26">
        <v>3</v>
      </c>
      <c r="M47" s="26">
        <v>0</v>
      </c>
      <c r="N47" s="26">
        <v>0</v>
      </c>
      <c r="O47" s="26">
        <v>1</v>
      </c>
      <c r="P47" s="26">
        <v>0</v>
      </c>
      <c r="Q47" s="26">
        <v>1</v>
      </c>
      <c r="R47" s="26">
        <v>1</v>
      </c>
      <c r="S47" s="26">
        <v>0</v>
      </c>
      <c r="T47" s="26">
        <v>0</v>
      </c>
      <c r="U47" s="16">
        <v>6</v>
      </c>
      <c r="V47" s="26">
        <v>0</v>
      </c>
      <c r="W47" s="26">
        <v>20</v>
      </c>
      <c r="X47" s="26">
        <v>0</v>
      </c>
      <c r="Y47" s="26">
        <v>0</v>
      </c>
      <c r="Z47" s="16">
        <v>8</v>
      </c>
      <c r="AA47" s="26">
        <v>0</v>
      </c>
      <c r="AB47" s="26">
        <v>1</v>
      </c>
      <c r="AC47" s="16">
        <v>0</v>
      </c>
      <c r="AD47" s="16">
        <v>0</v>
      </c>
      <c r="AE47" s="26">
        <v>0</v>
      </c>
      <c r="AF47" s="16">
        <v>0</v>
      </c>
      <c r="AG47" s="16">
        <v>20</v>
      </c>
      <c r="AH47" s="16">
        <v>8</v>
      </c>
      <c r="AI47" s="26">
        <v>0</v>
      </c>
      <c r="AJ47" s="26">
        <v>0</v>
      </c>
      <c r="AK47" s="98">
        <v>4</v>
      </c>
      <c r="AL47" s="26">
        <v>0</v>
      </c>
      <c r="AM47" s="26">
        <v>0</v>
      </c>
      <c r="AN47" s="16">
        <v>5</v>
      </c>
      <c r="AO47" s="26">
        <v>0</v>
      </c>
      <c r="AP47" s="26">
        <v>0</v>
      </c>
      <c r="AQ47" s="26">
        <v>0</v>
      </c>
      <c r="AR47" s="26">
        <v>1</v>
      </c>
      <c r="AS47" s="26">
        <v>2</v>
      </c>
      <c r="AT47" s="26">
        <v>0</v>
      </c>
      <c r="AU47" s="16">
        <v>11</v>
      </c>
      <c r="AV47" s="26">
        <v>10</v>
      </c>
      <c r="AW47" s="26">
        <v>0</v>
      </c>
      <c r="AX47" s="26">
        <v>0</v>
      </c>
      <c r="AY47" s="26">
        <v>0</v>
      </c>
      <c r="AZ47" s="26">
        <v>1</v>
      </c>
      <c r="BA47" s="26">
        <v>0</v>
      </c>
      <c r="BB47" s="26">
        <v>0</v>
      </c>
      <c r="BC47" s="26">
        <v>0</v>
      </c>
      <c r="BD47" s="26">
        <v>4</v>
      </c>
      <c r="BE47" s="26">
        <v>2</v>
      </c>
      <c r="BF47" s="16">
        <v>0</v>
      </c>
      <c r="BG47" s="26">
        <v>33</v>
      </c>
      <c r="BH47" s="26">
        <v>0</v>
      </c>
      <c r="BI47" s="26">
        <v>0</v>
      </c>
      <c r="BJ47" s="26">
        <v>1</v>
      </c>
      <c r="BK47" s="26">
        <v>0</v>
      </c>
      <c r="BL47" s="26">
        <v>0</v>
      </c>
      <c r="BM47" s="26">
        <v>0</v>
      </c>
      <c r="BN47" s="26">
        <v>0</v>
      </c>
      <c r="BO47" s="16">
        <v>0</v>
      </c>
    </row>
    <row r="48" spans="1:67" s="5" customFormat="1" ht="21.9" customHeight="1" x14ac:dyDescent="0.25">
      <c r="A48" s="125" t="s">
        <v>210</v>
      </c>
      <c r="B48" s="4"/>
      <c r="C48" s="47" t="s">
        <v>75</v>
      </c>
      <c r="D48" s="48"/>
      <c r="E48" s="16">
        <v>61576</v>
      </c>
      <c r="F48" s="16">
        <v>1255</v>
      </c>
      <c r="G48" s="16">
        <v>1391</v>
      </c>
      <c r="H48" s="16">
        <v>1207</v>
      </c>
      <c r="I48" s="16">
        <v>1774</v>
      </c>
      <c r="J48" s="16">
        <v>300</v>
      </c>
      <c r="K48" s="16">
        <v>209</v>
      </c>
      <c r="L48" s="16">
        <v>421</v>
      </c>
      <c r="M48" s="16">
        <v>1292</v>
      </c>
      <c r="N48" s="16">
        <v>473</v>
      </c>
      <c r="O48" s="16">
        <v>221</v>
      </c>
      <c r="P48" s="16">
        <v>5</v>
      </c>
      <c r="Q48" s="16">
        <v>77</v>
      </c>
      <c r="R48" s="16">
        <v>670</v>
      </c>
      <c r="S48" s="16">
        <v>2487</v>
      </c>
      <c r="T48" s="16">
        <v>401</v>
      </c>
      <c r="U48" s="16">
        <v>1453</v>
      </c>
      <c r="V48" s="16">
        <v>596</v>
      </c>
      <c r="W48" s="16">
        <v>252</v>
      </c>
      <c r="X48" s="16">
        <v>126</v>
      </c>
      <c r="Y48" s="16">
        <v>4832</v>
      </c>
      <c r="Z48" s="16">
        <v>878</v>
      </c>
      <c r="AA48" s="16">
        <v>195</v>
      </c>
      <c r="AB48" s="16">
        <v>481</v>
      </c>
      <c r="AC48" s="16">
        <v>283</v>
      </c>
      <c r="AD48" s="16">
        <v>5898</v>
      </c>
      <c r="AE48" s="16">
        <v>3496</v>
      </c>
      <c r="AF48" s="16">
        <v>757</v>
      </c>
      <c r="AG48" s="16">
        <v>405</v>
      </c>
      <c r="AH48" s="16">
        <v>662</v>
      </c>
      <c r="AI48" s="16">
        <v>2608</v>
      </c>
      <c r="AJ48" s="16">
        <v>37</v>
      </c>
      <c r="AK48" s="98">
        <v>688</v>
      </c>
      <c r="AL48" s="16">
        <v>266</v>
      </c>
      <c r="AM48" s="16">
        <v>112</v>
      </c>
      <c r="AN48" s="16">
        <v>1201</v>
      </c>
      <c r="AO48" s="16">
        <v>28</v>
      </c>
      <c r="AP48" s="16">
        <v>21</v>
      </c>
      <c r="AQ48" s="16">
        <v>7</v>
      </c>
      <c r="AR48" s="16">
        <v>586</v>
      </c>
      <c r="AS48" s="16">
        <v>1920</v>
      </c>
      <c r="AT48" s="16">
        <v>3240</v>
      </c>
      <c r="AU48" s="16">
        <v>5352</v>
      </c>
      <c r="AV48" s="16">
        <v>2034</v>
      </c>
      <c r="AW48" s="16">
        <v>78</v>
      </c>
      <c r="AX48" s="16">
        <v>1284</v>
      </c>
      <c r="AY48" s="16">
        <v>412</v>
      </c>
      <c r="AZ48" s="26">
        <v>8</v>
      </c>
      <c r="BA48" s="16">
        <v>15</v>
      </c>
      <c r="BB48" s="16">
        <v>2</v>
      </c>
      <c r="BC48" s="16">
        <v>175</v>
      </c>
      <c r="BD48" s="16">
        <v>1348</v>
      </c>
      <c r="BE48" s="16">
        <v>1601</v>
      </c>
      <c r="BF48" s="16">
        <v>1010</v>
      </c>
      <c r="BG48" s="16">
        <v>405</v>
      </c>
      <c r="BH48" s="16">
        <v>153</v>
      </c>
      <c r="BI48" s="16">
        <v>77</v>
      </c>
      <c r="BJ48" s="16">
        <v>733</v>
      </c>
      <c r="BK48" s="16">
        <v>345</v>
      </c>
      <c r="BL48" s="16">
        <v>1450</v>
      </c>
      <c r="BM48" s="16">
        <v>1398</v>
      </c>
      <c r="BN48" s="16">
        <v>0</v>
      </c>
      <c r="BO48" s="16">
        <v>485</v>
      </c>
    </row>
    <row r="49" spans="1:68" s="5" customFormat="1" ht="21.9" customHeight="1" x14ac:dyDescent="0.25">
      <c r="A49" s="125"/>
      <c r="B49" s="4"/>
      <c r="C49" s="47" t="s">
        <v>76</v>
      </c>
      <c r="D49" s="48"/>
      <c r="E49" s="16">
        <v>385</v>
      </c>
      <c r="F49" s="26">
        <v>0</v>
      </c>
      <c r="G49" s="26">
        <v>0</v>
      </c>
      <c r="H49" s="26">
        <v>0</v>
      </c>
      <c r="I49" s="26">
        <v>0</v>
      </c>
      <c r="J49" s="26">
        <v>0</v>
      </c>
      <c r="K49" s="26">
        <v>4</v>
      </c>
      <c r="L49" s="26">
        <v>1</v>
      </c>
      <c r="M49" s="26">
        <v>1</v>
      </c>
      <c r="N49" s="26">
        <v>0</v>
      </c>
      <c r="O49" s="26">
        <v>0</v>
      </c>
      <c r="P49" s="26">
        <v>0</v>
      </c>
      <c r="Q49" s="26">
        <v>1</v>
      </c>
      <c r="R49" s="26">
        <v>31</v>
      </c>
      <c r="S49" s="26">
        <v>0</v>
      </c>
      <c r="T49" s="26">
        <v>9</v>
      </c>
      <c r="U49" s="16">
        <v>6</v>
      </c>
      <c r="V49" s="26">
        <v>0</v>
      </c>
      <c r="W49" s="16">
        <v>0</v>
      </c>
      <c r="X49" s="16">
        <v>0</v>
      </c>
      <c r="Y49" s="16">
        <v>1</v>
      </c>
      <c r="Z49" s="16">
        <v>1</v>
      </c>
      <c r="AA49" s="26">
        <v>0</v>
      </c>
      <c r="AB49" s="26">
        <v>0</v>
      </c>
      <c r="AC49" s="16">
        <v>0</v>
      </c>
      <c r="AD49" s="16">
        <v>159</v>
      </c>
      <c r="AE49" s="16">
        <v>12</v>
      </c>
      <c r="AF49" s="16">
        <v>0</v>
      </c>
      <c r="AG49" s="26">
        <v>0</v>
      </c>
      <c r="AH49" s="26">
        <v>2</v>
      </c>
      <c r="AI49" s="16">
        <v>0</v>
      </c>
      <c r="AJ49" s="26">
        <v>0</v>
      </c>
      <c r="AK49" s="98">
        <v>82</v>
      </c>
      <c r="AL49" s="26">
        <v>15</v>
      </c>
      <c r="AM49" s="26">
        <v>1</v>
      </c>
      <c r="AN49" s="16">
        <v>16</v>
      </c>
      <c r="AO49" s="16">
        <v>0</v>
      </c>
      <c r="AP49" s="26">
        <v>0</v>
      </c>
      <c r="AQ49" s="26">
        <v>0</v>
      </c>
      <c r="AR49" s="16">
        <v>0</v>
      </c>
      <c r="AS49" s="16">
        <v>0</v>
      </c>
      <c r="AT49" s="26">
        <v>0</v>
      </c>
      <c r="AU49" s="16">
        <v>0</v>
      </c>
      <c r="AV49" s="26">
        <v>0</v>
      </c>
      <c r="AW49" s="26">
        <v>0</v>
      </c>
      <c r="AX49" s="26">
        <v>2</v>
      </c>
      <c r="AY49" s="26">
        <v>1</v>
      </c>
      <c r="AZ49" s="26">
        <v>0</v>
      </c>
      <c r="BA49" s="26">
        <v>0</v>
      </c>
      <c r="BB49" s="26">
        <v>0</v>
      </c>
      <c r="BC49" s="26">
        <v>0</v>
      </c>
      <c r="BD49" s="26">
        <v>1</v>
      </c>
      <c r="BE49" s="16">
        <v>1</v>
      </c>
      <c r="BF49" s="16">
        <v>2</v>
      </c>
      <c r="BG49" s="16">
        <v>11</v>
      </c>
      <c r="BH49" s="16">
        <v>0</v>
      </c>
      <c r="BI49" s="26">
        <v>0</v>
      </c>
      <c r="BJ49" s="16">
        <v>1</v>
      </c>
      <c r="BK49" s="26">
        <v>0</v>
      </c>
      <c r="BL49" s="16">
        <v>0</v>
      </c>
      <c r="BM49" s="16">
        <v>0</v>
      </c>
      <c r="BN49" s="26">
        <v>0</v>
      </c>
      <c r="BO49" s="16">
        <v>24</v>
      </c>
    </row>
    <row r="50" spans="1:68" s="5" customFormat="1" ht="21.9" customHeight="1" x14ac:dyDescent="0.25">
      <c r="A50" s="125" t="s">
        <v>90</v>
      </c>
      <c r="B50" s="4"/>
      <c r="C50" s="47" t="s">
        <v>75</v>
      </c>
      <c r="D50" s="48"/>
      <c r="E50" s="16">
        <v>4158</v>
      </c>
      <c r="F50" s="16">
        <v>20</v>
      </c>
      <c r="G50" s="16">
        <v>18</v>
      </c>
      <c r="H50" s="16">
        <v>0</v>
      </c>
      <c r="I50" s="16">
        <v>4</v>
      </c>
      <c r="J50" s="16">
        <v>4</v>
      </c>
      <c r="K50" s="16">
        <v>118</v>
      </c>
      <c r="L50" s="16">
        <v>252</v>
      </c>
      <c r="M50" s="16">
        <v>74</v>
      </c>
      <c r="N50" s="16">
        <v>0</v>
      </c>
      <c r="O50" s="16">
        <v>6</v>
      </c>
      <c r="P50" s="16">
        <v>0</v>
      </c>
      <c r="Q50" s="16">
        <v>92</v>
      </c>
      <c r="R50" s="16">
        <v>61</v>
      </c>
      <c r="S50" s="16">
        <v>38</v>
      </c>
      <c r="T50" s="16">
        <v>26</v>
      </c>
      <c r="U50" s="16">
        <v>99</v>
      </c>
      <c r="V50" s="16">
        <v>35</v>
      </c>
      <c r="W50" s="16">
        <v>166</v>
      </c>
      <c r="X50" s="16">
        <v>0</v>
      </c>
      <c r="Y50" s="16">
        <v>61</v>
      </c>
      <c r="Z50" s="16">
        <v>92</v>
      </c>
      <c r="AA50" s="16">
        <v>103</v>
      </c>
      <c r="AB50" s="16">
        <v>45</v>
      </c>
      <c r="AC50" s="16">
        <v>0</v>
      </c>
      <c r="AD50" s="16">
        <v>999</v>
      </c>
      <c r="AE50" s="16">
        <v>187</v>
      </c>
      <c r="AF50" s="16">
        <v>185</v>
      </c>
      <c r="AG50" s="16">
        <v>171</v>
      </c>
      <c r="AH50" s="16">
        <v>12</v>
      </c>
      <c r="AI50" s="16">
        <v>28</v>
      </c>
      <c r="AJ50" s="16">
        <v>0</v>
      </c>
      <c r="AK50" s="98">
        <v>53</v>
      </c>
      <c r="AL50" s="16">
        <v>0</v>
      </c>
      <c r="AM50" s="16">
        <v>0</v>
      </c>
      <c r="AN50" s="16">
        <v>180</v>
      </c>
      <c r="AO50" s="16">
        <v>0</v>
      </c>
      <c r="AP50" s="16">
        <v>0</v>
      </c>
      <c r="AQ50" s="16">
        <v>0</v>
      </c>
      <c r="AR50" s="16">
        <v>224</v>
      </c>
      <c r="AS50" s="16">
        <v>32</v>
      </c>
      <c r="AT50" s="16">
        <v>24</v>
      </c>
      <c r="AU50" s="16">
        <v>60</v>
      </c>
      <c r="AV50" s="16">
        <v>70</v>
      </c>
      <c r="AW50" s="16">
        <v>0</v>
      </c>
      <c r="AX50" s="16">
        <v>6</v>
      </c>
      <c r="AY50" s="16">
        <v>14</v>
      </c>
      <c r="AZ50" s="16">
        <v>0</v>
      </c>
      <c r="BA50" s="26">
        <v>0</v>
      </c>
      <c r="BB50" s="26">
        <v>1</v>
      </c>
      <c r="BC50" s="26">
        <v>0</v>
      </c>
      <c r="BD50" s="16">
        <v>1</v>
      </c>
      <c r="BE50" s="16">
        <v>2</v>
      </c>
      <c r="BF50" s="16">
        <v>0</v>
      </c>
      <c r="BG50" s="26">
        <v>0</v>
      </c>
      <c r="BH50" s="16">
        <v>0</v>
      </c>
      <c r="BI50" s="16">
        <v>68</v>
      </c>
      <c r="BJ50" s="16">
        <v>473</v>
      </c>
      <c r="BK50" s="16">
        <v>44</v>
      </c>
      <c r="BL50" s="16">
        <v>2</v>
      </c>
      <c r="BM50" s="16">
        <v>0</v>
      </c>
      <c r="BN50" s="26">
        <v>0</v>
      </c>
      <c r="BO50" s="16">
        <v>8</v>
      </c>
    </row>
    <row r="51" spans="1:68" s="5" customFormat="1" ht="21.9" customHeight="1" x14ac:dyDescent="0.25">
      <c r="A51" s="125"/>
      <c r="B51" s="4"/>
      <c r="C51" s="47" t="s">
        <v>76</v>
      </c>
      <c r="D51" s="48"/>
      <c r="E51" s="16">
        <v>20</v>
      </c>
      <c r="F51" s="26">
        <v>0</v>
      </c>
      <c r="G51" s="26">
        <v>0</v>
      </c>
      <c r="H51" s="26">
        <v>0</v>
      </c>
      <c r="I51" s="26">
        <v>1</v>
      </c>
      <c r="J51" s="26">
        <v>0</v>
      </c>
      <c r="K51" s="26">
        <v>0</v>
      </c>
      <c r="L51" s="26">
        <v>3</v>
      </c>
      <c r="M51" s="26">
        <v>0</v>
      </c>
      <c r="N51" s="26">
        <v>0</v>
      </c>
      <c r="O51" s="26">
        <v>0</v>
      </c>
      <c r="P51" s="26">
        <v>0</v>
      </c>
      <c r="Q51" s="26">
        <v>0</v>
      </c>
      <c r="R51" s="26">
        <v>0</v>
      </c>
      <c r="S51" s="26">
        <v>0</v>
      </c>
      <c r="T51" s="26">
        <v>0</v>
      </c>
      <c r="U51" s="26">
        <v>0</v>
      </c>
      <c r="V51" s="26">
        <v>0</v>
      </c>
      <c r="W51" s="26">
        <v>2</v>
      </c>
      <c r="X51" s="26">
        <v>2</v>
      </c>
      <c r="Y51" s="26">
        <v>0</v>
      </c>
      <c r="Z51" s="26">
        <v>0</v>
      </c>
      <c r="AA51" s="26">
        <v>0</v>
      </c>
      <c r="AB51" s="26">
        <v>1</v>
      </c>
      <c r="AC51" s="26">
        <v>0</v>
      </c>
      <c r="AD51" s="26">
        <v>1</v>
      </c>
      <c r="AE51" s="26">
        <v>0</v>
      </c>
      <c r="AF51" s="26">
        <v>4</v>
      </c>
      <c r="AG51" s="26">
        <v>0</v>
      </c>
      <c r="AH51" s="26">
        <v>1</v>
      </c>
      <c r="AI51" s="26">
        <v>0</v>
      </c>
      <c r="AJ51" s="26">
        <v>0</v>
      </c>
      <c r="AK51" s="99">
        <v>1</v>
      </c>
      <c r="AL51" s="26">
        <v>0</v>
      </c>
      <c r="AM51" s="26">
        <v>0</v>
      </c>
      <c r="AN51" s="26">
        <v>2</v>
      </c>
      <c r="AO51" s="26">
        <v>0</v>
      </c>
      <c r="AP51" s="26">
        <v>0</v>
      </c>
      <c r="AQ51" s="26">
        <v>0</v>
      </c>
      <c r="AR51" s="26">
        <v>0</v>
      </c>
      <c r="AS51" s="26">
        <v>0</v>
      </c>
      <c r="AT51" s="26">
        <v>0</v>
      </c>
      <c r="AU51" s="26">
        <v>0</v>
      </c>
      <c r="AV51" s="26">
        <v>0</v>
      </c>
      <c r="AW51" s="26">
        <v>0</v>
      </c>
      <c r="AX51" s="26">
        <v>0</v>
      </c>
      <c r="AY51" s="26">
        <v>0</v>
      </c>
      <c r="AZ51" s="26">
        <v>0</v>
      </c>
      <c r="BA51" s="26">
        <v>0</v>
      </c>
      <c r="BB51" s="26">
        <v>1</v>
      </c>
      <c r="BC51" s="26">
        <v>0</v>
      </c>
      <c r="BD51" s="26">
        <v>0</v>
      </c>
      <c r="BE51" s="26">
        <v>0</v>
      </c>
      <c r="BF51" s="26">
        <v>0</v>
      </c>
      <c r="BG51" s="26">
        <v>0</v>
      </c>
      <c r="BH51" s="26">
        <v>0</v>
      </c>
      <c r="BI51" s="26">
        <v>0</v>
      </c>
      <c r="BJ51" s="26">
        <v>0</v>
      </c>
      <c r="BK51" s="26">
        <v>0</v>
      </c>
      <c r="BL51" s="26">
        <v>0</v>
      </c>
      <c r="BM51" s="26">
        <v>0</v>
      </c>
      <c r="BN51" s="26">
        <v>0</v>
      </c>
      <c r="BO51" s="26">
        <v>1</v>
      </c>
    </row>
    <row r="52" spans="1:68" s="5" customFormat="1" ht="21.9" customHeight="1" x14ac:dyDescent="0.25">
      <c r="A52" s="125" t="s">
        <v>246</v>
      </c>
      <c r="B52" s="4"/>
      <c r="C52" s="47" t="s">
        <v>75</v>
      </c>
      <c r="D52" s="48"/>
      <c r="E52" s="16">
        <v>37507</v>
      </c>
      <c r="F52" s="16">
        <v>404</v>
      </c>
      <c r="G52" s="16">
        <v>582</v>
      </c>
      <c r="H52" s="16">
        <v>266</v>
      </c>
      <c r="I52" s="16">
        <v>65</v>
      </c>
      <c r="J52" s="16">
        <v>0</v>
      </c>
      <c r="K52" s="16">
        <v>203</v>
      </c>
      <c r="L52" s="16">
        <v>256</v>
      </c>
      <c r="M52" s="16">
        <v>615</v>
      </c>
      <c r="N52" s="16">
        <v>126</v>
      </c>
      <c r="O52" s="16">
        <v>76</v>
      </c>
      <c r="P52" s="16">
        <v>64</v>
      </c>
      <c r="Q52" s="16">
        <v>11</v>
      </c>
      <c r="R52" s="16">
        <v>242</v>
      </c>
      <c r="S52" s="16">
        <v>920</v>
      </c>
      <c r="T52" s="16">
        <v>258</v>
      </c>
      <c r="U52" s="16">
        <v>367</v>
      </c>
      <c r="V52" s="16">
        <v>331</v>
      </c>
      <c r="W52" s="16">
        <v>244</v>
      </c>
      <c r="X52" s="16">
        <v>8</v>
      </c>
      <c r="Y52" s="16">
        <v>1910</v>
      </c>
      <c r="Z52" s="16">
        <v>405</v>
      </c>
      <c r="AA52" s="16">
        <v>423</v>
      </c>
      <c r="AB52" s="16">
        <v>326</v>
      </c>
      <c r="AC52" s="16">
        <v>74</v>
      </c>
      <c r="AD52" s="16">
        <v>3980</v>
      </c>
      <c r="AE52" s="16">
        <v>1776</v>
      </c>
      <c r="AF52" s="16">
        <v>197</v>
      </c>
      <c r="AG52" s="16">
        <v>289</v>
      </c>
      <c r="AH52" s="16">
        <v>22</v>
      </c>
      <c r="AI52" s="16">
        <v>2088</v>
      </c>
      <c r="AJ52" s="16">
        <v>120</v>
      </c>
      <c r="AK52" s="98">
        <v>33</v>
      </c>
      <c r="AL52" s="16">
        <v>243</v>
      </c>
      <c r="AM52" s="16">
        <v>39</v>
      </c>
      <c r="AN52" s="16">
        <v>1295</v>
      </c>
      <c r="AO52" s="16">
        <v>108</v>
      </c>
      <c r="AP52" s="16">
        <v>66</v>
      </c>
      <c r="AQ52" s="16">
        <v>0</v>
      </c>
      <c r="AR52" s="16">
        <v>409</v>
      </c>
      <c r="AS52" s="16">
        <v>217</v>
      </c>
      <c r="AT52" s="16">
        <v>3428</v>
      </c>
      <c r="AU52" s="16">
        <v>4493</v>
      </c>
      <c r="AV52" s="16">
        <v>2368</v>
      </c>
      <c r="AW52" s="16">
        <v>133</v>
      </c>
      <c r="AX52" s="16">
        <v>1064</v>
      </c>
      <c r="AY52" s="16">
        <v>344</v>
      </c>
      <c r="AZ52" s="16">
        <v>0</v>
      </c>
      <c r="BA52" s="16">
        <v>0</v>
      </c>
      <c r="BB52" s="26">
        <v>21</v>
      </c>
      <c r="BC52" s="16">
        <v>365</v>
      </c>
      <c r="BD52" s="16">
        <v>1173</v>
      </c>
      <c r="BE52" s="16">
        <v>1567</v>
      </c>
      <c r="BF52" s="16">
        <v>156</v>
      </c>
      <c r="BG52" s="16">
        <v>346</v>
      </c>
      <c r="BH52" s="16">
        <v>342</v>
      </c>
      <c r="BI52" s="16">
        <v>323</v>
      </c>
      <c r="BJ52" s="16">
        <v>196</v>
      </c>
      <c r="BK52" s="16">
        <v>179</v>
      </c>
      <c r="BL52" s="16">
        <v>519</v>
      </c>
      <c r="BM52" s="16">
        <v>1257</v>
      </c>
      <c r="BN52" s="16">
        <v>35</v>
      </c>
      <c r="BO52" s="16">
        <v>140</v>
      </c>
    </row>
    <row r="53" spans="1:68" s="5" customFormat="1" ht="21.9" customHeight="1" x14ac:dyDescent="0.25">
      <c r="A53" s="125"/>
      <c r="B53" s="4"/>
      <c r="C53" s="47" t="s">
        <v>76</v>
      </c>
      <c r="D53" s="48"/>
      <c r="E53" s="16">
        <v>372</v>
      </c>
      <c r="F53" s="26">
        <v>0</v>
      </c>
      <c r="G53" s="26">
        <v>0</v>
      </c>
      <c r="H53" s="26">
        <v>0</v>
      </c>
      <c r="I53" s="26">
        <v>0</v>
      </c>
      <c r="J53" s="26">
        <v>0</v>
      </c>
      <c r="K53" s="26">
        <v>0</v>
      </c>
      <c r="L53" s="26">
        <v>0</v>
      </c>
      <c r="M53" s="26">
        <v>0</v>
      </c>
      <c r="N53" s="26">
        <v>0</v>
      </c>
      <c r="O53" s="26">
        <v>0</v>
      </c>
      <c r="P53" s="26">
        <v>0</v>
      </c>
      <c r="Q53" s="26">
        <v>0</v>
      </c>
      <c r="R53" s="26">
        <v>6</v>
      </c>
      <c r="S53" s="26">
        <v>0</v>
      </c>
      <c r="T53" s="26">
        <v>0</v>
      </c>
      <c r="U53" s="16">
        <v>0</v>
      </c>
      <c r="V53" s="16">
        <v>0</v>
      </c>
      <c r="W53" s="26">
        <v>1</v>
      </c>
      <c r="X53" s="26">
        <v>0</v>
      </c>
      <c r="Y53" s="26">
        <v>0</v>
      </c>
      <c r="Z53" s="26">
        <v>0</v>
      </c>
      <c r="AA53" s="26">
        <v>0</v>
      </c>
      <c r="AB53" s="16">
        <v>3</v>
      </c>
      <c r="AC53" s="26">
        <v>0</v>
      </c>
      <c r="AD53" s="16">
        <v>1</v>
      </c>
      <c r="AE53" s="26">
        <v>0</v>
      </c>
      <c r="AF53" s="26">
        <v>0</v>
      </c>
      <c r="AG53" s="16">
        <v>3</v>
      </c>
      <c r="AH53" s="26">
        <v>0</v>
      </c>
      <c r="AI53" s="26">
        <v>0</v>
      </c>
      <c r="AJ53" s="26">
        <v>0</v>
      </c>
      <c r="AK53" s="98">
        <v>3</v>
      </c>
      <c r="AL53" s="26">
        <v>0</v>
      </c>
      <c r="AM53" s="26">
        <v>0</v>
      </c>
      <c r="AN53" s="26">
        <v>0</v>
      </c>
      <c r="AO53" s="16">
        <v>0</v>
      </c>
      <c r="AP53" s="26">
        <v>0</v>
      </c>
      <c r="AQ53" s="26">
        <v>0</v>
      </c>
      <c r="AR53" s="26">
        <v>1</v>
      </c>
      <c r="AS53" s="16">
        <v>0</v>
      </c>
      <c r="AT53" s="26">
        <v>0</v>
      </c>
      <c r="AU53" s="16">
        <v>2</v>
      </c>
      <c r="AV53" s="16">
        <v>3</v>
      </c>
      <c r="AW53" s="26">
        <v>0</v>
      </c>
      <c r="AX53" s="16">
        <v>0</v>
      </c>
      <c r="AY53" s="26">
        <v>0</v>
      </c>
      <c r="AZ53" s="26">
        <v>0</v>
      </c>
      <c r="BA53" s="26">
        <v>0</v>
      </c>
      <c r="BB53" s="26">
        <v>0</v>
      </c>
      <c r="BC53" s="26">
        <v>0</v>
      </c>
      <c r="BD53" s="26">
        <v>0</v>
      </c>
      <c r="BE53" s="26">
        <v>0</v>
      </c>
      <c r="BF53" s="26">
        <v>0</v>
      </c>
      <c r="BG53" s="16">
        <v>346</v>
      </c>
      <c r="BH53" s="26">
        <v>0</v>
      </c>
      <c r="BI53" s="16">
        <v>0</v>
      </c>
      <c r="BJ53" s="26">
        <v>1</v>
      </c>
      <c r="BK53" s="26">
        <v>0</v>
      </c>
      <c r="BL53" s="26">
        <v>0</v>
      </c>
      <c r="BM53" s="26">
        <v>0</v>
      </c>
      <c r="BN53" s="26">
        <v>0</v>
      </c>
      <c r="BO53" s="16">
        <v>2</v>
      </c>
    </row>
    <row r="54" spans="1:68" s="5" customFormat="1" ht="21.9" customHeight="1" x14ac:dyDescent="0.25">
      <c r="A54" s="125" t="s">
        <v>92</v>
      </c>
      <c r="B54" s="4"/>
      <c r="C54" s="47" t="s">
        <v>75</v>
      </c>
      <c r="D54" s="48"/>
      <c r="E54" s="16">
        <v>15289</v>
      </c>
      <c r="F54" s="16">
        <v>174</v>
      </c>
      <c r="G54" s="16">
        <v>122</v>
      </c>
      <c r="H54" s="16">
        <v>170</v>
      </c>
      <c r="I54" s="16">
        <v>174</v>
      </c>
      <c r="J54" s="16">
        <v>13</v>
      </c>
      <c r="K54" s="16">
        <v>59</v>
      </c>
      <c r="L54" s="16">
        <v>129</v>
      </c>
      <c r="M54" s="16">
        <v>86</v>
      </c>
      <c r="N54" s="16">
        <v>18</v>
      </c>
      <c r="O54" s="16">
        <v>43</v>
      </c>
      <c r="P54" s="16">
        <v>7</v>
      </c>
      <c r="Q54" s="16">
        <v>27</v>
      </c>
      <c r="R54" s="16">
        <v>203</v>
      </c>
      <c r="S54" s="16">
        <v>67</v>
      </c>
      <c r="T54" s="16">
        <v>35</v>
      </c>
      <c r="U54" s="16">
        <v>375</v>
      </c>
      <c r="V54" s="16">
        <v>77</v>
      </c>
      <c r="W54" s="16">
        <v>118</v>
      </c>
      <c r="X54" s="16">
        <v>34</v>
      </c>
      <c r="Y54" s="16">
        <v>281</v>
      </c>
      <c r="Z54" s="16">
        <v>834</v>
      </c>
      <c r="AA54" s="16">
        <v>43</v>
      </c>
      <c r="AB54" s="16">
        <v>102</v>
      </c>
      <c r="AC54" s="16">
        <v>172</v>
      </c>
      <c r="AD54" s="16">
        <v>2901</v>
      </c>
      <c r="AE54" s="16">
        <v>1910</v>
      </c>
      <c r="AF54" s="16">
        <v>113</v>
      </c>
      <c r="AG54" s="16">
        <v>182</v>
      </c>
      <c r="AH54" s="16">
        <v>67</v>
      </c>
      <c r="AI54" s="16">
        <v>291</v>
      </c>
      <c r="AJ54" s="16">
        <v>1</v>
      </c>
      <c r="AK54" s="98">
        <v>87</v>
      </c>
      <c r="AL54" s="16">
        <v>56</v>
      </c>
      <c r="AM54" s="16">
        <v>19</v>
      </c>
      <c r="AN54" s="16">
        <v>436</v>
      </c>
      <c r="AO54" s="16">
        <v>9</v>
      </c>
      <c r="AP54" s="16">
        <v>5</v>
      </c>
      <c r="AQ54" s="16">
        <v>4</v>
      </c>
      <c r="AR54" s="16">
        <v>105</v>
      </c>
      <c r="AS54" s="16">
        <v>46</v>
      </c>
      <c r="AT54" s="16">
        <v>525</v>
      </c>
      <c r="AU54" s="16">
        <v>853</v>
      </c>
      <c r="AV54" s="16">
        <v>159</v>
      </c>
      <c r="AW54" s="16">
        <v>6</v>
      </c>
      <c r="AX54" s="16">
        <v>82</v>
      </c>
      <c r="AY54" s="16">
        <v>31</v>
      </c>
      <c r="AZ54" s="16">
        <v>0</v>
      </c>
      <c r="BA54" s="26">
        <v>1</v>
      </c>
      <c r="BB54" s="26">
        <v>3</v>
      </c>
      <c r="BC54" s="16">
        <v>0</v>
      </c>
      <c r="BD54" s="16">
        <v>188</v>
      </c>
      <c r="BE54" s="16">
        <v>218</v>
      </c>
      <c r="BF54" s="16">
        <v>126</v>
      </c>
      <c r="BG54" s="16">
        <v>1168</v>
      </c>
      <c r="BH54" s="16">
        <v>202</v>
      </c>
      <c r="BI54" s="16">
        <v>90</v>
      </c>
      <c r="BJ54" s="16">
        <v>772</v>
      </c>
      <c r="BK54" s="16">
        <v>205</v>
      </c>
      <c r="BL54" s="16">
        <v>761</v>
      </c>
      <c r="BM54" s="16">
        <v>178</v>
      </c>
      <c r="BN54" s="16">
        <v>0</v>
      </c>
      <c r="BO54" s="16">
        <v>126</v>
      </c>
    </row>
    <row r="55" spans="1:68" s="5" customFormat="1" ht="21.9" customHeight="1" x14ac:dyDescent="0.25">
      <c r="A55" s="125"/>
      <c r="B55" s="4"/>
      <c r="C55" s="47" t="s">
        <v>76</v>
      </c>
      <c r="D55" s="48"/>
      <c r="E55" s="16">
        <v>1270</v>
      </c>
      <c r="F55" s="26">
        <v>0</v>
      </c>
      <c r="G55" s="26">
        <v>0</v>
      </c>
      <c r="H55" s="26">
        <v>0</v>
      </c>
      <c r="I55" s="26">
        <v>3</v>
      </c>
      <c r="J55" s="26">
        <v>0</v>
      </c>
      <c r="K55" s="26">
        <v>1</v>
      </c>
      <c r="L55" s="26">
        <v>1</v>
      </c>
      <c r="M55" s="26">
        <v>0</v>
      </c>
      <c r="N55" s="26">
        <v>0</v>
      </c>
      <c r="O55" s="26">
        <v>5</v>
      </c>
      <c r="P55" s="26">
        <v>0</v>
      </c>
      <c r="Q55" s="26">
        <v>2</v>
      </c>
      <c r="R55" s="26">
        <v>13</v>
      </c>
      <c r="S55" s="26">
        <v>0</v>
      </c>
      <c r="T55" s="16">
        <v>3</v>
      </c>
      <c r="U55" s="16">
        <v>9</v>
      </c>
      <c r="V55" s="16">
        <v>0</v>
      </c>
      <c r="W55" s="16">
        <v>4</v>
      </c>
      <c r="X55" s="16">
        <v>2</v>
      </c>
      <c r="Y55" s="16">
        <v>3</v>
      </c>
      <c r="Z55" s="16">
        <v>7</v>
      </c>
      <c r="AA55" s="16">
        <v>0</v>
      </c>
      <c r="AB55" s="16">
        <v>0</v>
      </c>
      <c r="AC55" s="16">
        <v>15</v>
      </c>
      <c r="AD55" s="16">
        <v>17</v>
      </c>
      <c r="AE55" s="16">
        <v>55</v>
      </c>
      <c r="AF55" s="16">
        <v>5</v>
      </c>
      <c r="AG55" s="16">
        <v>6</v>
      </c>
      <c r="AH55" s="16">
        <v>8</v>
      </c>
      <c r="AI55" s="16">
        <v>0</v>
      </c>
      <c r="AJ55" s="26">
        <v>0</v>
      </c>
      <c r="AK55" s="98">
        <v>3</v>
      </c>
      <c r="AL55" s="26">
        <v>0</v>
      </c>
      <c r="AM55" s="26">
        <v>1</v>
      </c>
      <c r="AN55" s="16">
        <v>9</v>
      </c>
      <c r="AO55" s="16">
        <v>0</v>
      </c>
      <c r="AP55" s="26">
        <v>0</v>
      </c>
      <c r="AQ55" s="16">
        <v>0</v>
      </c>
      <c r="AR55" s="16">
        <v>13</v>
      </c>
      <c r="AS55" s="16">
        <v>1</v>
      </c>
      <c r="AT55" s="26">
        <v>0</v>
      </c>
      <c r="AU55" s="16">
        <v>7</v>
      </c>
      <c r="AV55" s="26">
        <v>0</v>
      </c>
      <c r="AW55" s="26">
        <v>0</v>
      </c>
      <c r="AX55" s="16">
        <v>5</v>
      </c>
      <c r="AY55" s="26">
        <v>1</v>
      </c>
      <c r="AZ55" s="26">
        <v>0</v>
      </c>
      <c r="BA55" s="26">
        <v>0</v>
      </c>
      <c r="BB55" s="26">
        <v>0</v>
      </c>
      <c r="BC55" s="26">
        <v>0</v>
      </c>
      <c r="BD55" s="26">
        <v>6</v>
      </c>
      <c r="BE55" s="16">
        <v>4</v>
      </c>
      <c r="BF55" s="16">
        <v>11</v>
      </c>
      <c r="BG55" s="16">
        <v>1040</v>
      </c>
      <c r="BH55" s="26">
        <v>0</v>
      </c>
      <c r="BI55" s="16">
        <v>6</v>
      </c>
      <c r="BJ55" s="26">
        <v>0</v>
      </c>
      <c r="BK55" s="26">
        <v>3</v>
      </c>
      <c r="BL55" s="16">
        <v>0</v>
      </c>
      <c r="BM55" s="26">
        <v>0</v>
      </c>
      <c r="BN55" s="26">
        <v>0</v>
      </c>
      <c r="BO55" s="26">
        <v>1</v>
      </c>
    </row>
    <row r="56" spans="1:68" s="5" customFormat="1" ht="21.9" customHeight="1" x14ac:dyDescent="0.25">
      <c r="A56" s="125" t="s">
        <v>93</v>
      </c>
      <c r="C56" s="47" t="s">
        <v>75</v>
      </c>
      <c r="D56" s="48"/>
      <c r="E56" s="16">
        <v>43633</v>
      </c>
      <c r="F56" s="16">
        <v>1662</v>
      </c>
      <c r="G56" s="16">
        <v>960</v>
      </c>
      <c r="H56" s="16">
        <v>362</v>
      </c>
      <c r="I56" s="16">
        <v>420</v>
      </c>
      <c r="J56" s="16">
        <v>82</v>
      </c>
      <c r="K56" s="16">
        <v>322</v>
      </c>
      <c r="L56" s="16">
        <v>678</v>
      </c>
      <c r="M56" s="16">
        <v>145</v>
      </c>
      <c r="N56" s="16">
        <v>82</v>
      </c>
      <c r="O56" s="16">
        <v>132</v>
      </c>
      <c r="P56" s="16">
        <v>0</v>
      </c>
      <c r="Q56" s="16">
        <v>37</v>
      </c>
      <c r="R56" s="16">
        <v>263</v>
      </c>
      <c r="S56" s="16">
        <v>130</v>
      </c>
      <c r="T56" s="16">
        <v>78</v>
      </c>
      <c r="U56" s="16">
        <v>1203</v>
      </c>
      <c r="V56" s="16">
        <v>167</v>
      </c>
      <c r="W56" s="16">
        <v>271</v>
      </c>
      <c r="X56" s="16">
        <v>169</v>
      </c>
      <c r="Y56" s="16">
        <v>3187</v>
      </c>
      <c r="Z56" s="16">
        <v>987</v>
      </c>
      <c r="AA56" s="16">
        <v>110</v>
      </c>
      <c r="AB56" s="16">
        <v>233</v>
      </c>
      <c r="AC56" s="16">
        <v>287</v>
      </c>
      <c r="AD56" s="16">
        <v>5920</v>
      </c>
      <c r="AE56" s="16">
        <v>5492</v>
      </c>
      <c r="AF56" s="16">
        <v>187</v>
      </c>
      <c r="AG56" s="16">
        <v>225</v>
      </c>
      <c r="AH56" s="16">
        <v>182</v>
      </c>
      <c r="AI56" s="16">
        <v>1896</v>
      </c>
      <c r="AJ56" s="16">
        <v>77</v>
      </c>
      <c r="AK56" s="98">
        <v>337</v>
      </c>
      <c r="AL56" s="16">
        <v>163</v>
      </c>
      <c r="AM56" s="16">
        <v>170</v>
      </c>
      <c r="AN56" s="16">
        <v>999</v>
      </c>
      <c r="AO56" s="16">
        <v>25</v>
      </c>
      <c r="AP56" s="16">
        <v>30</v>
      </c>
      <c r="AQ56" s="16">
        <v>36</v>
      </c>
      <c r="AR56" s="16">
        <v>138</v>
      </c>
      <c r="AS56" s="16">
        <v>260</v>
      </c>
      <c r="AT56" s="16">
        <v>1241</v>
      </c>
      <c r="AU56" s="16">
        <v>2824</v>
      </c>
      <c r="AV56" s="16">
        <v>1018</v>
      </c>
      <c r="AW56" s="16">
        <v>21</v>
      </c>
      <c r="AX56" s="16">
        <v>512</v>
      </c>
      <c r="AY56" s="16">
        <v>231</v>
      </c>
      <c r="AZ56" s="16">
        <v>0</v>
      </c>
      <c r="BA56" s="16">
        <v>4</v>
      </c>
      <c r="BB56" s="16">
        <v>120</v>
      </c>
      <c r="BC56" s="16">
        <v>161</v>
      </c>
      <c r="BD56" s="16">
        <v>374</v>
      </c>
      <c r="BE56" s="16">
        <v>671</v>
      </c>
      <c r="BF56" s="16">
        <v>839</v>
      </c>
      <c r="BG56" s="16">
        <v>3033</v>
      </c>
      <c r="BH56" s="16">
        <v>2</v>
      </c>
      <c r="BI56" s="16">
        <v>0</v>
      </c>
      <c r="BJ56" s="16">
        <v>1252</v>
      </c>
      <c r="BK56" s="16">
        <v>787</v>
      </c>
      <c r="BL56" s="16">
        <v>1431</v>
      </c>
      <c r="BM56" s="16">
        <v>173</v>
      </c>
      <c r="BN56" s="16">
        <v>0</v>
      </c>
      <c r="BO56" s="16">
        <v>835</v>
      </c>
      <c r="BP56" s="16"/>
    </row>
    <row r="57" spans="1:68" s="5" customFormat="1" ht="21.9" customHeight="1" x14ac:dyDescent="0.25">
      <c r="A57" s="125"/>
      <c r="C57" s="47" t="s">
        <v>76</v>
      </c>
      <c r="D57" s="48"/>
      <c r="E57" s="16">
        <v>344</v>
      </c>
      <c r="F57" s="26">
        <v>0</v>
      </c>
      <c r="G57" s="26">
        <v>0</v>
      </c>
      <c r="H57" s="26">
        <v>1</v>
      </c>
      <c r="I57" s="26">
        <v>0</v>
      </c>
      <c r="J57" s="26">
        <v>0</v>
      </c>
      <c r="K57" s="26">
        <v>1</v>
      </c>
      <c r="L57" s="26">
        <v>1</v>
      </c>
      <c r="M57" s="26">
        <v>0</v>
      </c>
      <c r="N57" s="26">
        <v>0</v>
      </c>
      <c r="O57" s="26">
        <v>0</v>
      </c>
      <c r="P57" s="26">
        <v>0</v>
      </c>
      <c r="Q57" s="26">
        <v>0</v>
      </c>
      <c r="R57" s="26">
        <v>0</v>
      </c>
      <c r="S57" s="26">
        <v>0</v>
      </c>
      <c r="T57" s="16">
        <v>0</v>
      </c>
      <c r="U57" s="16">
        <v>1</v>
      </c>
      <c r="V57" s="16">
        <v>0</v>
      </c>
      <c r="W57" s="16">
        <v>1</v>
      </c>
      <c r="X57" s="16">
        <v>0</v>
      </c>
      <c r="Y57" s="16">
        <v>1</v>
      </c>
      <c r="Z57" s="16">
        <v>0</v>
      </c>
      <c r="AA57" s="16">
        <v>0</v>
      </c>
      <c r="AB57" s="16">
        <v>0</v>
      </c>
      <c r="AC57" s="16">
        <v>0</v>
      </c>
      <c r="AD57" s="16">
        <v>8</v>
      </c>
      <c r="AE57" s="16">
        <v>0</v>
      </c>
      <c r="AF57" s="16">
        <v>0</v>
      </c>
      <c r="AG57" s="16">
        <v>21</v>
      </c>
      <c r="AH57" s="16">
        <v>7</v>
      </c>
      <c r="AI57" s="16">
        <v>0</v>
      </c>
      <c r="AJ57" s="16">
        <v>0</v>
      </c>
      <c r="AK57" s="98">
        <v>0</v>
      </c>
      <c r="AL57" s="16">
        <v>0</v>
      </c>
      <c r="AM57" s="16">
        <v>0</v>
      </c>
      <c r="AN57" s="16">
        <v>2</v>
      </c>
      <c r="AO57" s="26">
        <v>0</v>
      </c>
      <c r="AP57" s="26">
        <v>0</v>
      </c>
      <c r="AQ57" s="16">
        <v>0</v>
      </c>
      <c r="AR57" s="26">
        <v>0</v>
      </c>
      <c r="AS57" s="26">
        <v>0</v>
      </c>
      <c r="AT57" s="26">
        <v>0</v>
      </c>
      <c r="AU57" s="16">
        <v>0</v>
      </c>
      <c r="AV57" s="26">
        <v>0</v>
      </c>
      <c r="AW57" s="26">
        <v>0</v>
      </c>
      <c r="AX57" s="26">
        <v>0</v>
      </c>
      <c r="AY57" s="16">
        <v>0</v>
      </c>
      <c r="AZ57" s="26">
        <v>0</v>
      </c>
      <c r="BA57" s="26">
        <v>0</v>
      </c>
      <c r="BB57" s="26">
        <v>0</v>
      </c>
      <c r="BC57" s="26">
        <v>0</v>
      </c>
      <c r="BD57" s="26">
        <v>0</v>
      </c>
      <c r="BE57" s="16">
        <v>0</v>
      </c>
      <c r="BF57" s="16">
        <v>0</v>
      </c>
      <c r="BG57" s="16">
        <v>296</v>
      </c>
      <c r="BH57" s="16">
        <v>2</v>
      </c>
      <c r="BI57" s="26">
        <v>0</v>
      </c>
      <c r="BJ57" s="26">
        <v>2</v>
      </c>
      <c r="BK57" s="26">
        <v>0</v>
      </c>
      <c r="BL57" s="26">
        <v>0</v>
      </c>
      <c r="BM57" s="26">
        <v>0</v>
      </c>
      <c r="BN57" s="26">
        <v>0</v>
      </c>
      <c r="BO57" s="16">
        <v>0</v>
      </c>
      <c r="BP57" s="16"/>
    </row>
    <row r="58" spans="1:68" s="5" customFormat="1" ht="21.9" customHeight="1" x14ac:dyDescent="0.25">
      <c r="A58" s="125" t="s">
        <v>94</v>
      </c>
      <c r="B58" s="4"/>
      <c r="C58" s="47" t="s">
        <v>75</v>
      </c>
      <c r="D58" s="48"/>
      <c r="E58" s="16">
        <v>31675</v>
      </c>
      <c r="F58" s="16">
        <v>1002</v>
      </c>
      <c r="G58" s="16">
        <v>360</v>
      </c>
      <c r="H58" s="16">
        <v>935</v>
      </c>
      <c r="I58" s="16">
        <v>915</v>
      </c>
      <c r="J58" s="16">
        <v>0</v>
      </c>
      <c r="K58" s="16">
        <v>199</v>
      </c>
      <c r="L58" s="16">
        <v>1125</v>
      </c>
      <c r="M58" s="16">
        <v>260</v>
      </c>
      <c r="N58" s="16">
        <v>0</v>
      </c>
      <c r="O58" s="16">
        <v>510</v>
      </c>
      <c r="P58" s="16">
        <v>0</v>
      </c>
      <c r="Q58" s="16">
        <v>490</v>
      </c>
      <c r="R58" s="16">
        <v>1000</v>
      </c>
      <c r="S58" s="16">
        <v>375</v>
      </c>
      <c r="T58" s="16">
        <v>110</v>
      </c>
      <c r="U58" s="16">
        <v>1657</v>
      </c>
      <c r="V58" s="16">
        <v>85</v>
      </c>
      <c r="W58" s="16">
        <v>506</v>
      </c>
      <c r="X58" s="16">
        <v>250</v>
      </c>
      <c r="Y58" s="16">
        <v>730</v>
      </c>
      <c r="Z58" s="16">
        <v>807</v>
      </c>
      <c r="AA58" s="16">
        <v>156</v>
      </c>
      <c r="AB58" s="16">
        <v>380</v>
      </c>
      <c r="AC58" s="16">
        <v>360</v>
      </c>
      <c r="AD58" s="16">
        <v>2714</v>
      </c>
      <c r="AE58" s="16">
        <v>1655</v>
      </c>
      <c r="AF58" s="16">
        <v>315</v>
      </c>
      <c r="AG58" s="16">
        <v>78</v>
      </c>
      <c r="AH58" s="16">
        <v>730</v>
      </c>
      <c r="AI58" s="16">
        <v>548</v>
      </c>
      <c r="AJ58" s="16">
        <v>290</v>
      </c>
      <c r="AK58" s="98">
        <v>218</v>
      </c>
      <c r="AL58" s="16">
        <v>282</v>
      </c>
      <c r="AM58" s="16">
        <v>203</v>
      </c>
      <c r="AN58" s="16">
        <v>1320</v>
      </c>
      <c r="AO58" s="16">
        <v>385</v>
      </c>
      <c r="AP58" s="16">
        <v>470</v>
      </c>
      <c r="AQ58" s="16">
        <v>0</v>
      </c>
      <c r="AR58" s="16">
        <v>125</v>
      </c>
      <c r="AS58" s="16">
        <v>635</v>
      </c>
      <c r="AT58" s="16">
        <v>420</v>
      </c>
      <c r="AU58" s="16">
        <v>2085</v>
      </c>
      <c r="AV58" s="16">
        <v>661</v>
      </c>
      <c r="AW58" s="16">
        <v>50</v>
      </c>
      <c r="AX58" s="16">
        <v>476</v>
      </c>
      <c r="AY58" s="16">
        <v>185</v>
      </c>
      <c r="AZ58" s="26">
        <v>5</v>
      </c>
      <c r="BA58" s="26">
        <v>0</v>
      </c>
      <c r="BB58" s="26">
        <v>0</v>
      </c>
      <c r="BC58" s="16">
        <v>0</v>
      </c>
      <c r="BD58" s="16">
        <v>249</v>
      </c>
      <c r="BE58" s="16">
        <v>901</v>
      </c>
      <c r="BF58" s="16">
        <v>485</v>
      </c>
      <c r="BG58" s="16">
        <v>985</v>
      </c>
      <c r="BH58" s="16">
        <v>715</v>
      </c>
      <c r="BI58" s="16">
        <v>132</v>
      </c>
      <c r="BJ58" s="16">
        <v>338</v>
      </c>
      <c r="BK58" s="16">
        <v>941</v>
      </c>
      <c r="BL58" s="26">
        <v>141</v>
      </c>
      <c r="BM58" s="16">
        <v>120</v>
      </c>
      <c r="BN58" s="16">
        <v>286</v>
      </c>
      <c r="BO58" s="16">
        <v>320</v>
      </c>
    </row>
    <row r="59" spans="1:68" s="5" customFormat="1" ht="21.9" customHeight="1" x14ac:dyDescent="0.25">
      <c r="A59" s="125"/>
      <c r="B59" s="4"/>
      <c r="C59" s="47" t="s">
        <v>76</v>
      </c>
      <c r="D59" s="48"/>
      <c r="E59" s="16">
        <v>208</v>
      </c>
      <c r="F59" s="26">
        <v>0</v>
      </c>
      <c r="G59" s="26">
        <v>0</v>
      </c>
      <c r="H59" s="26">
        <v>0</v>
      </c>
      <c r="I59" s="26">
        <v>1</v>
      </c>
      <c r="J59" s="26">
        <v>0</v>
      </c>
      <c r="K59" s="26">
        <v>0</v>
      </c>
      <c r="L59" s="26">
        <v>2</v>
      </c>
      <c r="M59" s="26">
        <v>0</v>
      </c>
      <c r="N59" s="26">
        <v>0</v>
      </c>
      <c r="O59" s="26">
        <v>0</v>
      </c>
      <c r="P59" s="26">
        <v>0</v>
      </c>
      <c r="Q59" s="26">
        <v>0</v>
      </c>
      <c r="R59" s="26">
        <v>2</v>
      </c>
      <c r="S59" s="26">
        <v>0</v>
      </c>
      <c r="T59" s="16">
        <v>0</v>
      </c>
      <c r="U59" s="16">
        <v>3</v>
      </c>
      <c r="V59" s="16">
        <v>0</v>
      </c>
      <c r="W59" s="16">
        <v>1</v>
      </c>
      <c r="X59" s="16">
        <v>1</v>
      </c>
      <c r="Y59" s="16">
        <v>0</v>
      </c>
      <c r="Z59" s="16">
        <v>9</v>
      </c>
      <c r="AA59" s="16">
        <v>0</v>
      </c>
      <c r="AB59" s="16">
        <v>1</v>
      </c>
      <c r="AC59" s="16">
        <v>0</v>
      </c>
      <c r="AD59" s="16">
        <v>2</v>
      </c>
      <c r="AE59" s="16">
        <v>8</v>
      </c>
      <c r="AF59" s="16">
        <v>0</v>
      </c>
      <c r="AG59" s="16">
        <v>3</v>
      </c>
      <c r="AH59" s="16">
        <v>1</v>
      </c>
      <c r="AI59" s="16">
        <v>0</v>
      </c>
      <c r="AJ59" s="16">
        <v>0</v>
      </c>
      <c r="AK59" s="98">
        <v>0</v>
      </c>
      <c r="AL59" s="16">
        <v>0</v>
      </c>
      <c r="AM59" s="16">
        <v>1</v>
      </c>
      <c r="AN59" s="16">
        <v>0</v>
      </c>
      <c r="AO59" s="26">
        <v>0</v>
      </c>
      <c r="AP59" s="26">
        <v>0</v>
      </c>
      <c r="AQ59" s="26">
        <v>0</v>
      </c>
      <c r="AR59" s="16">
        <v>0</v>
      </c>
      <c r="AS59" s="16">
        <v>7</v>
      </c>
      <c r="AT59" s="26">
        <v>0</v>
      </c>
      <c r="AU59" s="16">
        <v>0</v>
      </c>
      <c r="AV59" s="16">
        <v>3</v>
      </c>
      <c r="AW59" s="26">
        <v>0</v>
      </c>
      <c r="AX59" s="16">
        <v>0</v>
      </c>
      <c r="AY59" s="16">
        <v>0</v>
      </c>
      <c r="AZ59" s="26">
        <v>5</v>
      </c>
      <c r="BA59" s="26">
        <v>0</v>
      </c>
      <c r="BB59" s="26">
        <v>0</v>
      </c>
      <c r="BC59" s="26">
        <v>0</v>
      </c>
      <c r="BD59" s="26">
        <v>0</v>
      </c>
      <c r="BE59" s="16">
        <v>0</v>
      </c>
      <c r="BF59" s="26">
        <v>0</v>
      </c>
      <c r="BG59" s="16">
        <v>148</v>
      </c>
      <c r="BH59" s="26">
        <v>2</v>
      </c>
      <c r="BI59" s="16">
        <v>1</v>
      </c>
      <c r="BJ59" s="16">
        <v>7</v>
      </c>
      <c r="BK59" s="16">
        <v>0</v>
      </c>
      <c r="BL59" s="26">
        <v>0</v>
      </c>
      <c r="BM59" s="26">
        <v>0</v>
      </c>
      <c r="BN59" s="26">
        <v>0</v>
      </c>
      <c r="BO59" s="26">
        <v>0</v>
      </c>
    </row>
    <row r="60" spans="1:68" s="5" customFormat="1" ht="21.9" customHeight="1" x14ac:dyDescent="0.25">
      <c r="A60" s="125" t="s">
        <v>95</v>
      </c>
      <c r="B60" s="4"/>
      <c r="C60" s="47" t="s">
        <v>75</v>
      </c>
      <c r="D60" s="48"/>
      <c r="E60" s="28">
        <v>11372</v>
      </c>
      <c r="F60" s="16">
        <v>150</v>
      </c>
      <c r="G60" s="16">
        <v>250</v>
      </c>
      <c r="H60" s="16">
        <v>1430</v>
      </c>
      <c r="I60" s="16">
        <v>260</v>
      </c>
      <c r="J60" s="16">
        <v>0</v>
      </c>
      <c r="K60" s="16">
        <v>4205</v>
      </c>
      <c r="L60" s="16">
        <v>306</v>
      </c>
      <c r="M60" s="16">
        <v>152</v>
      </c>
      <c r="N60" s="16">
        <v>63</v>
      </c>
      <c r="O60" s="16">
        <v>50</v>
      </c>
      <c r="P60" s="16">
        <v>0</v>
      </c>
      <c r="Q60" s="16">
        <v>74</v>
      </c>
      <c r="R60" s="16">
        <v>205</v>
      </c>
      <c r="S60" s="16">
        <v>0</v>
      </c>
      <c r="T60" s="16">
        <v>11</v>
      </c>
      <c r="U60" s="16">
        <v>126</v>
      </c>
      <c r="V60" s="26">
        <v>0</v>
      </c>
      <c r="W60" s="16">
        <v>0</v>
      </c>
      <c r="X60" s="16">
        <v>12</v>
      </c>
      <c r="Y60" s="16">
        <v>51</v>
      </c>
      <c r="Z60" s="16">
        <v>72</v>
      </c>
      <c r="AA60" s="26">
        <v>0</v>
      </c>
      <c r="AB60" s="16">
        <v>1020</v>
      </c>
      <c r="AC60" s="26">
        <v>125</v>
      </c>
      <c r="AD60" s="16">
        <v>395</v>
      </c>
      <c r="AE60" s="26">
        <v>265</v>
      </c>
      <c r="AF60" s="26">
        <v>12</v>
      </c>
      <c r="AG60" s="16">
        <v>834</v>
      </c>
      <c r="AH60" s="16">
        <v>116</v>
      </c>
      <c r="AI60" s="26">
        <v>0</v>
      </c>
      <c r="AJ60" s="26">
        <v>0</v>
      </c>
      <c r="AK60" s="98">
        <v>248</v>
      </c>
      <c r="AL60" s="16">
        <v>0</v>
      </c>
      <c r="AM60" s="26">
        <v>36</v>
      </c>
      <c r="AN60" s="26">
        <v>21</v>
      </c>
      <c r="AO60" s="26">
        <v>0</v>
      </c>
      <c r="AP60" s="26">
        <v>0</v>
      </c>
      <c r="AQ60" s="26">
        <v>0</v>
      </c>
      <c r="AR60" s="16">
        <v>28</v>
      </c>
      <c r="AS60" s="16">
        <v>158</v>
      </c>
      <c r="AT60" s="16">
        <v>0</v>
      </c>
      <c r="AU60" s="16">
        <v>58</v>
      </c>
      <c r="AV60" s="16">
        <v>4</v>
      </c>
      <c r="AW60" s="26">
        <v>0</v>
      </c>
      <c r="AX60" s="16">
        <v>0</v>
      </c>
      <c r="AY60" s="26">
        <v>0</v>
      </c>
      <c r="AZ60" s="26">
        <v>0</v>
      </c>
      <c r="BA60" s="26">
        <v>0</v>
      </c>
      <c r="BB60" s="26">
        <v>0</v>
      </c>
      <c r="BC60" s="26">
        <v>0</v>
      </c>
      <c r="BD60" s="26">
        <v>0</v>
      </c>
      <c r="BE60" s="16">
        <v>240</v>
      </c>
      <c r="BF60" s="16">
        <v>0</v>
      </c>
      <c r="BG60" s="26">
        <v>0</v>
      </c>
      <c r="BH60" s="26">
        <v>0</v>
      </c>
      <c r="BI60" s="16">
        <v>4</v>
      </c>
      <c r="BJ60" s="26">
        <v>0</v>
      </c>
      <c r="BK60" s="26">
        <v>210</v>
      </c>
      <c r="BL60" s="16">
        <v>144</v>
      </c>
      <c r="BM60" s="16">
        <v>35</v>
      </c>
      <c r="BN60" s="26">
        <v>0</v>
      </c>
      <c r="BO60" s="16">
        <v>2</v>
      </c>
    </row>
    <row r="61" spans="1:68" s="5" customFormat="1" ht="21.9" customHeight="1" x14ac:dyDescent="0.25">
      <c r="A61" s="125"/>
      <c r="B61" s="4"/>
      <c r="C61" s="47" t="s">
        <v>76</v>
      </c>
      <c r="D61" s="48"/>
      <c r="E61" s="28">
        <v>3</v>
      </c>
      <c r="F61" s="26">
        <v>0</v>
      </c>
      <c r="G61" s="26">
        <v>0</v>
      </c>
      <c r="H61" s="26">
        <v>0</v>
      </c>
      <c r="I61" s="26">
        <v>0</v>
      </c>
      <c r="J61" s="26">
        <v>0</v>
      </c>
      <c r="K61" s="26">
        <v>0</v>
      </c>
      <c r="L61" s="26">
        <v>0</v>
      </c>
      <c r="M61" s="26">
        <v>0</v>
      </c>
      <c r="N61" s="26">
        <v>0</v>
      </c>
      <c r="O61" s="26">
        <v>0</v>
      </c>
      <c r="P61" s="26">
        <v>0</v>
      </c>
      <c r="Q61" s="26">
        <v>0</v>
      </c>
      <c r="R61" s="26">
        <v>2</v>
      </c>
      <c r="S61" s="26">
        <v>0</v>
      </c>
      <c r="T61" s="26">
        <v>0</v>
      </c>
      <c r="U61" s="26">
        <v>0</v>
      </c>
      <c r="V61" s="26">
        <v>0</v>
      </c>
      <c r="W61" s="26">
        <v>0</v>
      </c>
      <c r="X61" s="26">
        <v>0</v>
      </c>
      <c r="Y61" s="26">
        <v>0</v>
      </c>
      <c r="Z61" s="26">
        <v>0</v>
      </c>
      <c r="AA61" s="26">
        <v>0</v>
      </c>
      <c r="AB61" s="26">
        <v>0</v>
      </c>
      <c r="AC61" s="26">
        <v>0</v>
      </c>
      <c r="AD61" s="26">
        <v>0</v>
      </c>
      <c r="AE61" s="26">
        <v>0</v>
      </c>
      <c r="AF61" s="26">
        <v>0</v>
      </c>
      <c r="AG61" s="26">
        <v>0</v>
      </c>
      <c r="AH61" s="26">
        <v>1</v>
      </c>
      <c r="AI61" s="26">
        <v>0</v>
      </c>
      <c r="AJ61" s="26">
        <v>0</v>
      </c>
      <c r="AK61" s="99">
        <v>0</v>
      </c>
      <c r="AL61" s="26">
        <v>0</v>
      </c>
      <c r="AM61" s="26">
        <v>0</v>
      </c>
      <c r="AN61" s="26">
        <v>0</v>
      </c>
      <c r="AO61" s="26">
        <v>0</v>
      </c>
      <c r="AP61" s="26">
        <v>0</v>
      </c>
      <c r="AQ61" s="26">
        <v>0</v>
      </c>
      <c r="AR61" s="26">
        <v>0</v>
      </c>
      <c r="AS61" s="26">
        <v>0</v>
      </c>
      <c r="AT61" s="26">
        <v>0</v>
      </c>
      <c r="AU61" s="26">
        <v>0</v>
      </c>
      <c r="AV61" s="26">
        <v>0</v>
      </c>
      <c r="AW61" s="26">
        <v>0</v>
      </c>
      <c r="AX61" s="26">
        <v>0</v>
      </c>
      <c r="AY61" s="26">
        <v>0</v>
      </c>
      <c r="AZ61" s="26">
        <v>0</v>
      </c>
      <c r="BA61" s="26">
        <v>0</v>
      </c>
      <c r="BB61" s="26">
        <v>0</v>
      </c>
      <c r="BC61" s="26">
        <v>0</v>
      </c>
      <c r="BD61" s="26">
        <v>0</v>
      </c>
      <c r="BE61" s="26">
        <v>0</v>
      </c>
      <c r="BF61" s="16">
        <v>0</v>
      </c>
      <c r="BG61" s="26">
        <v>0</v>
      </c>
      <c r="BH61" s="26">
        <v>0</v>
      </c>
      <c r="BI61" s="26">
        <v>0</v>
      </c>
      <c r="BJ61" s="26">
        <v>0</v>
      </c>
      <c r="BK61" s="26">
        <v>0</v>
      </c>
      <c r="BL61" s="26">
        <v>0</v>
      </c>
      <c r="BM61" s="26">
        <v>0</v>
      </c>
      <c r="BN61" s="26">
        <v>0</v>
      </c>
      <c r="BO61" s="26">
        <v>0</v>
      </c>
    </row>
    <row r="62" spans="1:68" s="5" customFormat="1" ht="21.9" customHeight="1" x14ac:dyDescent="0.25">
      <c r="A62" s="125" t="s">
        <v>96</v>
      </c>
      <c r="B62" s="4"/>
      <c r="C62" s="47" t="s">
        <v>75</v>
      </c>
      <c r="D62" s="48"/>
      <c r="E62" s="28">
        <v>2277</v>
      </c>
      <c r="F62" s="16">
        <v>44</v>
      </c>
      <c r="G62" s="16">
        <v>17</v>
      </c>
      <c r="H62" s="16">
        <v>731</v>
      </c>
      <c r="I62" s="16">
        <v>0</v>
      </c>
      <c r="J62" s="16">
        <v>0</v>
      </c>
      <c r="K62" s="16">
        <v>30</v>
      </c>
      <c r="L62" s="16">
        <v>47</v>
      </c>
      <c r="M62" s="16">
        <v>5</v>
      </c>
      <c r="N62" s="16">
        <v>6</v>
      </c>
      <c r="O62" s="16">
        <v>0</v>
      </c>
      <c r="P62" s="16">
        <v>0</v>
      </c>
      <c r="Q62" s="16">
        <v>39</v>
      </c>
      <c r="R62" s="16">
        <v>45</v>
      </c>
      <c r="S62" s="16">
        <v>30</v>
      </c>
      <c r="T62" s="16">
        <v>18</v>
      </c>
      <c r="U62" s="16">
        <v>31</v>
      </c>
      <c r="V62" s="16">
        <v>10</v>
      </c>
      <c r="W62" s="16">
        <v>10</v>
      </c>
      <c r="X62" s="16">
        <v>0</v>
      </c>
      <c r="Y62" s="16">
        <v>73</v>
      </c>
      <c r="Z62" s="16">
        <v>0</v>
      </c>
      <c r="AA62" s="16">
        <v>0</v>
      </c>
      <c r="AB62" s="16">
        <v>7</v>
      </c>
      <c r="AC62" s="16">
        <v>0</v>
      </c>
      <c r="AD62" s="16">
        <v>476</v>
      </c>
      <c r="AE62" s="26">
        <v>6</v>
      </c>
      <c r="AF62" s="16">
        <v>0</v>
      </c>
      <c r="AG62" s="16">
        <v>548</v>
      </c>
      <c r="AH62" s="16">
        <v>0</v>
      </c>
      <c r="AI62" s="16">
        <v>33</v>
      </c>
      <c r="AJ62" s="26">
        <v>0</v>
      </c>
      <c r="AK62" s="98">
        <v>2</v>
      </c>
      <c r="AL62" s="16">
        <v>0</v>
      </c>
      <c r="AM62" s="16">
        <v>3</v>
      </c>
      <c r="AN62" s="16">
        <v>0</v>
      </c>
      <c r="AO62" s="26">
        <v>0</v>
      </c>
      <c r="AP62" s="26">
        <v>0</v>
      </c>
      <c r="AQ62" s="26">
        <v>0</v>
      </c>
      <c r="AR62" s="16">
        <v>3</v>
      </c>
      <c r="AS62" s="16">
        <v>36</v>
      </c>
      <c r="AT62" s="26">
        <v>5</v>
      </c>
      <c r="AU62" s="16">
        <v>7</v>
      </c>
      <c r="AV62" s="16">
        <v>5</v>
      </c>
      <c r="AW62" s="26">
        <v>0</v>
      </c>
      <c r="AX62" s="16">
        <v>0</v>
      </c>
      <c r="AY62" s="26">
        <v>0</v>
      </c>
      <c r="AZ62" s="26">
        <v>0</v>
      </c>
      <c r="BA62" s="26">
        <v>0</v>
      </c>
      <c r="BB62" s="26">
        <v>0</v>
      </c>
      <c r="BC62" s="26">
        <v>0</v>
      </c>
      <c r="BD62" s="26">
        <v>0</v>
      </c>
      <c r="BE62" s="16">
        <v>0</v>
      </c>
      <c r="BF62" s="16">
        <v>0</v>
      </c>
      <c r="BG62" s="26">
        <v>0</v>
      </c>
      <c r="BH62" s="26">
        <v>0</v>
      </c>
      <c r="BI62" s="26">
        <v>0</v>
      </c>
      <c r="BJ62" s="26">
        <v>9</v>
      </c>
      <c r="BK62" s="16">
        <v>0</v>
      </c>
      <c r="BL62" s="16">
        <v>0</v>
      </c>
      <c r="BM62" s="26">
        <v>0</v>
      </c>
      <c r="BN62" s="26">
        <v>0</v>
      </c>
      <c r="BO62" s="16">
        <v>1</v>
      </c>
    </row>
    <row r="63" spans="1:68" s="5" customFormat="1" ht="21.9" customHeight="1" x14ac:dyDescent="0.25">
      <c r="A63" s="134"/>
      <c r="B63" s="6"/>
      <c r="C63" s="49" t="s">
        <v>76</v>
      </c>
      <c r="D63" s="50"/>
      <c r="E63" s="79">
        <v>484</v>
      </c>
      <c r="F63" s="56">
        <v>0</v>
      </c>
      <c r="G63" s="56">
        <v>0</v>
      </c>
      <c r="H63" s="56">
        <v>167</v>
      </c>
      <c r="I63" s="56">
        <v>0</v>
      </c>
      <c r="J63" s="56">
        <v>0</v>
      </c>
      <c r="K63" s="56">
        <v>0</v>
      </c>
      <c r="L63" s="56">
        <v>23</v>
      </c>
      <c r="M63" s="56">
        <v>0</v>
      </c>
      <c r="N63" s="56">
        <v>0</v>
      </c>
      <c r="O63" s="56">
        <v>0</v>
      </c>
      <c r="P63" s="56">
        <v>0</v>
      </c>
      <c r="Q63" s="56">
        <v>0</v>
      </c>
      <c r="R63" s="56">
        <v>0</v>
      </c>
      <c r="S63" s="56">
        <v>15</v>
      </c>
      <c r="T63" s="56">
        <v>0</v>
      </c>
      <c r="U63" s="56">
        <v>0</v>
      </c>
      <c r="V63" s="56">
        <v>0</v>
      </c>
      <c r="W63" s="57">
        <v>0</v>
      </c>
      <c r="X63" s="56">
        <v>0</v>
      </c>
      <c r="Y63" s="56">
        <v>0</v>
      </c>
      <c r="Z63" s="56">
        <v>0</v>
      </c>
      <c r="AA63" s="56">
        <v>0</v>
      </c>
      <c r="AB63" s="56">
        <v>0</v>
      </c>
      <c r="AC63" s="57">
        <v>0</v>
      </c>
      <c r="AD63" s="56">
        <v>270</v>
      </c>
      <c r="AE63" s="56">
        <v>0</v>
      </c>
      <c r="AF63" s="56">
        <v>0</v>
      </c>
      <c r="AG63" s="57">
        <v>3</v>
      </c>
      <c r="AH63" s="56">
        <v>0</v>
      </c>
      <c r="AI63" s="56">
        <v>6</v>
      </c>
      <c r="AJ63" s="56">
        <v>0</v>
      </c>
      <c r="AK63" s="55">
        <v>0</v>
      </c>
      <c r="AL63" s="56">
        <v>0</v>
      </c>
      <c r="AM63" s="56">
        <v>0</v>
      </c>
      <c r="AN63" s="56">
        <v>0</v>
      </c>
      <c r="AO63" s="56">
        <v>0</v>
      </c>
      <c r="AP63" s="56">
        <v>0</v>
      </c>
      <c r="AQ63" s="56">
        <v>0</v>
      </c>
      <c r="AR63" s="56">
        <v>0</v>
      </c>
      <c r="AS63" s="56">
        <v>0</v>
      </c>
      <c r="AT63" s="56">
        <v>0</v>
      </c>
      <c r="AU63" s="56">
        <v>0</v>
      </c>
      <c r="AV63" s="56">
        <v>0</v>
      </c>
      <c r="AW63" s="56">
        <v>0</v>
      </c>
      <c r="AX63" s="56">
        <v>0</v>
      </c>
      <c r="AY63" s="56">
        <v>0</v>
      </c>
      <c r="AZ63" s="56">
        <v>0</v>
      </c>
      <c r="BA63" s="56">
        <v>0</v>
      </c>
      <c r="BB63" s="56">
        <v>0</v>
      </c>
      <c r="BC63" s="56">
        <v>0</v>
      </c>
      <c r="BD63" s="56">
        <v>0</v>
      </c>
      <c r="BE63" s="56">
        <v>0</v>
      </c>
      <c r="BF63" s="56">
        <v>0</v>
      </c>
      <c r="BG63" s="56">
        <v>0</v>
      </c>
      <c r="BH63" s="56">
        <v>0</v>
      </c>
      <c r="BI63" s="56">
        <v>0</v>
      </c>
      <c r="BJ63" s="56">
        <v>0</v>
      </c>
      <c r="BK63" s="56">
        <v>0</v>
      </c>
      <c r="BL63" s="56">
        <v>0</v>
      </c>
      <c r="BM63" s="56">
        <v>0</v>
      </c>
      <c r="BN63" s="56">
        <v>0</v>
      </c>
      <c r="BO63" s="57">
        <v>0</v>
      </c>
    </row>
    <row r="64" spans="1:68" s="5" customFormat="1" ht="21.9" customHeight="1" x14ac:dyDescent="0.3">
      <c r="A64" s="76" t="s">
        <v>188</v>
      </c>
      <c r="AK64" s="63" t="s">
        <v>191</v>
      </c>
      <c r="AL64" s="63"/>
      <c r="AM64" s="63"/>
      <c r="AN64" s="64"/>
      <c r="AO64" s="64"/>
      <c r="AP64" s="63" t="s">
        <v>178</v>
      </c>
      <c r="AQ64" s="63"/>
      <c r="AR64" s="62"/>
      <c r="AS64" s="63"/>
      <c r="AT64" s="62"/>
      <c r="AU64" s="58"/>
      <c r="AV64" s="63"/>
      <c r="AW64" s="62" t="s">
        <v>179</v>
      </c>
      <c r="AX64" s="64"/>
      <c r="AY64" s="64"/>
      <c r="AZ64" s="62"/>
      <c r="BA64" s="58"/>
      <c r="BB64" s="63"/>
      <c r="BC64" s="62"/>
      <c r="BD64" s="65"/>
      <c r="BE64" s="64"/>
      <c r="BF64" s="5" t="s">
        <v>180</v>
      </c>
      <c r="BG64" s="58"/>
      <c r="BH64" s="76"/>
      <c r="BI64" s="62"/>
      <c r="BJ64" s="62"/>
    </row>
    <row r="65" spans="5:62" s="5" customFormat="1" ht="21.9" customHeight="1" x14ac:dyDescent="0.3">
      <c r="AK65" s="63"/>
      <c r="AL65" s="63"/>
      <c r="AM65" s="63"/>
      <c r="AN65" s="64"/>
      <c r="AO65" s="64"/>
      <c r="AP65" s="64"/>
      <c r="AQ65" s="65"/>
      <c r="AR65" s="63"/>
      <c r="AS65" s="63"/>
      <c r="AT65" s="63"/>
      <c r="AU65" s="58"/>
      <c r="AV65" s="63"/>
      <c r="AW65" s="65" t="s">
        <v>181</v>
      </c>
      <c r="AX65" s="63"/>
      <c r="AY65" s="63"/>
      <c r="AZ65" s="62"/>
      <c r="BA65" s="63"/>
      <c r="BB65" s="63"/>
      <c r="BC65" s="62"/>
      <c r="BD65" s="65"/>
      <c r="BE65" s="63"/>
      <c r="BF65" s="62"/>
      <c r="BG65" s="59"/>
      <c r="BH65" s="58"/>
      <c r="BI65" s="62"/>
      <c r="BJ65" s="62"/>
    </row>
    <row r="66" spans="5:62" ht="21.9" customHeight="1" x14ac:dyDescent="0.3">
      <c r="AK66" s="76" t="s">
        <v>192</v>
      </c>
      <c r="AL66" s="62"/>
      <c r="AM66" s="58"/>
      <c r="AN66" s="76"/>
      <c r="AO66" s="76"/>
      <c r="AP66" s="77"/>
      <c r="AQ66" s="76"/>
      <c r="AR66" s="74"/>
      <c r="AS66" s="76"/>
      <c r="AT66" s="76"/>
      <c r="AU66" s="76"/>
      <c r="AV66" s="76"/>
      <c r="AW66" s="76"/>
      <c r="AX66" s="77"/>
      <c r="AY66" s="76"/>
      <c r="AZ66" s="76"/>
      <c r="BA66" s="76"/>
      <c r="BB66" s="76"/>
      <c r="BC66" s="59"/>
      <c r="BD66" s="59"/>
      <c r="BE66" s="59"/>
      <c r="BF66" s="75"/>
      <c r="BG66" s="59"/>
      <c r="BH66" s="58"/>
      <c r="BI66" s="62"/>
      <c r="BJ66" s="62"/>
    </row>
    <row r="67" spans="5:62" ht="21.9" customHeight="1" x14ac:dyDescent="0.3">
      <c r="E67" s="16"/>
      <c r="AK67" s="5" t="s">
        <v>195</v>
      </c>
      <c r="AL67" s="62"/>
      <c r="AM67" s="58"/>
      <c r="AN67" s="76"/>
      <c r="AO67" s="76"/>
      <c r="AP67" s="77"/>
      <c r="AQ67" s="76"/>
      <c r="AR67" s="74"/>
      <c r="AS67" s="76"/>
      <c r="AT67" s="76"/>
      <c r="AU67" s="76"/>
      <c r="AV67" s="76"/>
      <c r="AW67" s="76"/>
      <c r="AX67" s="77"/>
      <c r="AY67" s="76"/>
      <c r="AZ67" s="76"/>
      <c r="BA67" s="76"/>
      <c r="BB67" s="76"/>
      <c r="BC67" s="59"/>
      <c r="BD67" s="59"/>
      <c r="BE67" s="59"/>
      <c r="BF67" s="75"/>
      <c r="BG67" s="78"/>
      <c r="BH67" s="78"/>
      <c r="BI67" s="62"/>
      <c r="BJ67" s="62"/>
    </row>
    <row r="68" spans="5:62" ht="21.9" customHeight="1" x14ac:dyDescent="0.3">
      <c r="E68" s="8"/>
      <c r="AK68" s="76" t="s">
        <v>193</v>
      </c>
      <c r="AL68" s="76"/>
      <c r="AM68" s="76"/>
      <c r="AN68" s="77"/>
      <c r="AO68" s="76"/>
      <c r="AP68" s="74"/>
      <c r="AQ68" s="74"/>
      <c r="AR68" s="74"/>
      <c r="AS68" s="76"/>
      <c r="AT68" s="76"/>
      <c r="AU68" s="76"/>
      <c r="AV68" s="76"/>
      <c r="AW68" s="76"/>
      <c r="AX68" s="77"/>
      <c r="AY68" s="76"/>
      <c r="AZ68" s="76"/>
      <c r="BA68" s="76"/>
      <c r="BB68" s="76"/>
      <c r="BC68" s="59"/>
      <c r="BD68" s="59"/>
      <c r="BE68" s="59"/>
      <c r="BF68" s="75"/>
      <c r="BG68" s="78"/>
      <c r="BH68" s="78"/>
      <c r="BI68" s="62"/>
      <c r="BJ68" s="62"/>
    </row>
  </sheetData>
  <mergeCells count="122">
    <mergeCell ref="AO6:AQ6"/>
    <mergeCell ref="AG6:AJ6"/>
    <mergeCell ref="AK6:AN6"/>
    <mergeCell ref="AH1:AJ1"/>
    <mergeCell ref="BK1:BL1"/>
    <mergeCell ref="AK4:BO4"/>
    <mergeCell ref="BM1:BO1"/>
    <mergeCell ref="AF2:AG2"/>
    <mergeCell ref="AH2:AJ2"/>
    <mergeCell ref="BK2:BL2"/>
    <mergeCell ref="BM2:BO2"/>
    <mergeCell ref="BM6:BO6"/>
    <mergeCell ref="A30:A31"/>
    <mergeCell ref="A32:A33"/>
    <mergeCell ref="A3:AJ3"/>
    <mergeCell ref="A58:A59"/>
    <mergeCell ref="Z7:Z11"/>
    <mergeCell ref="AE7:AE11"/>
    <mergeCell ref="AF7:AF11"/>
    <mergeCell ref="AG7:AG11"/>
    <mergeCell ref="AK1:AL1"/>
    <mergeCell ref="AF1:AG1"/>
    <mergeCell ref="F7:F11"/>
    <mergeCell ref="AJ7:AJ11"/>
    <mergeCell ref="AK7:AK11"/>
    <mergeCell ref="AL7:AL11"/>
    <mergeCell ref="AK3:BO3"/>
    <mergeCell ref="A4:AJ4"/>
    <mergeCell ref="AA7:AA11"/>
    <mergeCell ref="AB7:AB11"/>
    <mergeCell ref="BL7:BL11"/>
    <mergeCell ref="BM7:BM11"/>
    <mergeCell ref="AY7:AY11"/>
    <mergeCell ref="AZ7:AZ11"/>
    <mergeCell ref="AK2:AL2"/>
    <mergeCell ref="AR6:AS6"/>
    <mergeCell ref="AV7:AV11"/>
    <mergeCell ref="AW7:AW11"/>
    <mergeCell ref="AX7:AX11"/>
    <mergeCell ref="A60:A61"/>
    <mergeCell ref="A62:A63"/>
    <mergeCell ref="A1:B1"/>
    <mergeCell ref="K7:K11"/>
    <mergeCell ref="L7:L11"/>
    <mergeCell ref="M7:M11"/>
    <mergeCell ref="A2:B2"/>
    <mergeCell ref="K6:M6"/>
    <mergeCell ref="E6:E11"/>
    <mergeCell ref="F6:J6"/>
    <mergeCell ref="A6:D11"/>
    <mergeCell ref="A12:A13"/>
    <mergeCell ref="A14:A15"/>
    <mergeCell ref="A16:A17"/>
    <mergeCell ref="A18:A19"/>
    <mergeCell ref="A20:A21"/>
    <mergeCell ref="A22:A23"/>
    <mergeCell ref="A46:A47"/>
    <mergeCell ref="A24:A25"/>
    <mergeCell ref="A26:A27"/>
    <mergeCell ref="A28:A29"/>
    <mergeCell ref="V7:V11"/>
    <mergeCell ref="N7:N11"/>
    <mergeCell ref="O7:O11"/>
    <mergeCell ref="P7:P11"/>
    <mergeCell ref="Q7:Q11"/>
    <mergeCell ref="AQ7:AQ11"/>
    <mergeCell ref="AR7:AR11"/>
    <mergeCell ref="AT7:AT11"/>
    <mergeCell ref="AU7:AU11"/>
    <mergeCell ref="AM7:AM11"/>
    <mergeCell ref="AN7:AN11"/>
    <mergeCell ref="AO7:AO11"/>
    <mergeCell ref="BN7:BN11"/>
    <mergeCell ref="BO7:BO11"/>
    <mergeCell ref="BE7:BE11"/>
    <mergeCell ref="BC6:BC11"/>
    <mergeCell ref="BI7:BI11"/>
    <mergeCell ref="BJ7:BJ11"/>
    <mergeCell ref="BK7:BK11"/>
    <mergeCell ref="AY6:AZ6"/>
    <mergeCell ref="BA6:BB6"/>
    <mergeCell ref="BA7:BA11"/>
    <mergeCell ref="BB7:BB11"/>
    <mergeCell ref="BG6:BG11"/>
    <mergeCell ref="BD7:BD11"/>
    <mergeCell ref="BH6:BH11"/>
    <mergeCell ref="BF7:BF11"/>
    <mergeCell ref="BD6:BF6"/>
    <mergeCell ref="BI6:BL6"/>
    <mergeCell ref="A34:A35"/>
    <mergeCell ref="A48:A49"/>
    <mergeCell ref="N6:P6"/>
    <mergeCell ref="Q6:S6"/>
    <mergeCell ref="T6:AF6"/>
    <mergeCell ref="AT6:AV6"/>
    <mergeCell ref="AW6:AX6"/>
    <mergeCell ref="AC7:AC11"/>
    <mergeCell ref="AD7:AD11"/>
    <mergeCell ref="R7:R11"/>
    <mergeCell ref="AH7:AH11"/>
    <mergeCell ref="AI7:AI11"/>
    <mergeCell ref="W7:W11"/>
    <mergeCell ref="X7:X11"/>
    <mergeCell ref="Y7:Y11"/>
    <mergeCell ref="AS7:AS11"/>
    <mergeCell ref="AP7:AP11"/>
    <mergeCell ref="G7:G11"/>
    <mergeCell ref="H7:H11"/>
    <mergeCell ref="I7:I11"/>
    <mergeCell ref="J7:J11"/>
    <mergeCell ref="S7:S11"/>
    <mergeCell ref="T7:T11"/>
    <mergeCell ref="U7:U11"/>
    <mergeCell ref="A50:A51"/>
    <mergeCell ref="A52:A53"/>
    <mergeCell ref="A54:A55"/>
    <mergeCell ref="A56:A57"/>
    <mergeCell ref="A36:A37"/>
    <mergeCell ref="A38:A39"/>
    <mergeCell ref="A40:A41"/>
    <mergeCell ref="A42:A43"/>
    <mergeCell ref="A44:A45"/>
  </mergeCells>
  <phoneticPr fontId="5" type="noConversion"/>
  <printOptions horizontalCentered="1"/>
  <pageMargins left="0.74803149606299213" right="0.74803149606299213" top="1.1811023622047245" bottom="0.78740157480314965" header="0" footer="0"/>
  <pageSetup paperSize="8" scale="6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Q68"/>
  <sheetViews>
    <sheetView zoomScale="80" zoomScaleNormal="80" workbookViewId="0">
      <selection activeCell="G7" sqref="G7:G11"/>
    </sheetView>
  </sheetViews>
  <sheetFormatPr defaultColWidth="9.6640625" defaultRowHeight="10.199999999999999" x14ac:dyDescent="0.25"/>
  <cols>
    <col min="1" max="1" width="19.83203125" style="1" customWidth="1"/>
    <col min="2" max="2" width="2.6640625" style="1" customWidth="1"/>
    <col min="3" max="3" width="23" style="1" customWidth="1"/>
    <col min="4" max="4" width="4.6640625" style="1" customWidth="1"/>
    <col min="5" max="67" width="16" style="1" customWidth="1"/>
    <col min="68" max="68" width="10.6640625" style="1" bestFit="1" customWidth="1"/>
    <col min="69" max="16384" width="9.6640625" style="1"/>
  </cols>
  <sheetData>
    <row r="1" spans="1:69" s="37" customFormat="1" ht="21.9" customHeight="1" x14ac:dyDescent="0.3">
      <c r="A1" s="161" t="s">
        <v>44</v>
      </c>
      <c r="B1" s="162"/>
      <c r="C1" s="35"/>
      <c r="D1" s="36"/>
      <c r="E1" s="36"/>
      <c r="F1" s="36"/>
      <c r="G1" s="36"/>
      <c r="H1" s="36"/>
      <c r="I1" s="36"/>
      <c r="J1" s="36"/>
      <c r="K1" s="36"/>
      <c r="L1" s="36"/>
      <c r="M1" s="36"/>
      <c r="N1" s="36"/>
      <c r="O1" s="36"/>
      <c r="P1" s="36"/>
      <c r="Q1" s="36"/>
      <c r="R1" s="36"/>
      <c r="S1" s="36"/>
      <c r="T1" s="36"/>
      <c r="U1" s="5"/>
      <c r="V1" s="5"/>
      <c r="W1" s="5"/>
      <c r="X1" s="5"/>
      <c r="Y1" s="5"/>
      <c r="Z1" s="5"/>
      <c r="AA1" s="5"/>
      <c r="AB1" s="5"/>
      <c r="AC1" s="5"/>
      <c r="AE1" s="70"/>
      <c r="AF1" s="183" t="s">
        <v>45</v>
      </c>
      <c r="AG1" s="171"/>
      <c r="AH1" s="133" t="s">
        <v>334</v>
      </c>
      <c r="AI1" s="173"/>
      <c r="AJ1" s="174"/>
      <c r="AK1" s="161" t="s">
        <v>44</v>
      </c>
      <c r="AL1" s="162"/>
      <c r="AM1" s="35"/>
      <c r="AN1" s="5"/>
      <c r="AO1" s="5"/>
      <c r="AP1" s="5"/>
      <c r="AQ1" s="5"/>
      <c r="AR1" s="5"/>
      <c r="AS1" s="5"/>
      <c r="AT1" s="5"/>
      <c r="AU1" s="5"/>
      <c r="AV1" s="5"/>
      <c r="AW1" s="5"/>
      <c r="AX1" s="5"/>
      <c r="AY1" s="5"/>
      <c r="AZ1" s="5"/>
      <c r="BA1" s="5"/>
      <c r="BB1" s="5"/>
      <c r="BC1" s="5"/>
      <c r="BD1" s="5"/>
      <c r="BE1" s="5"/>
      <c r="BF1" s="5"/>
      <c r="BG1" s="5"/>
      <c r="BH1" s="38"/>
      <c r="BJ1" s="69"/>
      <c r="BK1" s="170" t="s">
        <v>45</v>
      </c>
      <c r="BL1" s="171"/>
      <c r="BM1" s="133" t="s">
        <v>334</v>
      </c>
      <c r="BN1" s="173"/>
      <c r="BO1" s="174"/>
      <c r="BP1" s="38"/>
      <c r="BQ1" s="38"/>
    </row>
    <row r="2" spans="1:69" s="37" customFormat="1" ht="21.9" customHeight="1" x14ac:dyDescent="0.3">
      <c r="A2" s="163" t="s">
        <v>279</v>
      </c>
      <c r="B2" s="164"/>
      <c r="C2" s="7" t="s">
        <v>290</v>
      </c>
      <c r="D2" s="40"/>
      <c r="E2" s="40"/>
      <c r="F2" s="40"/>
      <c r="G2" s="40"/>
      <c r="H2" s="40"/>
      <c r="I2" s="40"/>
      <c r="J2" s="40"/>
      <c r="K2" s="40"/>
      <c r="L2" s="40"/>
      <c r="M2" s="40"/>
      <c r="N2" s="40"/>
      <c r="O2" s="40"/>
      <c r="P2" s="40"/>
      <c r="Q2" s="40"/>
      <c r="R2" s="40"/>
      <c r="S2" s="40"/>
      <c r="T2" s="40"/>
      <c r="U2" s="33"/>
      <c r="V2" s="33"/>
      <c r="W2" s="33"/>
      <c r="X2" s="33"/>
      <c r="Y2" s="33"/>
      <c r="Z2" s="33"/>
      <c r="AA2" s="33"/>
      <c r="AB2" s="33"/>
      <c r="AC2" s="33"/>
      <c r="AD2" s="41"/>
      <c r="AE2" s="71"/>
      <c r="AF2" s="184" t="s">
        <v>187</v>
      </c>
      <c r="AG2" s="166"/>
      <c r="AH2" s="167" t="s">
        <v>337</v>
      </c>
      <c r="AI2" s="168"/>
      <c r="AJ2" s="169"/>
      <c r="AK2" s="163" t="s">
        <v>279</v>
      </c>
      <c r="AL2" s="164"/>
      <c r="AM2" s="7" t="s">
        <v>290</v>
      </c>
      <c r="AN2" s="33"/>
      <c r="AO2" s="33"/>
      <c r="AP2" s="33"/>
      <c r="AQ2" s="33"/>
      <c r="AR2" s="33"/>
      <c r="AS2" s="33"/>
      <c r="AT2" s="33"/>
      <c r="AU2" s="33"/>
      <c r="AV2" s="33"/>
      <c r="AW2" s="33"/>
      <c r="AX2" s="33"/>
      <c r="AY2" s="33"/>
      <c r="AZ2" s="33"/>
      <c r="BA2" s="33"/>
      <c r="BB2" s="33"/>
      <c r="BC2" s="33"/>
      <c r="BD2" s="33"/>
      <c r="BE2" s="33"/>
      <c r="BF2" s="33"/>
      <c r="BG2" s="33"/>
      <c r="BH2" s="42"/>
      <c r="BI2" s="41"/>
      <c r="BJ2" s="72"/>
      <c r="BK2" s="165" t="s">
        <v>187</v>
      </c>
      <c r="BL2" s="166"/>
      <c r="BM2" s="167" t="s">
        <v>5</v>
      </c>
      <c r="BN2" s="168"/>
      <c r="BO2" s="169"/>
      <c r="BP2" s="43"/>
      <c r="BQ2" s="43"/>
    </row>
    <row r="3" spans="1:69" s="53" customFormat="1" ht="30" customHeight="1" x14ac:dyDescent="0.25">
      <c r="A3" s="159" t="s">
        <v>385</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t="s">
        <v>388</v>
      </c>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row>
    <row r="4" spans="1:69" s="37" customFormat="1" ht="26.1" customHeight="1" x14ac:dyDescent="0.25">
      <c r="A4" s="205" t="s">
        <v>346</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206" t="s">
        <v>346</v>
      </c>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row>
    <row r="5" spans="1:69" s="37" customFormat="1" ht="20.100000000000001" customHeight="1" x14ac:dyDescent="0.25">
      <c r="A5" s="40"/>
      <c r="B5" s="41"/>
      <c r="C5" s="41"/>
      <c r="D5" s="67"/>
      <c r="E5" s="67"/>
      <c r="F5" s="67"/>
      <c r="G5" s="67"/>
      <c r="H5" s="67"/>
      <c r="I5" s="67"/>
      <c r="J5" s="41"/>
      <c r="K5" s="67"/>
      <c r="L5" s="67"/>
      <c r="M5" s="67"/>
      <c r="N5" s="41"/>
      <c r="O5" s="67"/>
      <c r="P5" s="41"/>
      <c r="Q5" s="67"/>
      <c r="R5" s="44"/>
      <c r="S5" s="67"/>
      <c r="T5" s="33"/>
      <c r="U5" s="33"/>
      <c r="V5" s="33"/>
      <c r="W5" s="68"/>
      <c r="X5" s="5"/>
      <c r="Y5" s="33"/>
      <c r="Z5" s="33"/>
      <c r="AA5" s="33"/>
      <c r="AB5" s="33"/>
      <c r="AC5" s="33"/>
      <c r="AD5" s="33"/>
      <c r="AE5" s="33"/>
      <c r="AG5" s="33"/>
      <c r="AH5" s="33"/>
      <c r="AJ5" s="45" t="s">
        <v>48</v>
      </c>
      <c r="AK5" s="33"/>
      <c r="AL5" s="33"/>
      <c r="AM5" s="33"/>
      <c r="AN5" s="5"/>
      <c r="AO5" s="33"/>
      <c r="AP5" s="33"/>
      <c r="AQ5" s="33"/>
      <c r="AR5" s="33"/>
      <c r="AS5" s="33"/>
      <c r="AT5" s="33"/>
      <c r="AU5" s="33"/>
      <c r="AV5" s="33"/>
      <c r="AW5" s="44"/>
      <c r="AX5" s="45"/>
      <c r="AY5" s="45"/>
      <c r="AZ5" s="45"/>
      <c r="BA5" s="45"/>
      <c r="BB5" s="5"/>
      <c r="BC5" s="33"/>
      <c r="BD5" s="33"/>
      <c r="BE5" s="33"/>
      <c r="BF5" s="33"/>
      <c r="BG5" s="33"/>
      <c r="BH5" s="33"/>
      <c r="BI5" s="5"/>
      <c r="BJ5" s="5"/>
      <c r="BK5" s="5"/>
      <c r="BL5" s="5"/>
      <c r="BM5" s="5"/>
      <c r="BN5" s="5"/>
      <c r="BO5" s="46" t="s">
        <v>49</v>
      </c>
    </row>
    <row r="6" spans="1:69" s="5" customFormat="1" ht="27.9" customHeight="1" x14ac:dyDescent="0.25">
      <c r="A6" s="125" t="s">
        <v>144</v>
      </c>
      <c r="B6" s="125"/>
      <c r="C6" s="125"/>
      <c r="D6" s="125"/>
      <c r="E6" s="136" t="s">
        <v>50</v>
      </c>
      <c r="F6" s="187" t="s">
        <v>254</v>
      </c>
      <c r="G6" s="188"/>
      <c r="H6" s="188"/>
      <c r="I6" s="188"/>
      <c r="J6" s="189"/>
      <c r="K6" s="190" t="s">
        <v>52</v>
      </c>
      <c r="L6" s="191"/>
      <c r="M6" s="192"/>
      <c r="N6" s="193" t="s">
        <v>53</v>
      </c>
      <c r="O6" s="194"/>
      <c r="P6" s="195"/>
      <c r="Q6" s="193" t="s">
        <v>54</v>
      </c>
      <c r="R6" s="194"/>
      <c r="S6" s="195"/>
      <c r="T6" s="187" t="s">
        <v>55</v>
      </c>
      <c r="U6" s="188"/>
      <c r="V6" s="188"/>
      <c r="W6" s="188"/>
      <c r="X6" s="188"/>
      <c r="Y6" s="188"/>
      <c r="Z6" s="188"/>
      <c r="AA6" s="188"/>
      <c r="AB6" s="188"/>
      <c r="AC6" s="188"/>
      <c r="AD6" s="188"/>
      <c r="AE6" s="188"/>
      <c r="AF6" s="189"/>
      <c r="AG6" s="187" t="s">
        <v>121</v>
      </c>
      <c r="AH6" s="188"/>
      <c r="AI6" s="188"/>
      <c r="AJ6" s="189"/>
      <c r="AK6" s="187" t="s">
        <v>217</v>
      </c>
      <c r="AL6" s="188"/>
      <c r="AM6" s="188"/>
      <c r="AN6" s="188"/>
      <c r="AO6" s="187" t="s">
        <v>56</v>
      </c>
      <c r="AP6" s="188"/>
      <c r="AQ6" s="189"/>
      <c r="AR6" s="187" t="s">
        <v>57</v>
      </c>
      <c r="AS6" s="189"/>
      <c r="AT6" s="187" t="s">
        <v>58</v>
      </c>
      <c r="AU6" s="188"/>
      <c r="AV6" s="189"/>
      <c r="AW6" s="187" t="s">
        <v>59</v>
      </c>
      <c r="AX6" s="189"/>
      <c r="AY6" s="196" t="s">
        <v>60</v>
      </c>
      <c r="AZ6" s="197"/>
      <c r="BA6" s="196" t="s">
        <v>61</v>
      </c>
      <c r="BB6" s="197"/>
      <c r="BC6" s="180" t="s">
        <v>62</v>
      </c>
      <c r="BD6" s="196" t="s">
        <v>63</v>
      </c>
      <c r="BE6" s="201"/>
      <c r="BF6" s="197"/>
      <c r="BG6" s="176" t="s">
        <v>36</v>
      </c>
      <c r="BH6" s="180" t="s">
        <v>64</v>
      </c>
      <c r="BI6" s="187" t="s">
        <v>97</v>
      </c>
      <c r="BJ6" s="188"/>
      <c r="BK6" s="188"/>
      <c r="BL6" s="189"/>
      <c r="BM6" s="187" t="s">
        <v>65</v>
      </c>
      <c r="BN6" s="188"/>
      <c r="BO6" s="189"/>
    </row>
    <row r="7" spans="1:69" s="5" customFormat="1" ht="30" customHeight="1" x14ac:dyDescent="0.25">
      <c r="A7" s="125"/>
      <c r="B7" s="125"/>
      <c r="C7" s="125"/>
      <c r="D7" s="125"/>
      <c r="E7" s="136"/>
      <c r="F7" s="139" t="s">
        <v>221</v>
      </c>
      <c r="G7" s="139" t="s">
        <v>291</v>
      </c>
      <c r="H7" s="139" t="s">
        <v>66</v>
      </c>
      <c r="I7" s="130" t="s">
        <v>330</v>
      </c>
      <c r="J7" s="130" t="s">
        <v>331</v>
      </c>
      <c r="K7" s="139" t="s">
        <v>67</v>
      </c>
      <c r="L7" s="130" t="s">
        <v>333</v>
      </c>
      <c r="M7" s="139" t="s">
        <v>68</v>
      </c>
      <c r="N7" s="139" t="s">
        <v>293</v>
      </c>
      <c r="O7" s="139" t="s">
        <v>70</v>
      </c>
      <c r="P7" s="139" t="s">
        <v>71</v>
      </c>
      <c r="Q7" s="139" t="s">
        <v>294</v>
      </c>
      <c r="R7" s="130" t="s">
        <v>332</v>
      </c>
      <c r="S7" s="139" t="s">
        <v>72</v>
      </c>
      <c r="T7" s="139" t="s">
        <v>328</v>
      </c>
      <c r="U7" s="139" t="s">
        <v>296</v>
      </c>
      <c r="V7" s="139" t="s">
        <v>182</v>
      </c>
      <c r="W7" s="139" t="s">
        <v>118</v>
      </c>
      <c r="X7" s="139" t="s">
        <v>107</v>
      </c>
      <c r="Y7" s="139" t="s">
        <v>98</v>
      </c>
      <c r="Z7" s="139" t="s">
        <v>108</v>
      </c>
      <c r="AA7" s="130" t="s">
        <v>319</v>
      </c>
      <c r="AB7" s="139" t="s">
        <v>99</v>
      </c>
      <c r="AC7" s="139" t="s">
        <v>329</v>
      </c>
      <c r="AD7" s="139" t="s">
        <v>136</v>
      </c>
      <c r="AE7" s="139" t="s">
        <v>206</v>
      </c>
      <c r="AF7" s="139" t="s">
        <v>128</v>
      </c>
      <c r="AG7" s="139" t="s">
        <v>122</v>
      </c>
      <c r="AH7" s="139" t="s">
        <v>207</v>
      </c>
      <c r="AI7" s="139" t="s">
        <v>139</v>
      </c>
      <c r="AJ7" s="139" t="s">
        <v>211</v>
      </c>
      <c r="AK7" s="139" t="s">
        <v>129</v>
      </c>
      <c r="AL7" s="139" t="s">
        <v>102</v>
      </c>
      <c r="AM7" s="139" t="s">
        <v>130</v>
      </c>
      <c r="AN7" s="139" t="s">
        <v>208</v>
      </c>
      <c r="AO7" s="130" t="s">
        <v>274</v>
      </c>
      <c r="AP7" s="157" t="s">
        <v>233</v>
      </c>
      <c r="AQ7" s="139" t="s">
        <v>183</v>
      </c>
      <c r="AR7" s="139" t="s">
        <v>308</v>
      </c>
      <c r="AS7" s="139" t="s">
        <v>309</v>
      </c>
      <c r="AT7" s="130" t="s">
        <v>318</v>
      </c>
      <c r="AU7" s="139" t="s">
        <v>310</v>
      </c>
      <c r="AV7" s="139" t="s">
        <v>311</v>
      </c>
      <c r="AW7" s="139" t="s">
        <v>312</v>
      </c>
      <c r="AX7" s="139" t="s">
        <v>313</v>
      </c>
      <c r="AY7" s="139" t="s">
        <v>314</v>
      </c>
      <c r="AZ7" s="139" t="s">
        <v>315</v>
      </c>
      <c r="BA7" s="139" t="s">
        <v>316</v>
      </c>
      <c r="BB7" s="139" t="s">
        <v>317</v>
      </c>
      <c r="BC7" s="177"/>
      <c r="BD7" s="139" t="s">
        <v>116</v>
      </c>
      <c r="BE7" s="139" t="s">
        <v>73</v>
      </c>
      <c r="BF7" s="139" t="s">
        <v>138</v>
      </c>
      <c r="BG7" s="177"/>
      <c r="BH7" s="177"/>
      <c r="BI7" s="139" t="s">
        <v>119</v>
      </c>
      <c r="BJ7" s="139" t="s">
        <v>74</v>
      </c>
      <c r="BK7" s="132" t="s">
        <v>272</v>
      </c>
      <c r="BL7" s="139" t="s">
        <v>126</v>
      </c>
      <c r="BM7" s="139" t="s">
        <v>112</v>
      </c>
      <c r="BN7" s="139" t="s">
        <v>117</v>
      </c>
      <c r="BO7" s="139" t="s">
        <v>65</v>
      </c>
    </row>
    <row r="8" spans="1:69" s="5" customFormat="1" ht="30" customHeight="1" x14ac:dyDescent="0.25">
      <c r="A8" s="125"/>
      <c r="B8" s="125"/>
      <c r="C8" s="125"/>
      <c r="D8" s="125"/>
      <c r="E8" s="136"/>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58"/>
      <c r="AQ8" s="139"/>
      <c r="AR8" s="139"/>
      <c r="AS8" s="139"/>
      <c r="AT8" s="139"/>
      <c r="AU8" s="139"/>
      <c r="AV8" s="139"/>
      <c r="AW8" s="139"/>
      <c r="AX8" s="139"/>
      <c r="AY8" s="139"/>
      <c r="AZ8" s="139"/>
      <c r="BA8" s="139"/>
      <c r="BB8" s="139"/>
      <c r="BC8" s="177"/>
      <c r="BD8" s="139"/>
      <c r="BE8" s="139"/>
      <c r="BF8" s="139"/>
      <c r="BG8" s="177"/>
      <c r="BH8" s="177"/>
      <c r="BI8" s="139"/>
      <c r="BJ8" s="139"/>
      <c r="BK8" s="139"/>
      <c r="BL8" s="139"/>
      <c r="BM8" s="139"/>
      <c r="BN8" s="139"/>
      <c r="BO8" s="139"/>
    </row>
    <row r="9" spans="1:69" s="5" customFormat="1" ht="30" customHeight="1" x14ac:dyDescent="0.25">
      <c r="A9" s="125"/>
      <c r="B9" s="125"/>
      <c r="C9" s="125"/>
      <c r="D9" s="125"/>
      <c r="E9" s="136"/>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58"/>
      <c r="AQ9" s="139"/>
      <c r="AR9" s="139"/>
      <c r="AS9" s="139"/>
      <c r="AT9" s="139"/>
      <c r="AU9" s="139"/>
      <c r="AV9" s="139"/>
      <c r="AW9" s="139"/>
      <c r="AX9" s="139"/>
      <c r="AY9" s="139"/>
      <c r="AZ9" s="139"/>
      <c r="BA9" s="139"/>
      <c r="BB9" s="139"/>
      <c r="BC9" s="177"/>
      <c r="BD9" s="139"/>
      <c r="BE9" s="139"/>
      <c r="BF9" s="139"/>
      <c r="BG9" s="177"/>
      <c r="BH9" s="177"/>
      <c r="BI9" s="139"/>
      <c r="BJ9" s="139"/>
      <c r="BK9" s="139"/>
      <c r="BL9" s="139"/>
      <c r="BM9" s="139"/>
      <c r="BN9" s="139"/>
      <c r="BO9" s="139"/>
    </row>
    <row r="10" spans="1:69" s="5" customFormat="1" ht="30" customHeight="1" x14ac:dyDescent="0.25">
      <c r="A10" s="125"/>
      <c r="B10" s="125"/>
      <c r="C10" s="125"/>
      <c r="D10" s="125"/>
      <c r="E10" s="136"/>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58"/>
      <c r="AQ10" s="139"/>
      <c r="AR10" s="139"/>
      <c r="AS10" s="139"/>
      <c r="AT10" s="139"/>
      <c r="AU10" s="139"/>
      <c r="AV10" s="139"/>
      <c r="AW10" s="139"/>
      <c r="AX10" s="139"/>
      <c r="AY10" s="139"/>
      <c r="AZ10" s="139"/>
      <c r="BA10" s="139"/>
      <c r="BB10" s="139"/>
      <c r="BC10" s="177"/>
      <c r="BD10" s="139"/>
      <c r="BE10" s="139"/>
      <c r="BF10" s="139"/>
      <c r="BG10" s="177"/>
      <c r="BH10" s="177"/>
      <c r="BI10" s="139"/>
      <c r="BJ10" s="139"/>
      <c r="BK10" s="139"/>
      <c r="BL10" s="139"/>
      <c r="BM10" s="139"/>
      <c r="BN10" s="139"/>
      <c r="BO10" s="139"/>
    </row>
    <row r="11" spans="1:69" s="5" customFormat="1" ht="30" customHeight="1" x14ac:dyDescent="0.25">
      <c r="A11" s="134"/>
      <c r="B11" s="134"/>
      <c r="C11" s="134"/>
      <c r="D11" s="134"/>
      <c r="E11" s="137"/>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58"/>
      <c r="AQ11" s="139"/>
      <c r="AR11" s="139"/>
      <c r="AS11" s="139"/>
      <c r="AT11" s="139"/>
      <c r="AU11" s="139"/>
      <c r="AV11" s="139"/>
      <c r="AW11" s="139"/>
      <c r="AX11" s="139"/>
      <c r="AY11" s="139"/>
      <c r="AZ11" s="139"/>
      <c r="BA11" s="139"/>
      <c r="BB11" s="139"/>
      <c r="BC11" s="178"/>
      <c r="BD11" s="139"/>
      <c r="BE11" s="139"/>
      <c r="BF11" s="139"/>
      <c r="BG11" s="178"/>
      <c r="BH11" s="178"/>
      <c r="BI11" s="139"/>
      <c r="BJ11" s="139"/>
      <c r="BK11" s="139"/>
      <c r="BL11" s="139"/>
      <c r="BM11" s="139"/>
      <c r="BN11" s="139"/>
      <c r="BO11" s="139"/>
    </row>
    <row r="12" spans="1:69" s="3" customFormat="1" ht="21.9" customHeight="1" x14ac:dyDescent="0.25">
      <c r="A12" s="125" t="s">
        <v>343</v>
      </c>
      <c r="B12" s="32"/>
      <c r="C12" s="51" t="s">
        <v>75</v>
      </c>
      <c r="D12" s="52"/>
      <c r="E12" s="16">
        <v>706339</v>
      </c>
      <c r="F12" s="16">
        <v>19315</v>
      </c>
      <c r="G12" s="16">
        <v>12993</v>
      </c>
      <c r="H12" s="16">
        <v>7653</v>
      </c>
      <c r="I12" s="16">
        <v>7959</v>
      </c>
      <c r="J12" s="16">
        <v>1718</v>
      </c>
      <c r="K12" s="16">
        <v>19072</v>
      </c>
      <c r="L12" s="16">
        <v>14289</v>
      </c>
      <c r="M12" s="16">
        <v>7201</v>
      </c>
      <c r="N12" s="16">
        <v>3121</v>
      </c>
      <c r="O12" s="16">
        <v>2710</v>
      </c>
      <c r="P12" s="16">
        <v>578</v>
      </c>
      <c r="Q12" s="16">
        <v>6128</v>
      </c>
      <c r="R12" s="16">
        <v>12630</v>
      </c>
      <c r="S12" s="16">
        <v>8519</v>
      </c>
      <c r="T12" s="16">
        <v>7169</v>
      </c>
      <c r="U12" s="16">
        <v>19274</v>
      </c>
      <c r="V12" s="16">
        <v>6389</v>
      </c>
      <c r="W12" s="16">
        <v>11244</v>
      </c>
      <c r="X12" s="16">
        <v>4194</v>
      </c>
      <c r="Y12" s="16">
        <v>24324</v>
      </c>
      <c r="Z12" s="16">
        <v>12025</v>
      </c>
      <c r="AA12" s="16">
        <v>3992</v>
      </c>
      <c r="AB12" s="16">
        <v>9973</v>
      </c>
      <c r="AC12" s="16">
        <v>2699</v>
      </c>
      <c r="AD12" s="16">
        <v>81745</v>
      </c>
      <c r="AE12" s="16">
        <v>42371</v>
      </c>
      <c r="AF12" s="16">
        <v>6971</v>
      </c>
      <c r="AG12" s="16">
        <v>14287</v>
      </c>
      <c r="AH12" s="16">
        <v>5619</v>
      </c>
      <c r="AI12" s="16">
        <v>17259</v>
      </c>
      <c r="AJ12" s="16">
        <v>2247</v>
      </c>
      <c r="AK12" s="103">
        <v>7298</v>
      </c>
      <c r="AL12" s="16">
        <v>4599</v>
      </c>
      <c r="AM12" s="16">
        <v>2323</v>
      </c>
      <c r="AN12" s="16">
        <v>15766</v>
      </c>
      <c r="AO12" s="16">
        <v>2606</v>
      </c>
      <c r="AP12" s="16">
        <v>2065</v>
      </c>
      <c r="AQ12" s="16">
        <v>713</v>
      </c>
      <c r="AR12" s="16">
        <v>5261</v>
      </c>
      <c r="AS12" s="16">
        <v>7833</v>
      </c>
      <c r="AT12" s="16">
        <v>28418</v>
      </c>
      <c r="AU12" s="16">
        <v>56764</v>
      </c>
      <c r="AV12" s="16">
        <v>24429</v>
      </c>
      <c r="AW12" s="16">
        <v>1950</v>
      </c>
      <c r="AX12" s="16">
        <v>11305</v>
      </c>
      <c r="AY12" s="16">
        <v>3819</v>
      </c>
      <c r="AZ12" s="16">
        <v>41</v>
      </c>
      <c r="BA12" s="16">
        <v>992</v>
      </c>
      <c r="BB12" s="16">
        <v>2066</v>
      </c>
      <c r="BC12" s="16">
        <v>2763</v>
      </c>
      <c r="BD12" s="16">
        <v>11734</v>
      </c>
      <c r="BE12" s="16">
        <v>14584</v>
      </c>
      <c r="BF12" s="16">
        <v>9192</v>
      </c>
      <c r="BG12" s="16">
        <v>21716</v>
      </c>
      <c r="BH12" s="16">
        <v>6014</v>
      </c>
      <c r="BI12" s="16">
        <v>8549</v>
      </c>
      <c r="BJ12" s="16">
        <v>15301</v>
      </c>
      <c r="BK12" s="16">
        <v>9140</v>
      </c>
      <c r="BL12" s="16">
        <v>13193</v>
      </c>
      <c r="BM12" s="16">
        <v>7884</v>
      </c>
      <c r="BN12" s="16">
        <v>2028</v>
      </c>
      <c r="BO12" s="16">
        <v>10325</v>
      </c>
    </row>
    <row r="13" spans="1:69" s="3" customFormat="1" ht="21.9" customHeight="1" x14ac:dyDescent="0.25">
      <c r="A13" s="125"/>
      <c r="B13" s="5"/>
      <c r="C13" s="47" t="s">
        <v>131</v>
      </c>
      <c r="D13" s="48"/>
      <c r="E13" s="16">
        <v>17503</v>
      </c>
      <c r="F13" s="26">
        <v>9</v>
      </c>
      <c r="G13" s="26">
        <v>5</v>
      </c>
      <c r="H13" s="26">
        <v>14</v>
      </c>
      <c r="I13" s="26">
        <v>36</v>
      </c>
      <c r="J13" s="26">
        <v>3</v>
      </c>
      <c r="K13" s="26">
        <v>17</v>
      </c>
      <c r="L13" s="26">
        <v>105</v>
      </c>
      <c r="M13" s="26">
        <v>2</v>
      </c>
      <c r="N13" s="26">
        <v>0</v>
      </c>
      <c r="O13" s="26">
        <v>5</v>
      </c>
      <c r="P13" s="26">
        <v>3</v>
      </c>
      <c r="Q13" s="26">
        <v>28</v>
      </c>
      <c r="R13" s="26">
        <v>197</v>
      </c>
      <c r="S13" s="26">
        <v>16</v>
      </c>
      <c r="T13" s="26">
        <v>75</v>
      </c>
      <c r="U13" s="26">
        <v>437</v>
      </c>
      <c r="V13" s="26">
        <v>39</v>
      </c>
      <c r="W13" s="26">
        <v>223</v>
      </c>
      <c r="X13" s="26">
        <v>88</v>
      </c>
      <c r="Y13" s="26">
        <v>99</v>
      </c>
      <c r="Z13" s="26">
        <v>166</v>
      </c>
      <c r="AA13" s="26">
        <v>14</v>
      </c>
      <c r="AB13" s="26">
        <v>45</v>
      </c>
      <c r="AC13" s="26">
        <v>47</v>
      </c>
      <c r="AD13" s="26">
        <v>326</v>
      </c>
      <c r="AE13" s="26">
        <v>343</v>
      </c>
      <c r="AF13" s="26">
        <v>51</v>
      </c>
      <c r="AG13" s="26">
        <v>155</v>
      </c>
      <c r="AH13" s="26">
        <v>178</v>
      </c>
      <c r="AI13" s="26">
        <v>62</v>
      </c>
      <c r="AJ13" s="26">
        <v>3</v>
      </c>
      <c r="AK13" s="99">
        <v>253</v>
      </c>
      <c r="AL13" s="26">
        <v>20</v>
      </c>
      <c r="AM13" s="26">
        <v>10</v>
      </c>
      <c r="AN13" s="26">
        <v>297</v>
      </c>
      <c r="AO13" s="26">
        <v>6</v>
      </c>
      <c r="AP13" s="26">
        <v>1</v>
      </c>
      <c r="AQ13" s="26">
        <v>1</v>
      </c>
      <c r="AR13" s="26">
        <v>74</v>
      </c>
      <c r="AS13" s="26">
        <v>82</v>
      </c>
      <c r="AT13" s="26">
        <v>22</v>
      </c>
      <c r="AU13" s="26">
        <v>334</v>
      </c>
      <c r="AV13" s="26">
        <v>74</v>
      </c>
      <c r="AW13" s="26">
        <v>3</v>
      </c>
      <c r="AX13" s="26">
        <v>41</v>
      </c>
      <c r="AY13" s="26">
        <v>15</v>
      </c>
      <c r="AZ13" s="26">
        <v>0</v>
      </c>
      <c r="BA13" s="26">
        <v>0</v>
      </c>
      <c r="BB13" s="26">
        <v>0</v>
      </c>
      <c r="BC13" s="26">
        <v>1</v>
      </c>
      <c r="BD13" s="26">
        <v>27</v>
      </c>
      <c r="BE13" s="26">
        <v>105</v>
      </c>
      <c r="BF13" s="26">
        <v>74</v>
      </c>
      <c r="BG13" s="26">
        <v>11764</v>
      </c>
      <c r="BH13" s="26">
        <v>81</v>
      </c>
      <c r="BI13" s="26">
        <v>134</v>
      </c>
      <c r="BJ13" s="26">
        <v>314</v>
      </c>
      <c r="BK13" s="26">
        <v>100</v>
      </c>
      <c r="BL13" s="26">
        <v>43</v>
      </c>
      <c r="BM13" s="26">
        <v>0</v>
      </c>
      <c r="BN13" s="26">
        <v>0</v>
      </c>
      <c r="BO13" s="26">
        <v>836</v>
      </c>
    </row>
    <row r="14" spans="1:69" s="5" customFormat="1" ht="21.9" customHeight="1" x14ac:dyDescent="0.25">
      <c r="A14" s="125" t="s">
        <v>285</v>
      </c>
      <c r="B14" s="4"/>
      <c r="C14" s="47" t="s">
        <v>132</v>
      </c>
      <c r="D14" s="48"/>
      <c r="E14" s="16">
        <v>21906</v>
      </c>
      <c r="F14" s="16">
        <v>774</v>
      </c>
      <c r="G14" s="16">
        <v>252</v>
      </c>
      <c r="H14" s="16">
        <v>127</v>
      </c>
      <c r="I14" s="16">
        <v>421</v>
      </c>
      <c r="J14" s="16">
        <v>36</v>
      </c>
      <c r="K14" s="16">
        <v>436</v>
      </c>
      <c r="L14" s="16">
        <v>269</v>
      </c>
      <c r="M14" s="16">
        <v>81</v>
      </c>
      <c r="N14" s="16">
        <v>108</v>
      </c>
      <c r="O14" s="16">
        <v>139</v>
      </c>
      <c r="P14" s="16">
        <v>41</v>
      </c>
      <c r="Q14" s="16">
        <v>214</v>
      </c>
      <c r="R14" s="16">
        <v>739</v>
      </c>
      <c r="S14" s="16">
        <v>61</v>
      </c>
      <c r="T14" s="16">
        <v>257</v>
      </c>
      <c r="U14" s="16">
        <v>441</v>
      </c>
      <c r="V14" s="16">
        <v>135</v>
      </c>
      <c r="W14" s="16">
        <v>251</v>
      </c>
      <c r="X14" s="16">
        <v>210</v>
      </c>
      <c r="Y14" s="16">
        <v>455</v>
      </c>
      <c r="Z14" s="16">
        <v>325</v>
      </c>
      <c r="AA14" s="16">
        <v>106</v>
      </c>
      <c r="AB14" s="16">
        <v>70</v>
      </c>
      <c r="AC14" s="16">
        <v>60</v>
      </c>
      <c r="AD14" s="16">
        <v>3965</v>
      </c>
      <c r="AE14" s="16">
        <v>1131</v>
      </c>
      <c r="AF14" s="16">
        <v>441</v>
      </c>
      <c r="AG14" s="16">
        <v>742</v>
      </c>
      <c r="AH14" s="16">
        <v>210</v>
      </c>
      <c r="AI14" s="16">
        <v>258</v>
      </c>
      <c r="AJ14" s="16">
        <v>106</v>
      </c>
      <c r="AK14" s="98">
        <v>466</v>
      </c>
      <c r="AL14" s="16">
        <v>159</v>
      </c>
      <c r="AM14" s="16">
        <v>105</v>
      </c>
      <c r="AN14" s="16">
        <v>226</v>
      </c>
      <c r="AO14" s="16">
        <v>17</v>
      </c>
      <c r="AP14" s="16">
        <v>21</v>
      </c>
      <c r="AQ14" s="16">
        <v>12</v>
      </c>
      <c r="AR14" s="16">
        <v>385</v>
      </c>
      <c r="AS14" s="16">
        <v>294</v>
      </c>
      <c r="AT14" s="16">
        <v>318</v>
      </c>
      <c r="AU14" s="16">
        <v>1190</v>
      </c>
      <c r="AV14" s="16">
        <v>108</v>
      </c>
      <c r="AW14" s="16">
        <v>34</v>
      </c>
      <c r="AX14" s="16">
        <v>31</v>
      </c>
      <c r="AY14" s="16">
        <v>0</v>
      </c>
      <c r="AZ14" s="16">
        <v>0</v>
      </c>
      <c r="BA14" s="16">
        <v>25</v>
      </c>
      <c r="BB14" s="16">
        <v>48</v>
      </c>
      <c r="BC14" s="16">
        <v>8</v>
      </c>
      <c r="BD14" s="16">
        <v>163</v>
      </c>
      <c r="BE14" s="16">
        <v>210</v>
      </c>
      <c r="BF14" s="16">
        <v>52</v>
      </c>
      <c r="BG14" s="16">
        <v>2449</v>
      </c>
      <c r="BH14" s="16">
        <v>35</v>
      </c>
      <c r="BI14" s="16">
        <v>418</v>
      </c>
      <c r="BJ14" s="16">
        <v>909</v>
      </c>
      <c r="BK14" s="16">
        <v>89</v>
      </c>
      <c r="BL14" s="16">
        <v>383</v>
      </c>
      <c r="BM14" s="16">
        <v>5</v>
      </c>
      <c r="BN14" s="16">
        <v>0</v>
      </c>
      <c r="BO14" s="16">
        <v>885</v>
      </c>
    </row>
    <row r="15" spans="1:69" s="5" customFormat="1" ht="21.9" customHeight="1" x14ac:dyDescent="0.25">
      <c r="A15" s="125"/>
      <c r="B15" s="4"/>
      <c r="C15" s="47" t="s">
        <v>184</v>
      </c>
      <c r="D15" s="48"/>
      <c r="E15" s="16">
        <v>1251</v>
      </c>
      <c r="F15" s="26"/>
      <c r="G15" s="26"/>
      <c r="H15" s="26"/>
      <c r="I15" s="26">
        <v>1</v>
      </c>
      <c r="J15" s="26"/>
      <c r="K15" s="26">
        <v>1</v>
      </c>
      <c r="L15" s="26">
        <v>1</v>
      </c>
      <c r="M15" s="26"/>
      <c r="N15" s="26"/>
      <c r="O15" s="26"/>
      <c r="P15" s="26"/>
      <c r="Q15" s="26"/>
      <c r="R15" s="26"/>
      <c r="S15" s="26"/>
      <c r="T15" s="16">
        <v>18</v>
      </c>
      <c r="U15" s="16">
        <v>41</v>
      </c>
      <c r="V15" s="16"/>
      <c r="W15" s="16">
        <v>23</v>
      </c>
      <c r="X15" s="16">
        <v>8</v>
      </c>
      <c r="Y15" s="16">
        <v>8</v>
      </c>
      <c r="Z15" s="16">
        <v>5</v>
      </c>
      <c r="AA15" s="16"/>
      <c r="AB15" s="16"/>
      <c r="AC15" s="16"/>
      <c r="AD15" s="16">
        <v>25</v>
      </c>
      <c r="AE15" s="16">
        <v>31</v>
      </c>
      <c r="AF15" s="16">
        <v>1</v>
      </c>
      <c r="AG15" s="16">
        <v>5</v>
      </c>
      <c r="AH15" s="16">
        <v>13</v>
      </c>
      <c r="AI15" s="16">
        <v>1</v>
      </c>
      <c r="AJ15" s="16"/>
      <c r="AK15" s="98">
        <v>29</v>
      </c>
      <c r="AL15" s="16"/>
      <c r="AM15" s="16">
        <v>2</v>
      </c>
      <c r="AN15" s="16">
        <v>2</v>
      </c>
      <c r="AO15" s="26"/>
      <c r="AP15" s="26"/>
      <c r="AQ15" s="26"/>
      <c r="AR15" s="26">
        <v>28</v>
      </c>
      <c r="AS15" s="26">
        <v>7</v>
      </c>
      <c r="AT15" s="26">
        <v>12</v>
      </c>
      <c r="AU15" s="26">
        <v>9</v>
      </c>
      <c r="AV15" s="26">
        <v>7</v>
      </c>
      <c r="AW15" s="26"/>
      <c r="AX15" s="26"/>
      <c r="AY15" s="16"/>
      <c r="AZ15" s="16"/>
      <c r="BA15" s="16"/>
      <c r="BB15" s="16"/>
      <c r="BC15" s="16"/>
      <c r="BD15" s="16"/>
      <c r="BE15" s="16"/>
      <c r="BF15" s="16"/>
      <c r="BG15" s="16">
        <v>810</v>
      </c>
      <c r="BH15" s="16"/>
      <c r="BI15" s="16">
        <v>12</v>
      </c>
      <c r="BJ15" s="16">
        <v>74</v>
      </c>
      <c r="BK15" s="16">
        <v>2</v>
      </c>
      <c r="BL15" s="16">
        <v>8</v>
      </c>
      <c r="BM15" s="16"/>
      <c r="BN15" s="16">
        <v>0</v>
      </c>
      <c r="BO15" s="16">
        <v>67</v>
      </c>
    </row>
    <row r="16" spans="1:69" s="5" customFormat="1" ht="21.9" customHeight="1" x14ac:dyDescent="0.25">
      <c r="A16" s="125" t="s">
        <v>283</v>
      </c>
      <c r="B16" s="4"/>
      <c r="C16" s="47" t="s">
        <v>132</v>
      </c>
      <c r="D16" s="48"/>
      <c r="E16" s="16">
        <v>105398</v>
      </c>
      <c r="F16" s="16">
        <v>4314</v>
      </c>
      <c r="G16" s="16">
        <v>3224</v>
      </c>
      <c r="H16" s="16">
        <v>2037</v>
      </c>
      <c r="I16" s="16">
        <v>1425</v>
      </c>
      <c r="J16" s="16">
        <v>806</v>
      </c>
      <c r="K16" s="16">
        <v>3199</v>
      </c>
      <c r="L16" s="16">
        <v>2783</v>
      </c>
      <c r="M16" s="16">
        <v>1351</v>
      </c>
      <c r="N16" s="16">
        <v>828</v>
      </c>
      <c r="O16" s="16">
        <v>739</v>
      </c>
      <c r="P16" s="16">
        <v>215</v>
      </c>
      <c r="Q16" s="16">
        <v>2171</v>
      </c>
      <c r="R16" s="16">
        <v>4277</v>
      </c>
      <c r="S16" s="16">
        <v>1850</v>
      </c>
      <c r="T16" s="16">
        <v>1586</v>
      </c>
      <c r="U16" s="16">
        <v>2764</v>
      </c>
      <c r="V16" s="16">
        <v>1774</v>
      </c>
      <c r="W16" s="16">
        <v>2647</v>
      </c>
      <c r="X16" s="16">
        <v>1132</v>
      </c>
      <c r="Y16" s="16">
        <v>2811</v>
      </c>
      <c r="Z16" s="16">
        <v>2325</v>
      </c>
      <c r="AA16" s="16">
        <v>874</v>
      </c>
      <c r="AB16" s="16">
        <v>1557</v>
      </c>
      <c r="AC16" s="16">
        <v>163</v>
      </c>
      <c r="AD16" s="16">
        <v>6085</v>
      </c>
      <c r="AE16" s="16">
        <v>5219</v>
      </c>
      <c r="AF16" s="16">
        <v>1202</v>
      </c>
      <c r="AG16" s="16">
        <v>2547</v>
      </c>
      <c r="AH16" s="16">
        <v>1125</v>
      </c>
      <c r="AI16" s="16">
        <v>2797</v>
      </c>
      <c r="AJ16" s="16">
        <v>914</v>
      </c>
      <c r="AK16" s="98">
        <v>1962</v>
      </c>
      <c r="AL16" s="16">
        <v>1441</v>
      </c>
      <c r="AM16" s="16">
        <v>628</v>
      </c>
      <c r="AN16" s="16">
        <v>1556</v>
      </c>
      <c r="AO16" s="16">
        <v>772</v>
      </c>
      <c r="AP16" s="16">
        <v>774</v>
      </c>
      <c r="AQ16" s="16">
        <v>165</v>
      </c>
      <c r="AR16" s="16">
        <v>817</v>
      </c>
      <c r="AS16" s="16">
        <v>1143</v>
      </c>
      <c r="AT16" s="16">
        <v>3215</v>
      </c>
      <c r="AU16" s="16">
        <v>4101</v>
      </c>
      <c r="AV16" s="16">
        <v>2705</v>
      </c>
      <c r="AW16" s="16">
        <v>512</v>
      </c>
      <c r="AX16" s="16">
        <v>1798</v>
      </c>
      <c r="AY16" s="16">
        <v>681</v>
      </c>
      <c r="AZ16" s="16">
        <v>2</v>
      </c>
      <c r="BA16" s="16">
        <v>375</v>
      </c>
      <c r="BB16" s="16">
        <v>755</v>
      </c>
      <c r="BC16" s="16">
        <v>598</v>
      </c>
      <c r="BD16" s="16">
        <v>1710</v>
      </c>
      <c r="BE16" s="16">
        <v>2235</v>
      </c>
      <c r="BF16" s="16">
        <v>1663</v>
      </c>
      <c r="BG16" s="16">
        <v>771</v>
      </c>
      <c r="BH16" s="16">
        <v>549</v>
      </c>
      <c r="BI16" s="16">
        <v>308</v>
      </c>
      <c r="BJ16" s="16">
        <v>1775</v>
      </c>
      <c r="BK16" s="16">
        <v>1354</v>
      </c>
      <c r="BL16" s="16">
        <v>1256</v>
      </c>
      <c r="BM16" s="16">
        <v>1911</v>
      </c>
      <c r="BN16" s="16">
        <v>144</v>
      </c>
      <c r="BO16" s="16">
        <v>981</v>
      </c>
    </row>
    <row r="17" spans="1:67" s="5" customFormat="1" ht="21.9" customHeight="1" x14ac:dyDescent="0.25">
      <c r="A17" s="125"/>
      <c r="B17" s="4"/>
      <c r="C17" s="47" t="s">
        <v>76</v>
      </c>
      <c r="D17" s="48"/>
      <c r="E17" s="16">
        <v>1082</v>
      </c>
      <c r="F17" s="26">
        <v>2</v>
      </c>
      <c r="G17" s="26">
        <v>0</v>
      </c>
      <c r="H17" s="26">
        <v>0</v>
      </c>
      <c r="I17" s="26">
        <v>4</v>
      </c>
      <c r="J17" s="26">
        <v>0</v>
      </c>
      <c r="K17" s="26">
        <v>0</v>
      </c>
      <c r="L17" s="26">
        <v>5</v>
      </c>
      <c r="M17" s="26">
        <v>0</v>
      </c>
      <c r="N17" s="26">
        <v>0</v>
      </c>
      <c r="O17" s="26">
        <v>0</v>
      </c>
      <c r="P17" s="26">
        <v>0</v>
      </c>
      <c r="Q17" s="26">
        <v>2</v>
      </c>
      <c r="R17" s="26">
        <v>8</v>
      </c>
      <c r="S17" s="26">
        <v>0</v>
      </c>
      <c r="T17" s="16">
        <v>5</v>
      </c>
      <c r="U17" s="16">
        <v>78</v>
      </c>
      <c r="V17" s="16">
        <v>5</v>
      </c>
      <c r="W17" s="16">
        <v>64</v>
      </c>
      <c r="X17" s="16">
        <v>3</v>
      </c>
      <c r="Y17" s="16">
        <v>14</v>
      </c>
      <c r="Z17" s="16">
        <v>27</v>
      </c>
      <c r="AA17" s="16">
        <v>0</v>
      </c>
      <c r="AB17" s="16">
        <v>2</v>
      </c>
      <c r="AC17" s="16">
        <v>2</v>
      </c>
      <c r="AD17" s="16">
        <v>34</v>
      </c>
      <c r="AE17" s="16">
        <v>20</v>
      </c>
      <c r="AF17" s="16">
        <v>4</v>
      </c>
      <c r="AG17" s="16">
        <v>17</v>
      </c>
      <c r="AH17" s="16">
        <v>21</v>
      </c>
      <c r="AI17" s="16">
        <v>5</v>
      </c>
      <c r="AJ17" s="16">
        <v>0</v>
      </c>
      <c r="AK17" s="98">
        <v>8</v>
      </c>
      <c r="AL17" s="16">
        <v>0</v>
      </c>
      <c r="AM17" s="16">
        <v>3</v>
      </c>
      <c r="AN17" s="16">
        <v>49</v>
      </c>
      <c r="AO17" s="26">
        <v>0</v>
      </c>
      <c r="AP17" s="26">
        <v>0</v>
      </c>
      <c r="AQ17" s="26">
        <v>0</v>
      </c>
      <c r="AR17" s="26">
        <v>0</v>
      </c>
      <c r="AS17" s="26">
        <v>15</v>
      </c>
      <c r="AT17" s="26">
        <v>0</v>
      </c>
      <c r="AU17" s="26">
        <v>17</v>
      </c>
      <c r="AV17" s="26">
        <v>0</v>
      </c>
      <c r="AW17" s="26">
        <v>1</v>
      </c>
      <c r="AX17" s="26">
        <v>6</v>
      </c>
      <c r="AY17" s="16">
        <v>0</v>
      </c>
      <c r="AZ17" s="16">
        <v>0</v>
      </c>
      <c r="BA17" s="16">
        <v>0</v>
      </c>
      <c r="BB17" s="16">
        <v>0</v>
      </c>
      <c r="BC17" s="16">
        <v>0</v>
      </c>
      <c r="BD17" s="16">
        <v>1</v>
      </c>
      <c r="BE17" s="16">
        <v>2</v>
      </c>
      <c r="BF17" s="16">
        <v>9</v>
      </c>
      <c r="BG17" s="16">
        <v>531</v>
      </c>
      <c r="BH17" s="16">
        <v>4</v>
      </c>
      <c r="BI17" s="16">
        <v>0</v>
      </c>
      <c r="BJ17" s="16">
        <v>33</v>
      </c>
      <c r="BK17" s="16">
        <v>36</v>
      </c>
      <c r="BL17" s="16">
        <v>1</v>
      </c>
      <c r="BM17" s="16">
        <v>0</v>
      </c>
      <c r="BN17" s="16">
        <v>0</v>
      </c>
      <c r="BO17" s="16">
        <v>44</v>
      </c>
    </row>
    <row r="18" spans="1:67" s="5" customFormat="1" ht="21.9" customHeight="1" x14ac:dyDescent="0.25">
      <c r="A18" s="125" t="s">
        <v>77</v>
      </c>
      <c r="B18" s="4"/>
      <c r="C18" s="47" t="s">
        <v>75</v>
      </c>
      <c r="D18" s="48"/>
      <c r="E18" s="16">
        <v>25088</v>
      </c>
      <c r="F18" s="16">
        <v>825</v>
      </c>
      <c r="G18" s="16">
        <v>811</v>
      </c>
      <c r="H18" s="16">
        <v>549</v>
      </c>
      <c r="I18" s="16">
        <v>392</v>
      </c>
      <c r="J18" s="16">
        <v>86</v>
      </c>
      <c r="K18" s="16">
        <v>1088</v>
      </c>
      <c r="L18" s="16">
        <v>876</v>
      </c>
      <c r="M18" s="16">
        <v>234</v>
      </c>
      <c r="N18" s="16">
        <v>195</v>
      </c>
      <c r="O18" s="16">
        <v>168</v>
      </c>
      <c r="P18" s="16">
        <v>0</v>
      </c>
      <c r="Q18" s="16">
        <v>689</v>
      </c>
      <c r="R18" s="16">
        <v>616</v>
      </c>
      <c r="S18" s="16">
        <v>240</v>
      </c>
      <c r="T18" s="16">
        <v>246</v>
      </c>
      <c r="U18" s="16">
        <v>909</v>
      </c>
      <c r="V18" s="16">
        <v>240</v>
      </c>
      <c r="W18" s="16">
        <v>866</v>
      </c>
      <c r="X18" s="16">
        <v>93</v>
      </c>
      <c r="Y18" s="16">
        <v>367</v>
      </c>
      <c r="Z18" s="16">
        <v>706</v>
      </c>
      <c r="AA18" s="16">
        <v>11</v>
      </c>
      <c r="AB18" s="16">
        <v>358</v>
      </c>
      <c r="AC18" s="16">
        <v>4</v>
      </c>
      <c r="AD18" s="16">
        <v>1852</v>
      </c>
      <c r="AE18" s="16">
        <v>581</v>
      </c>
      <c r="AF18" s="16">
        <v>176</v>
      </c>
      <c r="AG18" s="16">
        <v>916</v>
      </c>
      <c r="AH18" s="16">
        <v>290</v>
      </c>
      <c r="AI18" s="16">
        <v>332</v>
      </c>
      <c r="AJ18" s="16">
        <v>263</v>
      </c>
      <c r="AK18" s="98">
        <v>363</v>
      </c>
      <c r="AL18" s="16">
        <v>212</v>
      </c>
      <c r="AM18" s="16">
        <v>72</v>
      </c>
      <c r="AN18" s="16">
        <v>307</v>
      </c>
      <c r="AO18" s="16">
        <v>179</v>
      </c>
      <c r="AP18" s="16">
        <v>161</v>
      </c>
      <c r="AQ18" s="16">
        <v>96</v>
      </c>
      <c r="AR18" s="16">
        <v>203</v>
      </c>
      <c r="AS18" s="16">
        <v>78</v>
      </c>
      <c r="AT18" s="16">
        <v>485</v>
      </c>
      <c r="AU18" s="16">
        <v>1120</v>
      </c>
      <c r="AV18" s="16">
        <v>1358</v>
      </c>
      <c r="AW18" s="16">
        <v>243</v>
      </c>
      <c r="AX18" s="16">
        <v>339</v>
      </c>
      <c r="AY18" s="16">
        <v>303</v>
      </c>
      <c r="AZ18" s="16">
        <v>0</v>
      </c>
      <c r="BA18" s="16">
        <v>188</v>
      </c>
      <c r="BB18" s="16">
        <v>231</v>
      </c>
      <c r="BC18" s="16">
        <v>141</v>
      </c>
      <c r="BD18" s="16">
        <v>325</v>
      </c>
      <c r="BE18" s="16">
        <v>356</v>
      </c>
      <c r="BF18" s="16">
        <v>269</v>
      </c>
      <c r="BG18" s="16">
        <v>445</v>
      </c>
      <c r="BH18" s="16">
        <v>91</v>
      </c>
      <c r="BI18" s="16">
        <v>439</v>
      </c>
      <c r="BJ18" s="16">
        <v>553</v>
      </c>
      <c r="BK18" s="16">
        <v>515</v>
      </c>
      <c r="BL18" s="16">
        <v>286</v>
      </c>
      <c r="BM18" s="16">
        <v>62</v>
      </c>
      <c r="BN18" s="16">
        <v>8</v>
      </c>
      <c r="BO18" s="16">
        <v>681</v>
      </c>
    </row>
    <row r="19" spans="1:67" s="5" customFormat="1" ht="21.9" customHeight="1" x14ac:dyDescent="0.25">
      <c r="A19" s="125"/>
      <c r="B19" s="4"/>
      <c r="C19" s="47" t="s">
        <v>76</v>
      </c>
      <c r="D19" s="48"/>
      <c r="E19" s="16">
        <v>2314</v>
      </c>
      <c r="F19" s="16"/>
      <c r="G19" s="16"/>
      <c r="H19" s="16">
        <v>2</v>
      </c>
      <c r="I19" s="16">
        <v>1</v>
      </c>
      <c r="J19" s="16"/>
      <c r="K19" s="16"/>
      <c r="L19" s="16">
        <v>19</v>
      </c>
      <c r="M19" s="16">
        <v>1</v>
      </c>
      <c r="N19" s="16"/>
      <c r="O19" s="16">
        <v>1</v>
      </c>
      <c r="P19" s="16"/>
      <c r="Q19" s="16">
        <v>6</v>
      </c>
      <c r="R19" s="16">
        <v>29</v>
      </c>
      <c r="S19" s="16">
        <v>1</v>
      </c>
      <c r="T19" s="16">
        <v>6</v>
      </c>
      <c r="U19" s="16">
        <v>76</v>
      </c>
      <c r="V19" s="16">
        <v>4</v>
      </c>
      <c r="W19" s="16">
        <v>35</v>
      </c>
      <c r="X19" s="16">
        <v>2</v>
      </c>
      <c r="Y19" s="16">
        <v>4</v>
      </c>
      <c r="Z19" s="16">
        <v>24</v>
      </c>
      <c r="AA19" s="16">
        <v>2</v>
      </c>
      <c r="AB19" s="16">
        <v>3</v>
      </c>
      <c r="AC19" s="16"/>
      <c r="AD19" s="16">
        <v>15</v>
      </c>
      <c r="AE19" s="16">
        <v>25</v>
      </c>
      <c r="AF19" s="16">
        <v>6</v>
      </c>
      <c r="AG19" s="16">
        <v>6</v>
      </c>
      <c r="AH19" s="16">
        <v>6</v>
      </c>
      <c r="AI19" s="16">
        <v>8</v>
      </c>
      <c r="AJ19" s="16">
        <v>2</v>
      </c>
      <c r="AK19" s="98">
        <v>40</v>
      </c>
      <c r="AL19" s="16">
        <v>4</v>
      </c>
      <c r="AM19" s="16"/>
      <c r="AN19" s="16">
        <v>22</v>
      </c>
      <c r="AO19" s="16"/>
      <c r="AP19" s="16"/>
      <c r="AQ19" s="16"/>
      <c r="AR19" s="16">
        <v>1</v>
      </c>
      <c r="AS19" s="16"/>
      <c r="AT19" s="16">
        <v>1</v>
      </c>
      <c r="AU19" s="16">
        <v>25</v>
      </c>
      <c r="AV19" s="16">
        <v>6</v>
      </c>
      <c r="AW19" s="16"/>
      <c r="AX19" s="16"/>
      <c r="AY19" s="16"/>
      <c r="AZ19" s="16"/>
      <c r="BA19" s="16"/>
      <c r="BB19" s="16"/>
      <c r="BC19" s="16"/>
      <c r="BD19" s="16">
        <v>1</v>
      </c>
      <c r="BE19" s="16">
        <v>7</v>
      </c>
      <c r="BF19" s="16">
        <v>3</v>
      </c>
      <c r="BG19" s="16">
        <v>1862</v>
      </c>
      <c r="BH19" s="16">
        <v>1</v>
      </c>
      <c r="BI19" s="16"/>
      <c r="BJ19" s="16">
        <v>10</v>
      </c>
      <c r="BK19" s="16">
        <v>4</v>
      </c>
      <c r="BL19" s="16"/>
      <c r="BM19" s="16"/>
      <c r="BN19" s="16"/>
      <c r="BO19" s="16">
        <v>43</v>
      </c>
    </row>
    <row r="20" spans="1:67" s="5" customFormat="1" ht="21.9" customHeight="1" x14ac:dyDescent="0.25">
      <c r="A20" s="125" t="s">
        <v>78</v>
      </c>
      <c r="B20" s="4"/>
      <c r="C20" s="47" t="s">
        <v>75</v>
      </c>
      <c r="D20" s="48"/>
      <c r="E20" s="16">
        <v>15598</v>
      </c>
      <c r="F20" s="16">
        <v>127</v>
      </c>
      <c r="G20" s="16">
        <v>79</v>
      </c>
      <c r="H20" s="16">
        <v>45</v>
      </c>
      <c r="I20" s="16">
        <v>126</v>
      </c>
      <c r="J20" s="16">
        <v>18</v>
      </c>
      <c r="K20" s="16">
        <v>122</v>
      </c>
      <c r="L20" s="16">
        <v>208</v>
      </c>
      <c r="M20" s="16">
        <v>39</v>
      </c>
      <c r="N20" s="16">
        <v>9</v>
      </c>
      <c r="O20" s="16">
        <v>23</v>
      </c>
      <c r="P20" s="16">
        <v>0</v>
      </c>
      <c r="Q20" s="16">
        <v>41</v>
      </c>
      <c r="R20" s="16">
        <v>317</v>
      </c>
      <c r="S20" s="16">
        <v>114</v>
      </c>
      <c r="T20" s="16">
        <v>78</v>
      </c>
      <c r="U20" s="16">
        <v>435</v>
      </c>
      <c r="V20" s="16">
        <v>80</v>
      </c>
      <c r="W20" s="16">
        <v>400</v>
      </c>
      <c r="X20" s="16">
        <v>105</v>
      </c>
      <c r="Y20" s="16">
        <v>301</v>
      </c>
      <c r="Z20" s="16">
        <v>837</v>
      </c>
      <c r="AA20" s="16">
        <v>26</v>
      </c>
      <c r="AB20" s="16">
        <v>85</v>
      </c>
      <c r="AC20" s="16">
        <v>40</v>
      </c>
      <c r="AD20" s="16">
        <v>2893</v>
      </c>
      <c r="AE20" s="16">
        <v>593</v>
      </c>
      <c r="AF20" s="16">
        <v>132</v>
      </c>
      <c r="AG20" s="16">
        <v>216</v>
      </c>
      <c r="AH20" s="16">
        <v>98</v>
      </c>
      <c r="AI20" s="16">
        <v>303</v>
      </c>
      <c r="AJ20" s="16">
        <v>4</v>
      </c>
      <c r="AK20" s="98">
        <v>215</v>
      </c>
      <c r="AL20" s="16">
        <v>51</v>
      </c>
      <c r="AM20" s="16">
        <v>42</v>
      </c>
      <c r="AN20" s="16">
        <v>330</v>
      </c>
      <c r="AO20" s="16">
        <v>4</v>
      </c>
      <c r="AP20" s="16">
        <v>6</v>
      </c>
      <c r="AQ20" s="16">
        <v>0</v>
      </c>
      <c r="AR20" s="16">
        <v>20</v>
      </c>
      <c r="AS20" s="16">
        <v>40</v>
      </c>
      <c r="AT20" s="16">
        <v>105</v>
      </c>
      <c r="AU20" s="16">
        <v>884</v>
      </c>
      <c r="AV20" s="16">
        <v>215</v>
      </c>
      <c r="AW20" s="16">
        <v>10</v>
      </c>
      <c r="AX20" s="16">
        <v>225</v>
      </c>
      <c r="AY20" s="16">
        <v>58</v>
      </c>
      <c r="AZ20" s="16">
        <v>0</v>
      </c>
      <c r="BA20" s="16">
        <v>16</v>
      </c>
      <c r="BB20" s="16">
        <v>17</v>
      </c>
      <c r="BC20" s="16">
        <v>146</v>
      </c>
      <c r="BD20" s="16">
        <v>297</v>
      </c>
      <c r="BE20" s="16">
        <v>302</v>
      </c>
      <c r="BF20" s="16">
        <v>473</v>
      </c>
      <c r="BG20" s="16">
        <v>863</v>
      </c>
      <c r="BH20" s="16">
        <v>51</v>
      </c>
      <c r="BI20" s="16">
        <v>379</v>
      </c>
      <c r="BJ20" s="16">
        <v>828</v>
      </c>
      <c r="BK20" s="16">
        <v>914</v>
      </c>
      <c r="BL20" s="16">
        <v>458</v>
      </c>
      <c r="BM20" s="16">
        <v>14</v>
      </c>
      <c r="BN20" s="16">
        <v>0</v>
      </c>
      <c r="BO20" s="16">
        <v>741</v>
      </c>
    </row>
    <row r="21" spans="1:67" s="5" customFormat="1" ht="21.9" customHeight="1" x14ac:dyDescent="0.25">
      <c r="A21" s="125"/>
      <c r="B21" s="4"/>
      <c r="C21" s="47" t="s">
        <v>133</v>
      </c>
      <c r="D21" s="48"/>
      <c r="E21" s="16">
        <v>1319</v>
      </c>
      <c r="F21" s="16">
        <v>1</v>
      </c>
      <c r="G21" s="16"/>
      <c r="H21" s="16">
        <v>2</v>
      </c>
      <c r="I21" s="16">
        <v>6</v>
      </c>
      <c r="J21" s="16">
        <v>1</v>
      </c>
      <c r="K21" s="16"/>
      <c r="L21" s="16">
        <v>34</v>
      </c>
      <c r="M21" s="16">
        <v>1</v>
      </c>
      <c r="N21" s="16"/>
      <c r="O21" s="16">
        <v>1</v>
      </c>
      <c r="P21" s="16"/>
      <c r="Q21" s="16">
        <v>1</v>
      </c>
      <c r="R21" s="16">
        <v>37</v>
      </c>
      <c r="S21" s="16">
        <v>9</v>
      </c>
      <c r="T21" s="16">
        <v>7</v>
      </c>
      <c r="U21" s="16">
        <v>72</v>
      </c>
      <c r="V21" s="16">
        <v>8</v>
      </c>
      <c r="W21" s="16">
        <v>16</v>
      </c>
      <c r="X21" s="16">
        <v>36</v>
      </c>
      <c r="Y21" s="16">
        <v>13</v>
      </c>
      <c r="Z21" s="16">
        <v>19</v>
      </c>
      <c r="AA21" s="16">
        <v>2</v>
      </c>
      <c r="AB21" s="16">
        <v>6</v>
      </c>
      <c r="AC21" s="16">
        <v>4</v>
      </c>
      <c r="AD21" s="16">
        <v>53</v>
      </c>
      <c r="AE21" s="16">
        <v>44</v>
      </c>
      <c r="AF21" s="16">
        <v>9</v>
      </c>
      <c r="AG21" s="16">
        <v>11</v>
      </c>
      <c r="AH21" s="16">
        <v>43</v>
      </c>
      <c r="AI21" s="16">
        <v>13</v>
      </c>
      <c r="AJ21" s="16">
        <v>1</v>
      </c>
      <c r="AK21" s="98">
        <v>39</v>
      </c>
      <c r="AL21" s="16">
        <v>2</v>
      </c>
      <c r="AM21" s="16"/>
      <c r="AN21" s="16">
        <v>44</v>
      </c>
      <c r="AO21" s="16">
        <v>2</v>
      </c>
      <c r="AP21" s="16"/>
      <c r="AQ21" s="16"/>
      <c r="AR21" s="16"/>
      <c r="AS21" s="16">
        <v>1</v>
      </c>
      <c r="AT21" s="16"/>
      <c r="AU21" s="16">
        <v>43</v>
      </c>
      <c r="AV21" s="16">
        <v>6</v>
      </c>
      <c r="AW21" s="16">
        <v>1</v>
      </c>
      <c r="AX21" s="16">
        <v>6</v>
      </c>
      <c r="AY21" s="16">
        <v>1</v>
      </c>
      <c r="AZ21" s="16"/>
      <c r="BA21" s="16"/>
      <c r="BB21" s="16"/>
      <c r="BC21" s="16">
        <v>1</v>
      </c>
      <c r="BD21" s="16">
        <v>3</v>
      </c>
      <c r="BE21" s="16">
        <v>19</v>
      </c>
      <c r="BF21" s="16">
        <v>23</v>
      </c>
      <c r="BG21" s="16">
        <v>626</v>
      </c>
      <c r="BH21" s="16"/>
      <c r="BI21" s="16">
        <v>28</v>
      </c>
      <c r="BJ21" s="16">
        <v>3</v>
      </c>
      <c r="BK21" s="16">
        <v>2</v>
      </c>
      <c r="BL21" s="16">
        <v>5</v>
      </c>
      <c r="BM21" s="16"/>
      <c r="BN21" s="16"/>
      <c r="BO21" s="16">
        <v>14</v>
      </c>
    </row>
    <row r="22" spans="1:67" s="5" customFormat="1" ht="21.9" customHeight="1" x14ac:dyDescent="0.25">
      <c r="A22" s="125" t="s">
        <v>79</v>
      </c>
      <c r="B22" s="4"/>
      <c r="C22" s="47" t="s">
        <v>212</v>
      </c>
      <c r="D22" s="48"/>
      <c r="E22" s="16">
        <v>18668</v>
      </c>
      <c r="F22" s="16">
        <v>427</v>
      </c>
      <c r="G22" s="16">
        <v>236</v>
      </c>
      <c r="H22" s="16">
        <v>264</v>
      </c>
      <c r="I22" s="16">
        <v>541</v>
      </c>
      <c r="J22" s="16">
        <v>86</v>
      </c>
      <c r="K22" s="16">
        <v>332</v>
      </c>
      <c r="L22" s="16">
        <v>471</v>
      </c>
      <c r="M22" s="16">
        <v>3</v>
      </c>
      <c r="N22" s="16">
        <v>28</v>
      </c>
      <c r="O22" s="16">
        <v>44</v>
      </c>
      <c r="P22" s="16">
        <v>0</v>
      </c>
      <c r="Q22" s="16">
        <v>165</v>
      </c>
      <c r="R22" s="16">
        <v>287</v>
      </c>
      <c r="S22" s="16">
        <v>196</v>
      </c>
      <c r="T22" s="16">
        <v>322</v>
      </c>
      <c r="U22" s="16">
        <v>371</v>
      </c>
      <c r="V22" s="16">
        <v>232</v>
      </c>
      <c r="W22" s="16">
        <v>417</v>
      </c>
      <c r="X22" s="16">
        <v>72</v>
      </c>
      <c r="Y22" s="16">
        <v>913</v>
      </c>
      <c r="Z22" s="16">
        <v>310</v>
      </c>
      <c r="AA22" s="16">
        <v>21</v>
      </c>
      <c r="AB22" s="16">
        <v>61</v>
      </c>
      <c r="AC22" s="16">
        <v>103</v>
      </c>
      <c r="AD22" s="16">
        <v>4027</v>
      </c>
      <c r="AE22" s="16">
        <v>861</v>
      </c>
      <c r="AF22" s="16">
        <v>324</v>
      </c>
      <c r="AG22" s="16">
        <v>204</v>
      </c>
      <c r="AH22" s="16">
        <v>116</v>
      </c>
      <c r="AI22" s="16">
        <v>20</v>
      </c>
      <c r="AJ22" s="16">
        <v>0</v>
      </c>
      <c r="AK22" s="98">
        <v>97</v>
      </c>
      <c r="AL22" s="16">
        <v>41</v>
      </c>
      <c r="AM22" s="16">
        <v>1</v>
      </c>
      <c r="AN22" s="16">
        <v>556</v>
      </c>
      <c r="AO22" s="16">
        <v>199</v>
      </c>
      <c r="AP22" s="16">
        <v>263</v>
      </c>
      <c r="AQ22" s="16">
        <v>21</v>
      </c>
      <c r="AR22" s="16">
        <v>10</v>
      </c>
      <c r="AS22" s="16">
        <v>172</v>
      </c>
      <c r="AT22" s="16">
        <v>272</v>
      </c>
      <c r="AU22" s="16">
        <v>990</v>
      </c>
      <c r="AV22" s="16">
        <v>439</v>
      </c>
      <c r="AW22" s="16">
        <v>292</v>
      </c>
      <c r="AX22" s="16">
        <v>61</v>
      </c>
      <c r="AY22" s="16">
        <v>0</v>
      </c>
      <c r="AZ22" s="16">
        <v>0</v>
      </c>
      <c r="BA22" s="16">
        <v>0</v>
      </c>
      <c r="BB22" s="16">
        <v>0</v>
      </c>
      <c r="BC22" s="16">
        <v>0</v>
      </c>
      <c r="BD22" s="16">
        <v>52</v>
      </c>
      <c r="BE22" s="16">
        <v>112</v>
      </c>
      <c r="BF22" s="16">
        <v>164</v>
      </c>
      <c r="BG22" s="16">
        <v>1728</v>
      </c>
      <c r="BH22" s="16">
        <v>136</v>
      </c>
      <c r="BI22" s="16">
        <v>3</v>
      </c>
      <c r="BJ22" s="16">
        <v>694</v>
      </c>
      <c r="BK22" s="16">
        <v>250</v>
      </c>
      <c r="BL22" s="16">
        <v>622</v>
      </c>
      <c r="BM22" s="16">
        <v>0</v>
      </c>
      <c r="BN22" s="16">
        <v>0</v>
      </c>
      <c r="BO22" s="16">
        <v>39</v>
      </c>
    </row>
    <row r="23" spans="1:67" s="5" customFormat="1" ht="21.9" customHeight="1" x14ac:dyDescent="0.25">
      <c r="A23" s="125"/>
      <c r="B23" s="4"/>
      <c r="C23" s="47" t="s">
        <v>133</v>
      </c>
      <c r="D23" s="48"/>
      <c r="E23" s="16">
        <v>311</v>
      </c>
      <c r="F23" s="16">
        <v>0</v>
      </c>
      <c r="G23" s="16"/>
      <c r="H23" s="16">
        <v>1</v>
      </c>
      <c r="I23" s="16"/>
      <c r="J23" s="16"/>
      <c r="K23" s="16">
        <v>1</v>
      </c>
      <c r="L23" s="16"/>
      <c r="M23" s="16"/>
      <c r="N23" s="16"/>
      <c r="O23" s="16"/>
      <c r="P23" s="16"/>
      <c r="Q23" s="16"/>
      <c r="R23" s="16"/>
      <c r="S23" s="16"/>
      <c r="T23" s="16">
        <v>2</v>
      </c>
      <c r="U23" s="16">
        <v>8</v>
      </c>
      <c r="V23" s="16"/>
      <c r="W23" s="16">
        <v>2</v>
      </c>
      <c r="X23" s="16">
        <v>1</v>
      </c>
      <c r="Y23" s="16">
        <v>5</v>
      </c>
      <c r="Z23" s="16">
        <v>1</v>
      </c>
      <c r="AA23" s="16"/>
      <c r="AB23" s="16"/>
      <c r="AC23" s="16"/>
      <c r="AD23" s="16">
        <v>9</v>
      </c>
      <c r="AE23" s="16">
        <v>1</v>
      </c>
      <c r="AF23" s="16"/>
      <c r="AG23" s="16">
        <v>3</v>
      </c>
      <c r="AH23" s="16">
        <v>9</v>
      </c>
      <c r="AI23" s="16">
        <v>0</v>
      </c>
      <c r="AJ23" s="16"/>
      <c r="AK23" s="98">
        <v>2</v>
      </c>
      <c r="AL23" s="16"/>
      <c r="AM23" s="16"/>
      <c r="AN23" s="16">
        <v>2</v>
      </c>
      <c r="AO23" s="16"/>
      <c r="AP23" s="16"/>
      <c r="AQ23" s="16"/>
      <c r="AR23" s="16"/>
      <c r="AS23" s="16">
        <v>7</v>
      </c>
      <c r="AT23" s="16"/>
      <c r="AU23" s="16"/>
      <c r="AV23" s="16">
        <v>1</v>
      </c>
      <c r="AW23" s="16"/>
      <c r="AX23" s="16"/>
      <c r="AY23" s="16"/>
      <c r="AZ23" s="16"/>
      <c r="BA23" s="16"/>
      <c r="BB23" s="16"/>
      <c r="BC23" s="16"/>
      <c r="BD23" s="16"/>
      <c r="BE23" s="16">
        <v>1</v>
      </c>
      <c r="BF23" s="16">
        <v>1</v>
      </c>
      <c r="BG23" s="16">
        <v>247</v>
      </c>
      <c r="BH23" s="16"/>
      <c r="BI23" s="16"/>
      <c r="BJ23" s="16">
        <v>7</v>
      </c>
      <c r="BK23" s="16"/>
      <c r="BL23" s="16"/>
      <c r="BM23" s="16"/>
      <c r="BN23" s="16"/>
      <c r="BO23" s="16"/>
    </row>
    <row r="24" spans="1:67" s="5" customFormat="1" ht="21.9" customHeight="1" x14ac:dyDescent="0.25">
      <c r="A24" s="125" t="s">
        <v>80</v>
      </c>
      <c r="B24" s="4"/>
      <c r="C24" s="47" t="s">
        <v>132</v>
      </c>
      <c r="D24" s="48"/>
      <c r="E24" s="16">
        <v>23649</v>
      </c>
      <c r="F24" s="16">
        <v>486</v>
      </c>
      <c r="G24" s="16">
        <v>252</v>
      </c>
      <c r="H24" s="16">
        <v>216</v>
      </c>
      <c r="I24" s="16">
        <v>308</v>
      </c>
      <c r="J24" s="16">
        <v>51</v>
      </c>
      <c r="K24" s="16">
        <v>1704</v>
      </c>
      <c r="L24" s="16">
        <v>615</v>
      </c>
      <c r="M24" s="16">
        <v>157</v>
      </c>
      <c r="N24" s="16">
        <v>41</v>
      </c>
      <c r="O24" s="16">
        <v>116</v>
      </c>
      <c r="P24" s="16">
        <v>35</v>
      </c>
      <c r="Q24" s="16">
        <v>92</v>
      </c>
      <c r="R24" s="16">
        <v>490</v>
      </c>
      <c r="S24" s="16">
        <v>211</v>
      </c>
      <c r="T24" s="16">
        <v>292</v>
      </c>
      <c r="U24" s="16">
        <v>1022</v>
      </c>
      <c r="V24" s="16">
        <v>336</v>
      </c>
      <c r="W24" s="16">
        <v>478</v>
      </c>
      <c r="X24" s="16">
        <v>214</v>
      </c>
      <c r="Y24" s="16">
        <v>941</v>
      </c>
      <c r="Z24" s="16">
        <v>561</v>
      </c>
      <c r="AA24" s="16">
        <v>167</v>
      </c>
      <c r="AB24" s="16">
        <v>231</v>
      </c>
      <c r="AC24" s="16">
        <v>317</v>
      </c>
      <c r="AD24" s="16">
        <v>2997</v>
      </c>
      <c r="AE24" s="16">
        <v>906</v>
      </c>
      <c r="AF24" s="16">
        <v>273</v>
      </c>
      <c r="AG24" s="16">
        <v>293</v>
      </c>
      <c r="AH24" s="16">
        <v>166</v>
      </c>
      <c r="AI24" s="16">
        <v>811</v>
      </c>
      <c r="AJ24" s="16">
        <v>62</v>
      </c>
      <c r="AK24" s="98">
        <v>325</v>
      </c>
      <c r="AL24" s="16">
        <v>120</v>
      </c>
      <c r="AM24" s="16">
        <v>78</v>
      </c>
      <c r="AN24" s="16">
        <v>470</v>
      </c>
      <c r="AO24" s="16">
        <v>66</v>
      </c>
      <c r="AP24" s="16">
        <v>46</v>
      </c>
      <c r="AQ24" s="16">
        <v>41</v>
      </c>
      <c r="AR24" s="16">
        <v>116</v>
      </c>
      <c r="AS24" s="16">
        <v>201</v>
      </c>
      <c r="AT24" s="16">
        <v>383</v>
      </c>
      <c r="AU24" s="16">
        <v>1524</v>
      </c>
      <c r="AV24" s="16">
        <v>457</v>
      </c>
      <c r="AW24" s="16">
        <v>82</v>
      </c>
      <c r="AX24" s="16">
        <v>471</v>
      </c>
      <c r="AY24" s="16">
        <v>120</v>
      </c>
      <c r="AZ24" s="16">
        <v>0</v>
      </c>
      <c r="BA24" s="16">
        <v>28</v>
      </c>
      <c r="BB24" s="16">
        <v>97</v>
      </c>
      <c r="BC24" s="16">
        <v>97</v>
      </c>
      <c r="BD24" s="16">
        <v>360</v>
      </c>
      <c r="BE24" s="16">
        <v>452</v>
      </c>
      <c r="BF24" s="16">
        <v>311</v>
      </c>
      <c r="BG24" s="16">
        <v>316</v>
      </c>
      <c r="BH24" s="16">
        <v>135</v>
      </c>
      <c r="BI24" s="16">
        <v>468</v>
      </c>
      <c r="BJ24" s="16">
        <v>419</v>
      </c>
      <c r="BK24" s="16">
        <v>528</v>
      </c>
      <c r="BL24" s="16">
        <v>363</v>
      </c>
      <c r="BM24" s="16">
        <v>158</v>
      </c>
      <c r="BN24" s="16">
        <v>52</v>
      </c>
      <c r="BO24" s="16">
        <v>524</v>
      </c>
    </row>
    <row r="25" spans="1:67" s="5" customFormat="1" ht="21.9" customHeight="1" x14ac:dyDescent="0.25">
      <c r="A25" s="125"/>
      <c r="B25" s="4"/>
      <c r="C25" s="47" t="s">
        <v>76</v>
      </c>
      <c r="D25" s="48"/>
      <c r="E25" s="16">
        <v>678</v>
      </c>
      <c r="F25" s="16"/>
      <c r="G25" s="16"/>
      <c r="H25" s="16"/>
      <c r="I25" s="16">
        <v>2</v>
      </c>
      <c r="J25" s="16"/>
      <c r="K25" s="16">
        <v>1</v>
      </c>
      <c r="L25" s="16"/>
      <c r="M25" s="16"/>
      <c r="N25" s="16"/>
      <c r="O25" s="16"/>
      <c r="P25" s="16"/>
      <c r="Q25" s="16"/>
      <c r="R25" s="16">
        <v>15</v>
      </c>
      <c r="S25" s="16"/>
      <c r="T25" s="16">
        <v>5</v>
      </c>
      <c r="U25" s="16">
        <v>19</v>
      </c>
      <c r="V25" s="16">
        <v>1</v>
      </c>
      <c r="W25" s="16">
        <v>5</v>
      </c>
      <c r="X25" s="16">
        <v>3</v>
      </c>
      <c r="Y25" s="16">
        <v>3</v>
      </c>
      <c r="Z25" s="16">
        <v>8</v>
      </c>
      <c r="AA25" s="16"/>
      <c r="AB25" s="16"/>
      <c r="AC25" s="16"/>
      <c r="AD25" s="16">
        <v>4</v>
      </c>
      <c r="AE25" s="16">
        <v>5</v>
      </c>
      <c r="AF25" s="16">
        <v>3</v>
      </c>
      <c r="AG25" s="16">
        <v>2</v>
      </c>
      <c r="AH25" s="16">
        <v>4</v>
      </c>
      <c r="AI25" s="16">
        <v>1</v>
      </c>
      <c r="AJ25" s="16"/>
      <c r="AK25" s="98">
        <v>11</v>
      </c>
      <c r="AL25" s="16">
        <v>1</v>
      </c>
      <c r="AM25" s="16">
        <v>1</v>
      </c>
      <c r="AN25" s="16">
        <v>2</v>
      </c>
      <c r="AO25" s="16"/>
      <c r="AP25" s="16"/>
      <c r="AQ25" s="16"/>
      <c r="AR25" s="16"/>
      <c r="AS25" s="16">
        <v>3</v>
      </c>
      <c r="AT25" s="16">
        <v>4</v>
      </c>
      <c r="AU25" s="16">
        <v>1</v>
      </c>
      <c r="AV25" s="16">
        <v>1</v>
      </c>
      <c r="AW25" s="16"/>
      <c r="AX25" s="16">
        <v>2</v>
      </c>
      <c r="AY25" s="16"/>
      <c r="AZ25" s="16"/>
      <c r="BA25" s="16"/>
      <c r="BB25" s="16"/>
      <c r="BC25" s="16"/>
      <c r="BD25" s="16"/>
      <c r="BE25" s="16">
        <v>1</v>
      </c>
      <c r="BF25" s="16">
        <v>2</v>
      </c>
      <c r="BG25" s="16">
        <v>547</v>
      </c>
      <c r="BH25" s="16"/>
      <c r="BI25" s="16"/>
      <c r="BJ25" s="16">
        <v>5</v>
      </c>
      <c r="BK25" s="16">
        <v>8</v>
      </c>
      <c r="BL25" s="16"/>
      <c r="BM25" s="16"/>
      <c r="BN25" s="16"/>
      <c r="BO25" s="16">
        <v>8</v>
      </c>
    </row>
    <row r="26" spans="1:67" s="5" customFormat="1" ht="21.9" customHeight="1" x14ac:dyDescent="0.25">
      <c r="A26" s="125" t="s">
        <v>284</v>
      </c>
      <c r="B26" s="4"/>
      <c r="C26" s="47" t="s">
        <v>75</v>
      </c>
      <c r="D26" s="48"/>
      <c r="E26" s="16">
        <v>41681</v>
      </c>
      <c r="F26" s="16">
        <v>840</v>
      </c>
      <c r="G26" s="16">
        <v>646</v>
      </c>
      <c r="H26" s="16">
        <v>570</v>
      </c>
      <c r="I26" s="16">
        <v>532</v>
      </c>
      <c r="J26" s="16">
        <v>52</v>
      </c>
      <c r="K26" s="16">
        <v>1873</v>
      </c>
      <c r="L26" s="16">
        <v>1378</v>
      </c>
      <c r="M26" s="16">
        <v>356</v>
      </c>
      <c r="N26" s="16">
        <v>254</v>
      </c>
      <c r="O26" s="16">
        <v>301</v>
      </c>
      <c r="P26" s="16">
        <v>0</v>
      </c>
      <c r="Q26" s="16">
        <v>962</v>
      </c>
      <c r="R26" s="16">
        <v>1051</v>
      </c>
      <c r="S26" s="16">
        <v>266</v>
      </c>
      <c r="T26" s="16">
        <v>899</v>
      </c>
      <c r="U26" s="16">
        <v>1360</v>
      </c>
      <c r="V26" s="16">
        <v>771</v>
      </c>
      <c r="W26" s="16">
        <v>1340</v>
      </c>
      <c r="X26" s="16">
        <v>478</v>
      </c>
      <c r="Y26" s="16">
        <v>1095</v>
      </c>
      <c r="Z26" s="16">
        <v>603</v>
      </c>
      <c r="AA26" s="16">
        <v>95</v>
      </c>
      <c r="AB26" s="16">
        <v>261</v>
      </c>
      <c r="AC26" s="16">
        <v>8</v>
      </c>
      <c r="AD26" s="16">
        <v>2322</v>
      </c>
      <c r="AE26" s="16">
        <v>1510</v>
      </c>
      <c r="AF26" s="16">
        <v>188</v>
      </c>
      <c r="AG26" s="16">
        <v>2076</v>
      </c>
      <c r="AH26" s="16">
        <v>333</v>
      </c>
      <c r="AI26" s="16">
        <v>707</v>
      </c>
      <c r="AJ26" s="16">
        <v>57</v>
      </c>
      <c r="AK26" s="98">
        <v>890</v>
      </c>
      <c r="AL26" s="16">
        <v>165</v>
      </c>
      <c r="AM26" s="16">
        <v>230</v>
      </c>
      <c r="AN26" s="16">
        <v>837</v>
      </c>
      <c r="AO26" s="16">
        <v>429</v>
      </c>
      <c r="AP26" s="16">
        <v>278</v>
      </c>
      <c r="AQ26" s="16">
        <v>0</v>
      </c>
      <c r="AR26" s="16">
        <v>168</v>
      </c>
      <c r="AS26" s="16">
        <v>289</v>
      </c>
      <c r="AT26" s="16">
        <v>847</v>
      </c>
      <c r="AU26" s="16">
        <v>1637</v>
      </c>
      <c r="AV26" s="16">
        <v>1581</v>
      </c>
      <c r="AW26" s="16">
        <v>94</v>
      </c>
      <c r="AX26" s="16">
        <v>371</v>
      </c>
      <c r="AY26" s="16">
        <v>123</v>
      </c>
      <c r="AZ26" s="16">
        <v>0</v>
      </c>
      <c r="BA26" s="16">
        <v>182</v>
      </c>
      <c r="BB26" s="16">
        <v>450</v>
      </c>
      <c r="BC26" s="16">
        <v>94</v>
      </c>
      <c r="BD26" s="16">
        <v>726</v>
      </c>
      <c r="BE26" s="16">
        <v>1078</v>
      </c>
      <c r="BF26" s="16">
        <v>306</v>
      </c>
      <c r="BG26" s="16">
        <v>2429</v>
      </c>
      <c r="BH26" s="16">
        <v>397</v>
      </c>
      <c r="BI26" s="16">
        <v>582</v>
      </c>
      <c r="BJ26" s="16">
        <v>944</v>
      </c>
      <c r="BK26" s="16">
        <v>664</v>
      </c>
      <c r="BL26" s="16">
        <v>909</v>
      </c>
      <c r="BM26" s="16">
        <v>202</v>
      </c>
      <c r="BN26" s="16">
        <v>372</v>
      </c>
      <c r="BO26" s="16">
        <v>1223</v>
      </c>
    </row>
    <row r="27" spans="1:67" s="5" customFormat="1" ht="21.9" customHeight="1" x14ac:dyDescent="0.25">
      <c r="A27" s="125"/>
      <c r="B27" s="4"/>
      <c r="C27" s="47" t="s">
        <v>76</v>
      </c>
      <c r="D27" s="48"/>
      <c r="E27" s="16">
        <v>2556</v>
      </c>
      <c r="F27" s="16"/>
      <c r="G27" s="16"/>
      <c r="H27" s="16">
        <v>6</v>
      </c>
      <c r="I27" s="16">
        <v>3</v>
      </c>
      <c r="J27" s="16"/>
      <c r="K27" s="16"/>
      <c r="L27" s="16">
        <v>6</v>
      </c>
      <c r="M27" s="16"/>
      <c r="N27" s="16"/>
      <c r="O27" s="16"/>
      <c r="P27" s="16"/>
      <c r="Q27" s="16">
        <v>7</v>
      </c>
      <c r="R27" s="16">
        <v>13</v>
      </c>
      <c r="S27" s="16">
        <v>1</v>
      </c>
      <c r="T27" s="16">
        <v>6</v>
      </c>
      <c r="U27" s="16">
        <v>24</v>
      </c>
      <c r="V27" s="16">
        <v>2</v>
      </c>
      <c r="W27" s="16">
        <v>13</v>
      </c>
      <c r="X27" s="16"/>
      <c r="Y27" s="16">
        <v>7</v>
      </c>
      <c r="Z27" s="16">
        <v>2</v>
      </c>
      <c r="AA27" s="16"/>
      <c r="AB27" s="16">
        <v>11</v>
      </c>
      <c r="AC27" s="16"/>
      <c r="AD27" s="16">
        <v>20</v>
      </c>
      <c r="AE27" s="16">
        <v>27</v>
      </c>
      <c r="AF27" s="16">
        <v>2</v>
      </c>
      <c r="AG27" s="16">
        <v>11</v>
      </c>
      <c r="AH27" s="16">
        <v>5</v>
      </c>
      <c r="AI27" s="16">
        <v>5</v>
      </c>
      <c r="AJ27" s="16"/>
      <c r="AK27" s="98">
        <v>14</v>
      </c>
      <c r="AL27" s="16"/>
      <c r="AM27" s="16"/>
      <c r="AN27" s="16">
        <v>8</v>
      </c>
      <c r="AO27" s="16"/>
      <c r="AP27" s="16"/>
      <c r="AQ27" s="16"/>
      <c r="AR27" s="16"/>
      <c r="AS27" s="16">
        <v>11</v>
      </c>
      <c r="AT27" s="16">
        <v>1</v>
      </c>
      <c r="AU27" s="16">
        <v>53</v>
      </c>
      <c r="AV27" s="16"/>
      <c r="AW27" s="16"/>
      <c r="AX27" s="16">
        <v>7</v>
      </c>
      <c r="AY27" s="16"/>
      <c r="AZ27" s="16"/>
      <c r="BA27" s="16"/>
      <c r="BB27" s="16"/>
      <c r="BC27" s="16"/>
      <c r="BD27" s="16">
        <v>9</v>
      </c>
      <c r="BE27" s="16">
        <v>42</v>
      </c>
      <c r="BF27" s="16">
        <v>7</v>
      </c>
      <c r="BG27" s="16">
        <v>1749</v>
      </c>
      <c r="BH27" s="16"/>
      <c r="BI27" s="16"/>
      <c r="BJ27" s="16">
        <v>48</v>
      </c>
      <c r="BK27" s="16">
        <v>6</v>
      </c>
      <c r="BL27" s="16">
        <v>8</v>
      </c>
      <c r="BM27" s="16"/>
      <c r="BN27" s="16"/>
      <c r="BO27" s="16">
        <v>422</v>
      </c>
    </row>
    <row r="28" spans="1:67" s="5" customFormat="1" ht="21.9" customHeight="1" x14ac:dyDescent="0.25">
      <c r="A28" s="125" t="s">
        <v>189</v>
      </c>
      <c r="B28" s="4"/>
      <c r="C28" s="47" t="s">
        <v>132</v>
      </c>
      <c r="D28" s="48"/>
      <c r="E28" s="16">
        <v>7422</v>
      </c>
      <c r="F28" s="16">
        <v>2</v>
      </c>
      <c r="G28" s="16">
        <v>4</v>
      </c>
      <c r="H28" s="16">
        <v>0</v>
      </c>
      <c r="I28" s="16">
        <v>5</v>
      </c>
      <c r="J28" s="16">
        <v>0</v>
      </c>
      <c r="K28" s="16">
        <v>261</v>
      </c>
      <c r="L28" s="16">
        <v>86</v>
      </c>
      <c r="M28" s="16">
        <v>0</v>
      </c>
      <c r="N28" s="16">
        <v>5</v>
      </c>
      <c r="O28" s="16">
        <v>0</v>
      </c>
      <c r="P28" s="16">
        <v>0</v>
      </c>
      <c r="Q28" s="16">
        <v>35</v>
      </c>
      <c r="R28" s="16">
        <v>72</v>
      </c>
      <c r="S28" s="16">
        <v>0</v>
      </c>
      <c r="T28" s="16">
        <v>79</v>
      </c>
      <c r="U28" s="16">
        <v>377</v>
      </c>
      <c r="V28" s="16">
        <v>27</v>
      </c>
      <c r="W28" s="16">
        <v>374</v>
      </c>
      <c r="X28" s="16">
        <v>4</v>
      </c>
      <c r="Y28" s="16">
        <v>51</v>
      </c>
      <c r="Z28" s="16">
        <v>67</v>
      </c>
      <c r="AA28" s="16">
        <v>2</v>
      </c>
      <c r="AB28" s="16">
        <v>25</v>
      </c>
      <c r="AC28" s="16">
        <v>0</v>
      </c>
      <c r="AD28" s="16">
        <v>1168</v>
      </c>
      <c r="AE28" s="16">
        <v>112</v>
      </c>
      <c r="AF28" s="16">
        <v>84</v>
      </c>
      <c r="AG28" s="16">
        <v>596</v>
      </c>
      <c r="AH28" s="16">
        <v>48</v>
      </c>
      <c r="AI28" s="16">
        <v>0</v>
      </c>
      <c r="AJ28" s="16">
        <v>3</v>
      </c>
      <c r="AK28" s="98">
        <v>13</v>
      </c>
      <c r="AL28" s="16">
        <v>0</v>
      </c>
      <c r="AM28" s="16">
        <v>0</v>
      </c>
      <c r="AN28" s="16">
        <v>18</v>
      </c>
      <c r="AO28" s="16">
        <v>2</v>
      </c>
      <c r="AP28" s="16">
        <v>0</v>
      </c>
      <c r="AQ28" s="16">
        <v>0</v>
      </c>
      <c r="AR28" s="16">
        <v>119</v>
      </c>
      <c r="AS28" s="16">
        <v>11</v>
      </c>
      <c r="AT28" s="16">
        <v>0</v>
      </c>
      <c r="AU28" s="16">
        <v>84</v>
      </c>
      <c r="AV28" s="16">
        <v>1974</v>
      </c>
      <c r="AW28" s="16">
        <v>0</v>
      </c>
      <c r="AX28" s="16">
        <v>5</v>
      </c>
      <c r="AY28" s="16">
        <v>0</v>
      </c>
      <c r="AZ28" s="16">
        <v>0</v>
      </c>
      <c r="BA28" s="16">
        <v>0</v>
      </c>
      <c r="BB28" s="16">
        <v>0</v>
      </c>
      <c r="BC28" s="16">
        <v>2</v>
      </c>
      <c r="BD28" s="16">
        <v>0</v>
      </c>
      <c r="BE28" s="16">
        <v>11</v>
      </c>
      <c r="BF28" s="16">
        <v>0</v>
      </c>
      <c r="BG28" s="16">
        <v>291</v>
      </c>
      <c r="BH28" s="16">
        <v>47</v>
      </c>
      <c r="BI28" s="16">
        <v>1028</v>
      </c>
      <c r="BJ28" s="16">
        <v>121</v>
      </c>
      <c r="BK28" s="16">
        <v>0</v>
      </c>
      <c r="BL28" s="16">
        <v>18</v>
      </c>
      <c r="BM28" s="16">
        <v>36</v>
      </c>
      <c r="BN28" s="16">
        <v>0</v>
      </c>
      <c r="BO28" s="16">
        <v>155</v>
      </c>
    </row>
    <row r="29" spans="1:67" s="5" customFormat="1" ht="21.9" customHeight="1" x14ac:dyDescent="0.25">
      <c r="A29" s="125"/>
      <c r="B29" s="4"/>
      <c r="C29" s="47" t="s">
        <v>76</v>
      </c>
      <c r="D29" s="48"/>
      <c r="E29" s="16">
        <v>349</v>
      </c>
      <c r="F29" s="26"/>
      <c r="G29" s="26"/>
      <c r="H29" s="26"/>
      <c r="I29" s="26"/>
      <c r="J29" s="26"/>
      <c r="K29" s="26"/>
      <c r="L29" s="26">
        <v>1</v>
      </c>
      <c r="M29" s="26"/>
      <c r="N29" s="26"/>
      <c r="O29" s="26"/>
      <c r="P29" s="26"/>
      <c r="Q29" s="26"/>
      <c r="R29" s="26"/>
      <c r="S29" s="26"/>
      <c r="T29" s="16"/>
      <c r="U29" s="16">
        <v>6</v>
      </c>
      <c r="V29" s="16"/>
      <c r="W29" s="16"/>
      <c r="X29" s="16"/>
      <c r="Y29" s="16"/>
      <c r="Z29" s="16">
        <v>2</v>
      </c>
      <c r="AA29" s="16"/>
      <c r="AB29" s="16"/>
      <c r="AC29" s="16"/>
      <c r="AD29" s="16">
        <v>2</v>
      </c>
      <c r="AE29" s="16"/>
      <c r="AF29" s="16"/>
      <c r="AG29" s="16"/>
      <c r="AH29" s="16"/>
      <c r="AI29" s="16"/>
      <c r="AJ29" s="16"/>
      <c r="AK29" s="98"/>
      <c r="AL29" s="16"/>
      <c r="AM29" s="16"/>
      <c r="AN29" s="16"/>
      <c r="AO29" s="26"/>
      <c r="AP29" s="26"/>
      <c r="AQ29" s="26"/>
      <c r="AR29" s="26">
        <v>1</v>
      </c>
      <c r="AS29" s="26"/>
      <c r="AT29" s="26"/>
      <c r="AU29" s="26"/>
      <c r="AV29" s="26">
        <v>5</v>
      </c>
      <c r="AW29" s="26"/>
      <c r="AX29" s="26"/>
      <c r="AY29" s="16"/>
      <c r="AZ29" s="16"/>
      <c r="BA29" s="16"/>
      <c r="BB29" s="16"/>
      <c r="BC29" s="16"/>
      <c r="BD29" s="16"/>
      <c r="BE29" s="16"/>
      <c r="BF29" s="16"/>
      <c r="BG29" s="16">
        <v>281</v>
      </c>
      <c r="BH29" s="16">
        <v>47</v>
      </c>
      <c r="BI29" s="16"/>
      <c r="BJ29" s="16"/>
      <c r="BK29" s="16"/>
      <c r="BL29" s="16"/>
      <c r="BM29" s="16"/>
      <c r="BN29" s="16"/>
      <c r="BO29" s="16">
        <v>4</v>
      </c>
    </row>
    <row r="30" spans="1:67" s="5" customFormat="1" ht="21.9" customHeight="1" x14ac:dyDescent="0.25">
      <c r="A30" s="125" t="s">
        <v>194</v>
      </c>
      <c r="B30" s="4"/>
      <c r="C30" s="47" t="s">
        <v>75</v>
      </c>
      <c r="D30" s="48"/>
      <c r="E30" s="16">
        <v>51928</v>
      </c>
      <c r="F30" s="16">
        <v>1528</v>
      </c>
      <c r="G30" s="16">
        <v>324</v>
      </c>
      <c r="H30" s="16">
        <v>181</v>
      </c>
      <c r="I30" s="16">
        <v>961</v>
      </c>
      <c r="J30" s="16">
        <v>25</v>
      </c>
      <c r="K30" s="16">
        <v>854</v>
      </c>
      <c r="L30" s="16">
        <v>1254</v>
      </c>
      <c r="M30" s="16">
        <v>180</v>
      </c>
      <c r="N30" s="16">
        <v>91</v>
      </c>
      <c r="O30" s="16">
        <v>126</v>
      </c>
      <c r="P30" s="16">
        <v>1</v>
      </c>
      <c r="Q30" s="16">
        <v>189</v>
      </c>
      <c r="R30" s="16">
        <v>529</v>
      </c>
      <c r="S30" s="16">
        <v>585</v>
      </c>
      <c r="T30" s="16">
        <v>600</v>
      </c>
      <c r="U30" s="16">
        <v>1394</v>
      </c>
      <c r="V30" s="16">
        <v>165</v>
      </c>
      <c r="W30" s="16">
        <v>611</v>
      </c>
      <c r="X30" s="16">
        <v>126</v>
      </c>
      <c r="Y30" s="16">
        <v>1206</v>
      </c>
      <c r="Z30" s="16">
        <v>380</v>
      </c>
      <c r="AA30" s="16">
        <v>237</v>
      </c>
      <c r="AB30" s="16">
        <v>312</v>
      </c>
      <c r="AC30" s="16">
        <v>175</v>
      </c>
      <c r="AD30" s="16">
        <v>7734</v>
      </c>
      <c r="AE30" s="16">
        <v>1769</v>
      </c>
      <c r="AF30" s="16">
        <v>302</v>
      </c>
      <c r="AG30" s="16">
        <v>1188</v>
      </c>
      <c r="AH30" s="16">
        <v>234</v>
      </c>
      <c r="AI30" s="16">
        <v>316</v>
      </c>
      <c r="AJ30" s="16">
        <v>10</v>
      </c>
      <c r="AK30" s="98">
        <v>381</v>
      </c>
      <c r="AL30" s="16">
        <v>128</v>
      </c>
      <c r="AM30" s="16">
        <v>48</v>
      </c>
      <c r="AN30" s="16">
        <v>1686</v>
      </c>
      <c r="AO30" s="16">
        <v>4</v>
      </c>
      <c r="AP30" s="16">
        <v>15</v>
      </c>
      <c r="AQ30" s="16">
        <v>3</v>
      </c>
      <c r="AR30" s="16">
        <v>346</v>
      </c>
      <c r="AS30" s="16">
        <v>812</v>
      </c>
      <c r="AT30" s="16">
        <v>4530</v>
      </c>
      <c r="AU30" s="16">
        <v>8319</v>
      </c>
      <c r="AV30" s="16">
        <v>2581</v>
      </c>
      <c r="AW30" s="16">
        <v>16</v>
      </c>
      <c r="AX30" s="16">
        <v>610</v>
      </c>
      <c r="AY30" s="16">
        <v>89</v>
      </c>
      <c r="AZ30" s="16">
        <v>12</v>
      </c>
      <c r="BA30" s="16">
        <v>0</v>
      </c>
      <c r="BB30" s="16">
        <v>2</v>
      </c>
      <c r="BC30" s="16">
        <v>0</v>
      </c>
      <c r="BD30" s="16">
        <v>681</v>
      </c>
      <c r="BE30" s="16">
        <v>643</v>
      </c>
      <c r="BF30" s="16">
        <v>626</v>
      </c>
      <c r="BG30" s="16">
        <v>2813</v>
      </c>
      <c r="BH30" s="16">
        <v>107</v>
      </c>
      <c r="BI30" s="16">
        <v>284</v>
      </c>
      <c r="BJ30" s="16">
        <v>662</v>
      </c>
      <c r="BK30" s="16">
        <v>455</v>
      </c>
      <c r="BL30" s="16">
        <v>611</v>
      </c>
      <c r="BM30" s="16">
        <v>1758</v>
      </c>
      <c r="BN30" s="16">
        <v>0</v>
      </c>
      <c r="BO30" s="16">
        <v>119</v>
      </c>
    </row>
    <row r="31" spans="1:67" s="5" customFormat="1" ht="21.9" customHeight="1" x14ac:dyDescent="0.25">
      <c r="A31" s="125"/>
      <c r="B31" s="4"/>
      <c r="C31" s="47" t="s">
        <v>76</v>
      </c>
      <c r="D31" s="48"/>
      <c r="E31" s="16">
        <v>633</v>
      </c>
      <c r="F31" s="26">
        <v>5</v>
      </c>
      <c r="G31" s="26">
        <v>5</v>
      </c>
      <c r="H31" s="26"/>
      <c r="I31" s="26">
        <v>13</v>
      </c>
      <c r="J31" s="26"/>
      <c r="K31" s="26"/>
      <c r="L31" s="26">
        <v>5</v>
      </c>
      <c r="M31" s="26"/>
      <c r="N31" s="26"/>
      <c r="O31" s="26"/>
      <c r="P31" s="26">
        <v>1</v>
      </c>
      <c r="Q31" s="26">
        <v>2</v>
      </c>
      <c r="R31" s="26">
        <v>3</v>
      </c>
      <c r="S31" s="26"/>
      <c r="T31" s="16">
        <v>2</v>
      </c>
      <c r="U31" s="16">
        <v>8</v>
      </c>
      <c r="V31" s="16">
        <v>2</v>
      </c>
      <c r="W31" s="16">
        <v>2</v>
      </c>
      <c r="X31" s="16">
        <v>2</v>
      </c>
      <c r="Y31" s="16">
        <v>6</v>
      </c>
      <c r="Z31" s="16">
        <v>2</v>
      </c>
      <c r="AA31" s="16"/>
      <c r="AB31" s="16">
        <v>2</v>
      </c>
      <c r="AC31" s="16">
        <v>1</v>
      </c>
      <c r="AD31" s="16">
        <v>28</v>
      </c>
      <c r="AE31" s="16">
        <v>22</v>
      </c>
      <c r="AF31" s="16"/>
      <c r="AG31" s="16">
        <v>7</v>
      </c>
      <c r="AH31" s="16">
        <v>1</v>
      </c>
      <c r="AI31" s="16">
        <v>1</v>
      </c>
      <c r="AJ31" s="16"/>
      <c r="AK31" s="98">
        <v>13</v>
      </c>
      <c r="AL31" s="16"/>
      <c r="AM31" s="16"/>
      <c r="AN31" s="16">
        <v>21</v>
      </c>
      <c r="AO31" s="26"/>
      <c r="AP31" s="26"/>
      <c r="AQ31" s="26"/>
      <c r="AR31" s="26">
        <v>3</v>
      </c>
      <c r="AS31" s="26">
        <v>15</v>
      </c>
      <c r="AT31" s="26"/>
      <c r="AU31" s="26">
        <v>8</v>
      </c>
      <c r="AV31" s="26"/>
      <c r="AW31" s="26"/>
      <c r="AX31" s="26">
        <v>3</v>
      </c>
      <c r="AY31" s="16">
        <v>11</v>
      </c>
      <c r="AZ31" s="16"/>
      <c r="BA31" s="16"/>
      <c r="BB31" s="16"/>
      <c r="BC31" s="16"/>
      <c r="BD31" s="16"/>
      <c r="BE31" s="16">
        <v>1</v>
      </c>
      <c r="BF31" s="16"/>
      <c r="BG31" s="16">
        <v>417</v>
      </c>
      <c r="BH31" s="16"/>
      <c r="BI31" s="16">
        <v>6</v>
      </c>
      <c r="BJ31" s="16">
        <v>15</v>
      </c>
      <c r="BK31" s="16"/>
      <c r="BL31" s="16"/>
      <c r="BM31" s="16"/>
      <c r="BN31" s="16"/>
      <c r="BO31" s="16"/>
    </row>
    <row r="32" spans="1:67" s="5" customFormat="1" ht="21.9" customHeight="1" x14ac:dyDescent="0.25">
      <c r="A32" s="125" t="s">
        <v>81</v>
      </c>
      <c r="C32" s="47" t="s">
        <v>142</v>
      </c>
      <c r="D32" s="48"/>
      <c r="E32" s="16">
        <v>21675</v>
      </c>
      <c r="F32" s="16">
        <v>333</v>
      </c>
      <c r="G32" s="16">
        <v>256</v>
      </c>
      <c r="H32" s="16">
        <v>363</v>
      </c>
      <c r="I32" s="16">
        <v>291</v>
      </c>
      <c r="J32" s="16">
        <v>7</v>
      </c>
      <c r="K32" s="16">
        <v>283</v>
      </c>
      <c r="L32" s="16">
        <v>321</v>
      </c>
      <c r="M32" s="16">
        <v>99</v>
      </c>
      <c r="N32" s="16">
        <v>37</v>
      </c>
      <c r="O32" s="16">
        <v>64</v>
      </c>
      <c r="P32" s="16">
        <v>0</v>
      </c>
      <c r="Q32" s="16">
        <v>66</v>
      </c>
      <c r="R32" s="16">
        <v>208</v>
      </c>
      <c r="S32" s="16">
        <v>146</v>
      </c>
      <c r="T32" s="16">
        <v>150</v>
      </c>
      <c r="U32" s="16">
        <v>643</v>
      </c>
      <c r="V32" s="16">
        <v>269</v>
      </c>
      <c r="W32" s="16">
        <v>265</v>
      </c>
      <c r="X32" s="16">
        <v>144</v>
      </c>
      <c r="Y32" s="16">
        <v>753</v>
      </c>
      <c r="Z32" s="16">
        <v>489</v>
      </c>
      <c r="AA32" s="16">
        <v>25</v>
      </c>
      <c r="AB32" s="16">
        <v>117</v>
      </c>
      <c r="AC32" s="16">
        <v>124</v>
      </c>
      <c r="AD32" s="16">
        <v>3471</v>
      </c>
      <c r="AE32" s="16">
        <v>1557</v>
      </c>
      <c r="AF32" s="16">
        <v>254</v>
      </c>
      <c r="AG32" s="16">
        <v>169</v>
      </c>
      <c r="AH32" s="16">
        <v>247</v>
      </c>
      <c r="AI32" s="16">
        <v>265</v>
      </c>
      <c r="AJ32" s="16">
        <v>9</v>
      </c>
      <c r="AK32" s="98">
        <v>187</v>
      </c>
      <c r="AL32" s="16">
        <v>86</v>
      </c>
      <c r="AM32" s="16">
        <v>85</v>
      </c>
      <c r="AN32" s="16">
        <v>665</v>
      </c>
      <c r="AO32" s="16">
        <v>22</v>
      </c>
      <c r="AP32" s="16">
        <v>10</v>
      </c>
      <c r="AQ32" s="16">
        <v>1</v>
      </c>
      <c r="AR32" s="16">
        <v>90</v>
      </c>
      <c r="AS32" s="16">
        <v>182</v>
      </c>
      <c r="AT32" s="16">
        <v>419</v>
      </c>
      <c r="AU32" s="16">
        <v>1637</v>
      </c>
      <c r="AV32" s="16">
        <v>419</v>
      </c>
      <c r="AW32" s="16">
        <v>13</v>
      </c>
      <c r="AX32" s="16">
        <v>261</v>
      </c>
      <c r="AY32" s="16">
        <v>63</v>
      </c>
      <c r="AZ32" s="16">
        <v>0</v>
      </c>
      <c r="BA32" s="16">
        <v>0</v>
      </c>
      <c r="BB32" s="16">
        <v>0</v>
      </c>
      <c r="BC32" s="16">
        <v>2</v>
      </c>
      <c r="BD32" s="16">
        <v>169</v>
      </c>
      <c r="BE32" s="16">
        <v>205</v>
      </c>
      <c r="BF32" s="16">
        <v>171</v>
      </c>
      <c r="BG32" s="16">
        <v>1083</v>
      </c>
      <c r="BH32" s="16">
        <v>569</v>
      </c>
      <c r="BI32" s="16">
        <v>198</v>
      </c>
      <c r="BJ32" s="16">
        <v>1167</v>
      </c>
      <c r="BK32" s="16">
        <v>1053</v>
      </c>
      <c r="BL32" s="16">
        <v>801</v>
      </c>
      <c r="BM32" s="16">
        <v>148</v>
      </c>
      <c r="BN32" s="16">
        <v>0</v>
      </c>
      <c r="BO32" s="16">
        <v>544</v>
      </c>
    </row>
    <row r="33" spans="1:67" s="5" customFormat="1" ht="21.9" customHeight="1" x14ac:dyDescent="0.25">
      <c r="A33" s="125"/>
      <c r="C33" s="47" t="s">
        <v>131</v>
      </c>
      <c r="D33" s="48"/>
      <c r="E33" s="16">
        <v>1386</v>
      </c>
      <c r="F33" s="26">
        <v>0</v>
      </c>
      <c r="G33" s="26">
        <v>0</v>
      </c>
      <c r="H33" s="26">
        <v>1</v>
      </c>
      <c r="I33" s="26">
        <v>1</v>
      </c>
      <c r="J33" s="26">
        <v>0</v>
      </c>
      <c r="K33" s="26">
        <v>2</v>
      </c>
      <c r="L33" s="26">
        <v>6</v>
      </c>
      <c r="M33" s="26">
        <v>0</v>
      </c>
      <c r="N33" s="26">
        <v>0</v>
      </c>
      <c r="O33" s="26">
        <v>0</v>
      </c>
      <c r="P33" s="26">
        <v>0</v>
      </c>
      <c r="Q33" s="26">
        <v>3</v>
      </c>
      <c r="R33" s="26">
        <v>14</v>
      </c>
      <c r="S33" s="26">
        <v>2</v>
      </c>
      <c r="T33" s="16">
        <v>3</v>
      </c>
      <c r="U33" s="16">
        <v>24</v>
      </c>
      <c r="V33" s="16">
        <v>3</v>
      </c>
      <c r="W33" s="16">
        <v>17</v>
      </c>
      <c r="X33" s="16">
        <v>4</v>
      </c>
      <c r="Y33" s="16">
        <v>15</v>
      </c>
      <c r="Z33" s="16">
        <v>11</v>
      </c>
      <c r="AA33" s="16">
        <v>2</v>
      </c>
      <c r="AB33" s="16">
        <v>1</v>
      </c>
      <c r="AC33" s="16">
        <v>32</v>
      </c>
      <c r="AD33" s="16">
        <v>44</v>
      </c>
      <c r="AE33" s="16">
        <v>68</v>
      </c>
      <c r="AF33" s="16">
        <v>5</v>
      </c>
      <c r="AG33" s="16">
        <v>7</v>
      </c>
      <c r="AH33" s="16">
        <v>17</v>
      </c>
      <c r="AI33" s="16">
        <v>3</v>
      </c>
      <c r="AJ33" s="16">
        <v>0</v>
      </c>
      <c r="AK33" s="98">
        <v>19</v>
      </c>
      <c r="AL33" s="16">
        <v>0</v>
      </c>
      <c r="AM33" s="16">
        <v>0</v>
      </c>
      <c r="AN33" s="16">
        <v>34</v>
      </c>
      <c r="AO33" s="26">
        <v>0</v>
      </c>
      <c r="AP33" s="26">
        <v>0</v>
      </c>
      <c r="AQ33" s="26">
        <v>0</v>
      </c>
      <c r="AR33" s="26">
        <v>8</v>
      </c>
      <c r="AS33" s="26">
        <v>4</v>
      </c>
      <c r="AT33" s="26">
        <v>1</v>
      </c>
      <c r="AU33" s="26">
        <v>10</v>
      </c>
      <c r="AV33" s="26">
        <v>2</v>
      </c>
      <c r="AW33" s="26">
        <v>0</v>
      </c>
      <c r="AX33" s="26">
        <v>0</v>
      </c>
      <c r="AY33" s="16">
        <v>0</v>
      </c>
      <c r="AZ33" s="16">
        <v>0</v>
      </c>
      <c r="BA33" s="16">
        <v>0</v>
      </c>
      <c r="BB33" s="16">
        <v>0</v>
      </c>
      <c r="BC33" s="16">
        <v>0</v>
      </c>
      <c r="BD33" s="16">
        <v>0</v>
      </c>
      <c r="BE33" s="16">
        <v>9</v>
      </c>
      <c r="BF33" s="16">
        <v>5</v>
      </c>
      <c r="BG33" s="16">
        <v>913</v>
      </c>
      <c r="BH33" s="16">
        <v>0</v>
      </c>
      <c r="BI33" s="16">
        <v>12</v>
      </c>
      <c r="BJ33" s="16">
        <v>49</v>
      </c>
      <c r="BK33" s="16">
        <v>28</v>
      </c>
      <c r="BL33" s="16">
        <v>5</v>
      </c>
      <c r="BM33" s="16">
        <v>0</v>
      </c>
      <c r="BN33" s="16">
        <v>0</v>
      </c>
      <c r="BO33" s="16">
        <v>2</v>
      </c>
    </row>
    <row r="34" spans="1:67" s="5" customFormat="1" ht="21.9" customHeight="1" x14ac:dyDescent="0.25">
      <c r="A34" s="125" t="s">
        <v>185</v>
      </c>
      <c r="B34" s="4"/>
      <c r="C34" s="47" t="s">
        <v>75</v>
      </c>
      <c r="D34" s="48"/>
      <c r="E34" s="16">
        <v>46525</v>
      </c>
      <c r="F34" s="16">
        <v>1073</v>
      </c>
      <c r="G34" s="16">
        <v>813</v>
      </c>
      <c r="H34" s="16">
        <v>576</v>
      </c>
      <c r="I34" s="16">
        <v>219</v>
      </c>
      <c r="J34" s="16">
        <v>30</v>
      </c>
      <c r="K34" s="16">
        <v>431</v>
      </c>
      <c r="L34" s="16">
        <v>209</v>
      </c>
      <c r="M34" s="16">
        <v>316</v>
      </c>
      <c r="N34" s="16">
        <v>138</v>
      </c>
      <c r="O34" s="16">
        <v>35</v>
      </c>
      <c r="P34" s="16">
        <v>130</v>
      </c>
      <c r="Q34" s="16">
        <v>23</v>
      </c>
      <c r="R34" s="16">
        <v>101</v>
      </c>
      <c r="S34" s="16">
        <v>340</v>
      </c>
      <c r="T34" s="16">
        <v>158</v>
      </c>
      <c r="U34" s="16">
        <v>452</v>
      </c>
      <c r="V34" s="16">
        <v>306</v>
      </c>
      <c r="W34" s="16">
        <v>257</v>
      </c>
      <c r="X34" s="16">
        <v>325</v>
      </c>
      <c r="Y34" s="16">
        <v>1357</v>
      </c>
      <c r="Z34" s="16">
        <v>403</v>
      </c>
      <c r="AA34" s="16">
        <v>396</v>
      </c>
      <c r="AB34" s="16">
        <v>111</v>
      </c>
      <c r="AC34" s="16">
        <v>33</v>
      </c>
      <c r="AD34" s="16">
        <v>6466</v>
      </c>
      <c r="AE34" s="16">
        <v>5607</v>
      </c>
      <c r="AF34" s="16">
        <v>240</v>
      </c>
      <c r="AG34" s="16">
        <v>583</v>
      </c>
      <c r="AH34" s="16">
        <v>267</v>
      </c>
      <c r="AI34" s="16">
        <v>1557</v>
      </c>
      <c r="AJ34" s="16">
        <v>5</v>
      </c>
      <c r="AK34" s="98">
        <v>140</v>
      </c>
      <c r="AL34" s="16">
        <v>182</v>
      </c>
      <c r="AM34" s="16">
        <v>56</v>
      </c>
      <c r="AN34" s="16">
        <v>1571</v>
      </c>
      <c r="AO34" s="16">
        <v>203</v>
      </c>
      <c r="AP34" s="16">
        <v>46</v>
      </c>
      <c r="AQ34" s="16">
        <v>14</v>
      </c>
      <c r="AR34" s="16">
        <v>338</v>
      </c>
      <c r="AS34" s="16">
        <v>867</v>
      </c>
      <c r="AT34" s="16">
        <v>3622</v>
      </c>
      <c r="AU34" s="16">
        <v>8900</v>
      </c>
      <c r="AV34" s="16">
        <v>1100</v>
      </c>
      <c r="AW34" s="16">
        <v>0</v>
      </c>
      <c r="AX34" s="16">
        <v>575</v>
      </c>
      <c r="AY34" s="16">
        <v>18</v>
      </c>
      <c r="AZ34" s="16">
        <v>0</v>
      </c>
      <c r="BA34" s="16">
        <v>0</v>
      </c>
      <c r="BB34" s="16">
        <v>0</v>
      </c>
      <c r="BC34" s="16">
        <v>6</v>
      </c>
      <c r="BD34" s="16">
        <v>649</v>
      </c>
      <c r="BE34" s="16">
        <v>1162</v>
      </c>
      <c r="BF34" s="16">
        <v>243</v>
      </c>
      <c r="BG34" s="16">
        <v>464</v>
      </c>
      <c r="BH34" s="16">
        <v>389</v>
      </c>
      <c r="BI34" s="16">
        <v>37</v>
      </c>
      <c r="BJ34" s="16">
        <v>441</v>
      </c>
      <c r="BK34" s="16">
        <v>408</v>
      </c>
      <c r="BL34" s="16">
        <v>1453</v>
      </c>
      <c r="BM34" s="16">
        <v>590</v>
      </c>
      <c r="BN34" s="16">
        <v>2</v>
      </c>
      <c r="BO34" s="16">
        <v>92</v>
      </c>
    </row>
    <row r="35" spans="1:67" s="5" customFormat="1" ht="21.9" customHeight="1" x14ac:dyDescent="0.25">
      <c r="A35" s="125"/>
      <c r="B35" s="4"/>
      <c r="C35" s="47" t="s">
        <v>131</v>
      </c>
      <c r="D35" s="48"/>
      <c r="E35" s="16">
        <v>312</v>
      </c>
      <c r="F35" s="26"/>
      <c r="G35" s="26"/>
      <c r="H35" s="26"/>
      <c r="I35" s="26"/>
      <c r="J35" s="26"/>
      <c r="K35" s="26"/>
      <c r="L35" s="26"/>
      <c r="M35" s="26"/>
      <c r="N35" s="26"/>
      <c r="O35" s="26"/>
      <c r="P35" s="26"/>
      <c r="Q35" s="26"/>
      <c r="R35" s="26">
        <v>2</v>
      </c>
      <c r="S35" s="26"/>
      <c r="T35" s="16"/>
      <c r="U35" s="16"/>
      <c r="V35" s="16">
        <v>1</v>
      </c>
      <c r="W35" s="16"/>
      <c r="X35" s="16"/>
      <c r="Y35" s="16">
        <v>3</v>
      </c>
      <c r="Z35" s="16">
        <v>1</v>
      </c>
      <c r="AA35" s="16"/>
      <c r="AB35" s="16"/>
      <c r="AC35" s="16"/>
      <c r="AD35" s="16">
        <v>2</v>
      </c>
      <c r="AE35" s="16">
        <v>8</v>
      </c>
      <c r="AF35" s="16">
        <v>4</v>
      </c>
      <c r="AG35" s="16"/>
      <c r="AH35" s="16"/>
      <c r="AI35" s="16"/>
      <c r="AJ35" s="16"/>
      <c r="AK35" s="98"/>
      <c r="AL35" s="16"/>
      <c r="AM35" s="16"/>
      <c r="AN35" s="16">
        <v>2</v>
      </c>
      <c r="AO35" s="26"/>
      <c r="AP35" s="26"/>
      <c r="AQ35" s="26"/>
      <c r="AR35" s="26">
        <v>1</v>
      </c>
      <c r="AS35" s="26">
        <v>1</v>
      </c>
      <c r="AT35" s="26"/>
      <c r="AU35" s="26">
        <v>1</v>
      </c>
      <c r="AV35" s="26"/>
      <c r="AW35" s="26"/>
      <c r="AX35" s="26"/>
      <c r="AY35" s="26"/>
      <c r="AZ35" s="26"/>
      <c r="BA35" s="26"/>
      <c r="BB35" s="26"/>
      <c r="BC35" s="16"/>
      <c r="BD35" s="16"/>
      <c r="BE35" s="16"/>
      <c r="BF35" s="16"/>
      <c r="BG35" s="16">
        <v>284</v>
      </c>
      <c r="BH35" s="16">
        <v>2</v>
      </c>
      <c r="BI35" s="16"/>
      <c r="BJ35" s="16"/>
      <c r="BK35" s="16"/>
      <c r="BL35" s="16"/>
      <c r="BM35" s="16"/>
      <c r="BN35" s="16"/>
      <c r="BO35" s="16"/>
    </row>
    <row r="36" spans="1:67" s="5" customFormat="1" ht="21.9" customHeight="1" x14ac:dyDescent="0.25">
      <c r="A36" s="125" t="s">
        <v>134</v>
      </c>
      <c r="B36" s="4"/>
      <c r="C36" s="47" t="s">
        <v>75</v>
      </c>
      <c r="D36" s="48"/>
      <c r="E36" s="16">
        <v>21926</v>
      </c>
      <c r="F36" s="16">
        <v>902</v>
      </c>
      <c r="G36" s="16">
        <v>219</v>
      </c>
      <c r="H36" s="16">
        <v>46</v>
      </c>
      <c r="I36" s="16">
        <v>359</v>
      </c>
      <c r="J36" s="16">
        <v>0</v>
      </c>
      <c r="K36" s="16">
        <v>91</v>
      </c>
      <c r="L36" s="16">
        <v>251</v>
      </c>
      <c r="M36" s="16">
        <v>749</v>
      </c>
      <c r="N36" s="16">
        <v>173</v>
      </c>
      <c r="O36" s="16">
        <v>4</v>
      </c>
      <c r="P36" s="16">
        <v>0</v>
      </c>
      <c r="Q36" s="16">
        <v>116</v>
      </c>
      <c r="R36" s="16">
        <v>304</v>
      </c>
      <c r="S36" s="16">
        <v>0</v>
      </c>
      <c r="T36" s="16">
        <v>159</v>
      </c>
      <c r="U36" s="16">
        <v>1258</v>
      </c>
      <c r="V36" s="16">
        <v>7</v>
      </c>
      <c r="W36" s="16">
        <v>90</v>
      </c>
      <c r="X36" s="16">
        <v>68</v>
      </c>
      <c r="Y36" s="16">
        <v>2037</v>
      </c>
      <c r="Z36" s="16">
        <v>207</v>
      </c>
      <c r="AA36" s="16">
        <v>486</v>
      </c>
      <c r="AB36" s="16">
        <v>254</v>
      </c>
      <c r="AC36" s="16">
        <v>16</v>
      </c>
      <c r="AD36" s="16">
        <v>4265</v>
      </c>
      <c r="AE36" s="16">
        <v>1395</v>
      </c>
      <c r="AF36" s="16">
        <v>548</v>
      </c>
      <c r="AG36" s="16">
        <v>300</v>
      </c>
      <c r="AH36" s="16">
        <v>291</v>
      </c>
      <c r="AI36" s="16">
        <v>84</v>
      </c>
      <c r="AJ36" s="16">
        <v>0</v>
      </c>
      <c r="AK36" s="98">
        <v>36</v>
      </c>
      <c r="AL36" s="16">
        <v>28</v>
      </c>
      <c r="AM36" s="16">
        <v>3</v>
      </c>
      <c r="AN36" s="16">
        <v>542</v>
      </c>
      <c r="AO36" s="16">
        <v>1</v>
      </c>
      <c r="AP36" s="16">
        <v>0</v>
      </c>
      <c r="AQ36" s="16">
        <v>25</v>
      </c>
      <c r="AR36" s="16">
        <v>34</v>
      </c>
      <c r="AS36" s="16">
        <v>117</v>
      </c>
      <c r="AT36" s="16">
        <v>977</v>
      </c>
      <c r="AU36" s="16">
        <v>2913</v>
      </c>
      <c r="AV36" s="16">
        <v>440</v>
      </c>
      <c r="AW36" s="16">
        <v>66</v>
      </c>
      <c r="AX36" s="16">
        <v>152</v>
      </c>
      <c r="AY36" s="16">
        <v>3</v>
      </c>
      <c r="AZ36" s="16">
        <v>1</v>
      </c>
      <c r="BA36" s="16">
        <v>0</v>
      </c>
      <c r="BB36" s="16">
        <v>1</v>
      </c>
      <c r="BC36" s="16">
        <v>0</v>
      </c>
      <c r="BD36" s="16">
        <v>55</v>
      </c>
      <c r="BE36" s="16">
        <v>23</v>
      </c>
      <c r="BF36" s="16">
        <v>193</v>
      </c>
      <c r="BG36" s="16">
        <v>401</v>
      </c>
      <c r="BH36" s="16">
        <v>198</v>
      </c>
      <c r="BI36" s="16">
        <v>124</v>
      </c>
      <c r="BJ36" s="16">
        <v>286</v>
      </c>
      <c r="BK36" s="16">
        <v>112</v>
      </c>
      <c r="BL36" s="16">
        <v>137</v>
      </c>
      <c r="BM36" s="16">
        <v>105</v>
      </c>
      <c r="BN36" s="16">
        <v>2</v>
      </c>
      <c r="BO36" s="16">
        <v>272</v>
      </c>
    </row>
    <row r="37" spans="1:67" s="5" customFormat="1" ht="21.9" customHeight="1" x14ac:dyDescent="0.25">
      <c r="A37" s="125"/>
      <c r="B37" s="4"/>
      <c r="C37" s="47" t="s">
        <v>131</v>
      </c>
      <c r="D37" s="48"/>
      <c r="E37" s="16">
        <v>721</v>
      </c>
      <c r="F37" s="26">
        <v>1</v>
      </c>
      <c r="G37" s="26"/>
      <c r="H37" s="26"/>
      <c r="I37" s="26">
        <v>1</v>
      </c>
      <c r="J37" s="26"/>
      <c r="K37" s="26">
        <v>11</v>
      </c>
      <c r="L37" s="26">
        <v>4</v>
      </c>
      <c r="M37" s="26"/>
      <c r="N37" s="26">
        <v>0</v>
      </c>
      <c r="O37" s="26">
        <v>1</v>
      </c>
      <c r="P37" s="26"/>
      <c r="Q37" s="26">
        <v>3</v>
      </c>
      <c r="R37" s="26">
        <v>3</v>
      </c>
      <c r="S37" s="26"/>
      <c r="T37" s="16">
        <v>4</v>
      </c>
      <c r="U37" s="16">
        <v>18</v>
      </c>
      <c r="V37" s="16">
        <v>1</v>
      </c>
      <c r="W37" s="16">
        <v>7</v>
      </c>
      <c r="X37" s="16">
        <v>10</v>
      </c>
      <c r="Y37" s="16">
        <v>8</v>
      </c>
      <c r="Z37" s="16">
        <v>16</v>
      </c>
      <c r="AA37" s="16">
        <v>0</v>
      </c>
      <c r="AB37" s="16">
        <v>4</v>
      </c>
      <c r="AC37" s="16">
        <v>2</v>
      </c>
      <c r="AD37" s="16">
        <v>18</v>
      </c>
      <c r="AE37" s="16">
        <v>17</v>
      </c>
      <c r="AF37" s="16">
        <v>8</v>
      </c>
      <c r="AG37" s="16">
        <v>54</v>
      </c>
      <c r="AH37" s="16">
        <v>27</v>
      </c>
      <c r="AI37" s="16">
        <v>3</v>
      </c>
      <c r="AJ37" s="16"/>
      <c r="AK37" s="98">
        <v>20</v>
      </c>
      <c r="AL37" s="16">
        <v>6</v>
      </c>
      <c r="AM37" s="16">
        <v>1</v>
      </c>
      <c r="AN37" s="16">
        <v>25</v>
      </c>
      <c r="AO37" s="26">
        <v>0</v>
      </c>
      <c r="AP37" s="26"/>
      <c r="AQ37" s="26">
        <v>1</v>
      </c>
      <c r="AR37" s="26">
        <v>0</v>
      </c>
      <c r="AS37" s="26">
        <v>0</v>
      </c>
      <c r="AT37" s="26">
        <v>2</v>
      </c>
      <c r="AU37" s="26">
        <v>104</v>
      </c>
      <c r="AV37" s="26">
        <v>4</v>
      </c>
      <c r="AW37" s="26">
        <v>1</v>
      </c>
      <c r="AX37" s="26">
        <v>6</v>
      </c>
      <c r="AY37" s="16">
        <v>1</v>
      </c>
      <c r="AZ37" s="16"/>
      <c r="BA37" s="16"/>
      <c r="BB37" s="16"/>
      <c r="BC37" s="16"/>
      <c r="BD37" s="16">
        <v>2</v>
      </c>
      <c r="BE37" s="16">
        <v>2</v>
      </c>
      <c r="BF37" s="16">
        <v>3</v>
      </c>
      <c r="BG37" s="16">
        <v>265</v>
      </c>
      <c r="BH37" s="16">
        <v>16</v>
      </c>
      <c r="BI37" s="16">
        <v>9</v>
      </c>
      <c r="BJ37" s="16">
        <v>8</v>
      </c>
      <c r="BK37" s="16">
        <v>4</v>
      </c>
      <c r="BL37" s="16">
        <v>0</v>
      </c>
      <c r="BM37" s="16">
        <v>0</v>
      </c>
      <c r="BN37" s="16">
        <v>0</v>
      </c>
      <c r="BO37" s="16">
        <v>20</v>
      </c>
    </row>
    <row r="38" spans="1:67" s="5" customFormat="1" ht="21.9" customHeight="1" x14ac:dyDescent="0.25">
      <c r="A38" s="125" t="s">
        <v>84</v>
      </c>
      <c r="B38" s="4"/>
      <c r="C38" s="47" t="s">
        <v>75</v>
      </c>
      <c r="D38" s="48"/>
      <c r="E38" s="16">
        <v>36213</v>
      </c>
      <c r="F38" s="16">
        <v>1239</v>
      </c>
      <c r="G38" s="16">
        <v>610</v>
      </c>
      <c r="H38" s="16">
        <v>330</v>
      </c>
      <c r="I38" s="16">
        <v>644</v>
      </c>
      <c r="J38" s="16">
        <v>104</v>
      </c>
      <c r="K38" s="16">
        <v>323</v>
      </c>
      <c r="L38" s="16">
        <v>514</v>
      </c>
      <c r="M38" s="16">
        <v>84</v>
      </c>
      <c r="N38" s="16">
        <v>38</v>
      </c>
      <c r="O38" s="16">
        <v>50</v>
      </c>
      <c r="P38" s="16">
        <v>5</v>
      </c>
      <c r="Q38" s="16">
        <v>149</v>
      </c>
      <c r="R38" s="16">
        <v>368</v>
      </c>
      <c r="S38" s="16">
        <v>223</v>
      </c>
      <c r="T38" s="16">
        <v>439</v>
      </c>
      <c r="U38" s="16">
        <v>911</v>
      </c>
      <c r="V38" s="16">
        <v>215</v>
      </c>
      <c r="W38" s="16">
        <v>309</v>
      </c>
      <c r="X38" s="16">
        <v>312</v>
      </c>
      <c r="Y38" s="16">
        <v>700</v>
      </c>
      <c r="Z38" s="16">
        <v>170</v>
      </c>
      <c r="AA38" s="16">
        <v>282</v>
      </c>
      <c r="AB38" s="16">
        <v>3015</v>
      </c>
      <c r="AC38" s="16">
        <v>169</v>
      </c>
      <c r="AD38" s="16">
        <v>3500</v>
      </c>
      <c r="AE38" s="16">
        <v>1217</v>
      </c>
      <c r="AF38" s="16">
        <v>262</v>
      </c>
      <c r="AG38" s="16">
        <v>695</v>
      </c>
      <c r="AH38" s="16">
        <v>134</v>
      </c>
      <c r="AI38" s="16">
        <v>899</v>
      </c>
      <c r="AJ38" s="16">
        <v>67</v>
      </c>
      <c r="AK38" s="98">
        <v>307</v>
      </c>
      <c r="AL38" s="16">
        <v>237</v>
      </c>
      <c r="AM38" s="16">
        <v>58</v>
      </c>
      <c r="AN38" s="16">
        <v>764</v>
      </c>
      <c r="AO38" s="16">
        <v>104</v>
      </c>
      <c r="AP38" s="16">
        <v>81</v>
      </c>
      <c r="AQ38" s="16">
        <v>125</v>
      </c>
      <c r="AR38" s="16">
        <v>91</v>
      </c>
      <c r="AS38" s="16">
        <v>120</v>
      </c>
      <c r="AT38" s="16">
        <v>1189</v>
      </c>
      <c r="AU38" s="16">
        <v>3294</v>
      </c>
      <c r="AV38" s="16">
        <v>1079</v>
      </c>
      <c r="AW38" s="16">
        <v>12</v>
      </c>
      <c r="AX38" s="16">
        <v>1343</v>
      </c>
      <c r="AY38" s="16">
        <v>334</v>
      </c>
      <c r="AZ38" s="16">
        <v>20</v>
      </c>
      <c r="BA38" s="16">
        <v>3</v>
      </c>
      <c r="BB38" s="16">
        <v>7</v>
      </c>
      <c r="BC38" s="16">
        <v>50</v>
      </c>
      <c r="BD38" s="16">
        <v>1307</v>
      </c>
      <c r="BE38" s="16">
        <v>1342</v>
      </c>
      <c r="BF38" s="16">
        <v>1320</v>
      </c>
      <c r="BG38" s="16">
        <v>1081</v>
      </c>
      <c r="BH38" s="16">
        <v>846</v>
      </c>
      <c r="BI38" s="16">
        <v>144</v>
      </c>
      <c r="BJ38" s="16">
        <v>508</v>
      </c>
      <c r="BK38" s="16">
        <v>314</v>
      </c>
      <c r="BL38" s="16">
        <v>610</v>
      </c>
      <c r="BM38" s="16">
        <v>98</v>
      </c>
      <c r="BN38" s="16">
        <v>969</v>
      </c>
      <c r="BO38" s="16">
        <v>479</v>
      </c>
    </row>
    <row r="39" spans="1:67" s="5" customFormat="1" ht="21.9" customHeight="1" x14ac:dyDescent="0.25">
      <c r="A39" s="125"/>
      <c r="B39" s="4"/>
      <c r="C39" s="47" t="s">
        <v>131</v>
      </c>
      <c r="D39" s="48"/>
      <c r="E39" s="16">
        <v>400</v>
      </c>
      <c r="F39" s="26"/>
      <c r="G39" s="26"/>
      <c r="H39" s="26"/>
      <c r="I39" s="26"/>
      <c r="J39" s="26"/>
      <c r="K39" s="26">
        <v>1</v>
      </c>
      <c r="L39" s="26">
        <v>4</v>
      </c>
      <c r="M39" s="26"/>
      <c r="N39" s="26"/>
      <c r="O39" s="26"/>
      <c r="P39" s="26"/>
      <c r="Q39" s="26"/>
      <c r="R39" s="26">
        <v>27</v>
      </c>
      <c r="S39" s="26"/>
      <c r="T39" s="16">
        <v>1</v>
      </c>
      <c r="U39" s="16">
        <v>2</v>
      </c>
      <c r="V39" s="16"/>
      <c r="W39" s="16">
        <v>11</v>
      </c>
      <c r="X39" s="16">
        <v>6</v>
      </c>
      <c r="Y39" s="16">
        <v>2</v>
      </c>
      <c r="Z39" s="16">
        <v>6</v>
      </c>
      <c r="AA39" s="16">
        <v>2</v>
      </c>
      <c r="AB39" s="16">
        <v>4</v>
      </c>
      <c r="AC39" s="16">
        <v>1</v>
      </c>
      <c r="AD39" s="16">
        <v>5</v>
      </c>
      <c r="AE39" s="16">
        <v>8</v>
      </c>
      <c r="AF39" s="16">
        <v>2</v>
      </c>
      <c r="AG39" s="16">
        <v>6</v>
      </c>
      <c r="AH39" s="16"/>
      <c r="AI39" s="16"/>
      <c r="AJ39" s="16"/>
      <c r="AK39" s="98">
        <v>23</v>
      </c>
      <c r="AL39" s="16"/>
      <c r="AM39" s="16"/>
      <c r="AN39" s="16">
        <v>12</v>
      </c>
      <c r="AO39" s="26">
        <v>3</v>
      </c>
      <c r="AP39" s="26"/>
      <c r="AQ39" s="26"/>
      <c r="AR39" s="26"/>
      <c r="AS39" s="26"/>
      <c r="AT39" s="26"/>
      <c r="AU39" s="26">
        <v>2</v>
      </c>
      <c r="AV39" s="26"/>
      <c r="AW39" s="26"/>
      <c r="AX39" s="26">
        <v>1</v>
      </c>
      <c r="AY39" s="16"/>
      <c r="AZ39" s="16"/>
      <c r="BA39" s="16"/>
      <c r="BB39" s="16"/>
      <c r="BC39" s="16"/>
      <c r="BD39" s="16"/>
      <c r="BE39" s="16">
        <v>2</v>
      </c>
      <c r="BF39" s="16">
        <v>4</v>
      </c>
      <c r="BG39" s="16">
        <v>242</v>
      </c>
      <c r="BH39" s="16">
        <v>2</v>
      </c>
      <c r="BI39" s="16">
        <v>3</v>
      </c>
      <c r="BJ39" s="16">
        <v>1</v>
      </c>
      <c r="BK39" s="16"/>
      <c r="BL39" s="16">
        <v>1</v>
      </c>
      <c r="BM39" s="16"/>
      <c r="BN39" s="16"/>
      <c r="BO39" s="16">
        <v>16</v>
      </c>
    </row>
    <row r="40" spans="1:67" s="5" customFormat="1" ht="21.9" customHeight="1" x14ac:dyDescent="0.25">
      <c r="A40" s="125" t="s">
        <v>85</v>
      </c>
      <c r="C40" s="47" t="s">
        <v>75</v>
      </c>
      <c r="D40" s="48"/>
      <c r="E40" s="16">
        <v>18573</v>
      </c>
      <c r="F40" s="16">
        <v>955</v>
      </c>
      <c r="G40" s="16">
        <v>937</v>
      </c>
      <c r="H40" s="16">
        <v>436</v>
      </c>
      <c r="I40" s="16">
        <v>221</v>
      </c>
      <c r="J40" s="16">
        <v>68</v>
      </c>
      <c r="K40" s="16">
        <v>291</v>
      </c>
      <c r="L40" s="16">
        <v>207</v>
      </c>
      <c r="M40" s="16">
        <v>93</v>
      </c>
      <c r="N40" s="16">
        <v>131</v>
      </c>
      <c r="O40" s="16">
        <v>20</v>
      </c>
      <c r="P40" s="16">
        <v>0</v>
      </c>
      <c r="Q40" s="16">
        <v>28</v>
      </c>
      <c r="R40" s="16">
        <v>78</v>
      </c>
      <c r="S40" s="16">
        <v>72</v>
      </c>
      <c r="T40" s="16">
        <v>43</v>
      </c>
      <c r="U40" s="16">
        <v>450</v>
      </c>
      <c r="V40" s="16">
        <v>152</v>
      </c>
      <c r="W40" s="16">
        <v>140</v>
      </c>
      <c r="X40" s="16">
        <v>14</v>
      </c>
      <c r="Y40" s="16">
        <v>725</v>
      </c>
      <c r="Z40" s="16">
        <v>102</v>
      </c>
      <c r="AA40" s="16">
        <v>0</v>
      </c>
      <c r="AB40" s="16">
        <v>688</v>
      </c>
      <c r="AC40" s="16">
        <v>227</v>
      </c>
      <c r="AD40" s="16">
        <v>1434</v>
      </c>
      <c r="AE40" s="16">
        <v>806</v>
      </c>
      <c r="AF40" s="16">
        <v>85</v>
      </c>
      <c r="AG40" s="16">
        <v>201</v>
      </c>
      <c r="AH40" s="16">
        <v>78</v>
      </c>
      <c r="AI40" s="16">
        <v>1238</v>
      </c>
      <c r="AJ40" s="16">
        <v>52</v>
      </c>
      <c r="AK40" s="98">
        <v>184</v>
      </c>
      <c r="AL40" s="16">
        <v>146</v>
      </c>
      <c r="AM40" s="16">
        <v>45</v>
      </c>
      <c r="AN40" s="16">
        <v>921</v>
      </c>
      <c r="AO40" s="16">
        <v>49</v>
      </c>
      <c r="AP40" s="16">
        <v>19</v>
      </c>
      <c r="AQ40" s="16">
        <v>8</v>
      </c>
      <c r="AR40" s="16">
        <v>113</v>
      </c>
      <c r="AS40" s="16">
        <v>43</v>
      </c>
      <c r="AT40" s="16">
        <v>1136</v>
      </c>
      <c r="AU40" s="16">
        <v>1169</v>
      </c>
      <c r="AV40" s="16">
        <v>957</v>
      </c>
      <c r="AW40" s="16">
        <v>82</v>
      </c>
      <c r="AX40" s="16">
        <v>479</v>
      </c>
      <c r="AY40" s="16">
        <v>36</v>
      </c>
      <c r="AZ40" s="16">
        <v>0</v>
      </c>
      <c r="BA40" s="16">
        <v>0</v>
      </c>
      <c r="BB40" s="16">
        <v>0</v>
      </c>
      <c r="BC40" s="16">
        <v>5</v>
      </c>
      <c r="BD40" s="16">
        <v>494</v>
      </c>
      <c r="BE40" s="16">
        <v>382</v>
      </c>
      <c r="BF40" s="16">
        <v>160</v>
      </c>
      <c r="BG40" s="16">
        <v>138</v>
      </c>
      <c r="BH40" s="16">
        <v>284</v>
      </c>
      <c r="BI40" s="16">
        <v>150</v>
      </c>
      <c r="BJ40" s="16">
        <v>247</v>
      </c>
      <c r="BK40" s="16">
        <v>140</v>
      </c>
      <c r="BL40" s="16">
        <v>378</v>
      </c>
      <c r="BM40" s="16">
        <v>7</v>
      </c>
      <c r="BN40" s="16">
        <v>111</v>
      </c>
      <c r="BO40" s="16">
        <v>718</v>
      </c>
    </row>
    <row r="41" spans="1:67" s="5" customFormat="1" ht="21.9" customHeight="1" x14ac:dyDescent="0.25">
      <c r="A41" s="125"/>
      <c r="C41" s="47" t="s">
        <v>76</v>
      </c>
      <c r="D41" s="48"/>
      <c r="E41" s="16">
        <v>598</v>
      </c>
      <c r="F41" s="26"/>
      <c r="G41" s="26"/>
      <c r="H41" s="26"/>
      <c r="I41" s="26"/>
      <c r="J41" s="26"/>
      <c r="K41" s="26"/>
      <c r="L41" s="26">
        <v>3</v>
      </c>
      <c r="M41" s="26"/>
      <c r="N41" s="26"/>
      <c r="O41" s="26">
        <v>2</v>
      </c>
      <c r="P41" s="26"/>
      <c r="Q41" s="26"/>
      <c r="R41" s="26">
        <v>12</v>
      </c>
      <c r="S41" s="26">
        <v>2</v>
      </c>
      <c r="T41" s="16">
        <v>6</v>
      </c>
      <c r="U41" s="16">
        <v>7</v>
      </c>
      <c r="V41" s="16">
        <v>3</v>
      </c>
      <c r="W41" s="16">
        <v>3</v>
      </c>
      <c r="X41" s="16">
        <v>6</v>
      </c>
      <c r="Y41" s="16">
        <v>2</v>
      </c>
      <c r="Z41" s="16">
        <v>8</v>
      </c>
      <c r="AA41" s="16"/>
      <c r="AB41" s="16">
        <v>1</v>
      </c>
      <c r="AC41" s="16"/>
      <c r="AD41" s="16">
        <v>6</v>
      </c>
      <c r="AE41" s="16">
        <v>8</v>
      </c>
      <c r="AF41" s="16"/>
      <c r="AG41" s="16">
        <v>2</v>
      </c>
      <c r="AH41" s="16">
        <v>8</v>
      </c>
      <c r="AI41" s="16">
        <v>8</v>
      </c>
      <c r="AJ41" s="16"/>
      <c r="AK41" s="98">
        <v>17</v>
      </c>
      <c r="AL41" s="16"/>
      <c r="AM41" s="16"/>
      <c r="AN41" s="16">
        <v>24</v>
      </c>
      <c r="AO41" s="26"/>
      <c r="AP41" s="26"/>
      <c r="AQ41" s="26"/>
      <c r="AR41" s="26"/>
      <c r="AS41" s="26"/>
      <c r="AT41" s="26"/>
      <c r="AU41" s="26">
        <v>3</v>
      </c>
      <c r="AV41" s="26">
        <v>1</v>
      </c>
      <c r="AW41" s="26"/>
      <c r="AX41" s="26">
        <v>1</v>
      </c>
      <c r="AY41" s="16"/>
      <c r="AZ41" s="16"/>
      <c r="BA41" s="16"/>
      <c r="BB41" s="16"/>
      <c r="BC41" s="16"/>
      <c r="BD41" s="16"/>
      <c r="BE41" s="16"/>
      <c r="BF41" s="16">
        <v>1</v>
      </c>
      <c r="BG41" s="16">
        <v>316</v>
      </c>
      <c r="BH41" s="16"/>
      <c r="BI41" s="16">
        <v>3</v>
      </c>
      <c r="BJ41" s="16"/>
      <c r="BK41" s="16"/>
      <c r="BL41" s="16">
        <v>5</v>
      </c>
      <c r="BM41" s="16"/>
      <c r="BN41" s="16"/>
      <c r="BO41" s="16">
        <v>140</v>
      </c>
    </row>
    <row r="42" spans="1:67" s="5" customFormat="1" ht="21.9" customHeight="1" x14ac:dyDescent="0.25">
      <c r="A42" s="125" t="s">
        <v>135</v>
      </c>
      <c r="B42" s="4"/>
      <c r="C42" s="47" t="s">
        <v>75</v>
      </c>
      <c r="D42" s="48"/>
      <c r="E42" s="16">
        <v>22378</v>
      </c>
      <c r="F42" s="16">
        <v>789</v>
      </c>
      <c r="G42" s="16">
        <v>661</v>
      </c>
      <c r="H42" s="16">
        <v>623</v>
      </c>
      <c r="I42" s="16">
        <v>66</v>
      </c>
      <c r="J42" s="16">
        <v>52</v>
      </c>
      <c r="K42" s="16">
        <v>1552</v>
      </c>
      <c r="L42" s="16">
        <v>796</v>
      </c>
      <c r="M42" s="16">
        <v>149</v>
      </c>
      <c r="N42" s="16">
        <v>180</v>
      </c>
      <c r="O42" s="16">
        <v>43</v>
      </c>
      <c r="P42" s="16">
        <v>30</v>
      </c>
      <c r="Q42" s="16">
        <v>64</v>
      </c>
      <c r="R42" s="16">
        <v>62</v>
      </c>
      <c r="S42" s="16">
        <v>143</v>
      </c>
      <c r="T42" s="16">
        <v>288</v>
      </c>
      <c r="U42" s="16">
        <v>454</v>
      </c>
      <c r="V42" s="16">
        <v>111</v>
      </c>
      <c r="W42" s="16">
        <v>118</v>
      </c>
      <c r="X42" s="16">
        <v>195</v>
      </c>
      <c r="Y42" s="16">
        <v>212</v>
      </c>
      <c r="Z42" s="16">
        <v>307</v>
      </c>
      <c r="AA42" s="16">
        <v>117</v>
      </c>
      <c r="AB42" s="16">
        <v>194</v>
      </c>
      <c r="AC42" s="16">
        <v>29</v>
      </c>
      <c r="AD42" s="16">
        <v>1955</v>
      </c>
      <c r="AE42" s="16">
        <v>523</v>
      </c>
      <c r="AF42" s="16">
        <v>179</v>
      </c>
      <c r="AG42" s="16">
        <v>424</v>
      </c>
      <c r="AH42" s="16">
        <v>348</v>
      </c>
      <c r="AI42" s="16">
        <v>418</v>
      </c>
      <c r="AJ42" s="16">
        <v>44</v>
      </c>
      <c r="AK42" s="98">
        <v>93</v>
      </c>
      <c r="AL42" s="16">
        <v>197</v>
      </c>
      <c r="AM42" s="16">
        <v>128</v>
      </c>
      <c r="AN42" s="16">
        <v>193</v>
      </c>
      <c r="AO42" s="16">
        <v>271</v>
      </c>
      <c r="AP42" s="16">
        <v>149</v>
      </c>
      <c r="AQ42" s="16">
        <v>49</v>
      </c>
      <c r="AR42" s="16">
        <v>210</v>
      </c>
      <c r="AS42" s="16">
        <v>393</v>
      </c>
      <c r="AT42" s="16">
        <v>776</v>
      </c>
      <c r="AU42" s="16">
        <v>786</v>
      </c>
      <c r="AV42" s="16">
        <v>1093</v>
      </c>
      <c r="AW42" s="16">
        <v>118</v>
      </c>
      <c r="AX42" s="16">
        <v>518</v>
      </c>
      <c r="AY42" s="16">
        <v>553</v>
      </c>
      <c r="AZ42" s="16">
        <v>3</v>
      </c>
      <c r="BA42" s="16">
        <v>28</v>
      </c>
      <c r="BB42" s="26">
        <v>21</v>
      </c>
      <c r="BC42" s="16">
        <v>107</v>
      </c>
      <c r="BD42" s="16">
        <v>895</v>
      </c>
      <c r="BE42" s="16">
        <v>548</v>
      </c>
      <c r="BF42" s="16">
        <v>239</v>
      </c>
      <c r="BG42" s="16">
        <v>91</v>
      </c>
      <c r="BH42" s="16">
        <v>687</v>
      </c>
      <c r="BI42" s="16">
        <v>1131</v>
      </c>
      <c r="BJ42" s="16">
        <v>932</v>
      </c>
      <c r="BK42" s="16">
        <v>396</v>
      </c>
      <c r="BL42" s="16">
        <v>153</v>
      </c>
      <c r="BM42" s="16">
        <v>79</v>
      </c>
      <c r="BN42" s="16">
        <v>31</v>
      </c>
      <c r="BO42" s="16">
        <v>384</v>
      </c>
    </row>
    <row r="43" spans="1:67" s="5" customFormat="1" ht="21.9" customHeight="1" x14ac:dyDescent="0.25">
      <c r="A43" s="125"/>
      <c r="B43" s="4"/>
      <c r="C43" s="47" t="s">
        <v>76</v>
      </c>
      <c r="D43" s="48"/>
      <c r="E43" s="16">
        <v>1196</v>
      </c>
      <c r="F43" s="26"/>
      <c r="G43" s="26"/>
      <c r="H43" s="26">
        <v>2</v>
      </c>
      <c r="I43" s="26">
        <v>2</v>
      </c>
      <c r="J43" s="26"/>
      <c r="K43" s="26"/>
      <c r="L43" s="26">
        <v>9</v>
      </c>
      <c r="M43" s="26"/>
      <c r="N43" s="26"/>
      <c r="O43" s="26"/>
      <c r="P43" s="26"/>
      <c r="Q43" s="26"/>
      <c r="R43" s="26">
        <v>3</v>
      </c>
      <c r="S43" s="26"/>
      <c r="T43" s="16">
        <v>2</v>
      </c>
      <c r="U43" s="16">
        <v>10</v>
      </c>
      <c r="V43" s="16"/>
      <c r="W43" s="16">
        <v>2</v>
      </c>
      <c r="X43" s="16">
        <v>2</v>
      </c>
      <c r="Y43" s="16">
        <v>1</v>
      </c>
      <c r="Z43" s="16">
        <v>1</v>
      </c>
      <c r="AA43" s="16"/>
      <c r="AB43" s="16">
        <v>1</v>
      </c>
      <c r="AC43" s="16"/>
      <c r="AD43" s="16">
        <v>13</v>
      </c>
      <c r="AE43" s="16">
        <v>7</v>
      </c>
      <c r="AF43" s="16">
        <v>1</v>
      </c>
      <c r="AG43" s="16">
        <v>6</v>
      </c>
      <c r="AH43" s="16">
        <v>7</v>
      </c>
      <c r="AI43" s="16">
        <v>5</v>
      </c>
      <c r="AJ43" s="16"/>
      <c r="AK43" s="98">
        <v>1</v>
      </c>
      <c r="AL43" s="16"/>
      <c r="AM43" s="16"/>
      <c r="AN43" s="16">
        <v>23</v>
      </c>
      <c r="AO43" s="26">
        <v>1</v>
      </c>
      <c r="AP43" s="26"/>
      <c r="AQ43" s="26"/>
      <c r="AR43" s="26">
        <v>8</v>
      </c>
      <c r="AS43" s="26"/>
      <c r="AT43" s="26"/>
      <c r="AU43" s="16">
        <v>19</v>
      </c>
      <c r="AV43" s="26">
        <v>30</v>
      </c>
      <c r="AW43" s="26"/>
      <c r="AX43" s="16">
        <v>4</v>
      </c>
      <c r="AY43" s="16">
        <v>1</v>
      </c>
      <c r="AZ43" s="26"/>
      <c r="BA43" s="26"/>
      <c r="BB43" s="26"/>
      <c r="BC43" s="26"/>
      <c r="BD43" s="16"/>
      <c r="BE43" s="16">
        <v>3</v>
      </c>
      <c r="BF43" s="16">
        <v>3</v>
      </c>
      <c r="BG43" s="16">
        <v>986</v>
      </c>
      <c r="BH43" s="26"/>
      <c r="BI43" s="26">
        <v>17</v>
      </c>
      <c r="BJ43" s="26">
        <v>4</v>
      </c>
      <c r="BK43" s="26">
        <v>4</v>
      </c>
      <c r="BL43" s="26"/>
      <c r="BM43" s="26"/>
      <c r="BN43" s="26"/>
      <c r="BO43" s="16">
        <v>18</v>
      </c>
    </row>
    <row r="44" spans="1:67" s="5" customFormat="1" ht="21.9" customHeight="1" x14ac:dyDescent="0.25">
      <c r="A44" s="125" t="s">
        <v>87</v>
      </c>
      <c r="B44" s="4"/>
      <c r="C44" s="47" t="s">
        <v>75</v>
      </c>
      <c r="D44" s="48"/>
      <c r="E44" s="16">
        <v>24037</v>
      </c>
      <c r="F44" s="16">
        <v>265</v>
      </c>
      <c r="G44" s="16">
        <v>154</v>
      </c>
      <c r="H44" s="16">
        <v>96</v>
      </c>
      <c r="I44" s="16">
        <v>194</v>
      </c>
      <c r="J44" s="16">
        <v>4</v>
      </c>
      <c r="K44" s="16">
        <v>1124</v>
      </c>
      <c r="L44" s="16">
        <v>317</v>
      </c>
      <c r="M44" s="16">
        <v>35</v>
      </c>
      <c r="N44" s="16">
        <v>56</v>
      </c>
      <c r="O44" s="16">
        <v>70</v>
      </c>
      <c r="P44" s="16">
        <v>0</v>
      </c>
      <c r="Q44" s="16">
        <v>316</v>
      </c>
      <c r="R44" s="16">
        <v>464</v>
      </c>
      <c r="S44" s="16">
        <v>117</v>
      </c>
      <c r="T44" s="16">
        <v>284</v>
      </c>
      <c r="U44" s="16">
        <v>983</v>
      </c>
      <c r="V44" s="16">
        <v>112</v>
      </c>
      <c r="W44" s="16">
        <v>757</v>
      </c>
      <c r="X44" s="16">
        <v>67</v>
      </c>
      <c r="Y44" s="16">
        <v>389</v>
      </c>
      <c r="Z44" s="16">
        <v>969</v>
      </c>
      <c r="AA44" s="16">
        <v>164</v>
      </c>
      <c r="AB44" s="16">
        <v>301</v>
      </c>
      <c r="AC44" s="16">
        <v>49</v>
      </c>
      <c r="AD44" s="16">
        <v>6617</v>
      </c>
      <c r="AE44" s="16">
        <v>1050</v>
      </c>
      <c r="AF44" s="16">
        <v>558</v>
      </c>
      <c r="AG44" s="16">
        <v>452</v>
      </c>
      <c r="AH44" s="16">
        <v>146</v>
      </c>
      <c r="AI44" s="16">
        <v>191</v>
      </c>
      <c r="AJ44" s="16">
        <v>7</v>
      </c>
      <c r="AK44" s="98">
        <v>126</v>
      </c>
      <c r="AL44" s="16">
        <v>184</v>
      </c>
      <c r="AM44" s="16">
        <v>127</v>
      </c>
      <c r="AN44" s="16">
        <v>463</v>
      </c>
      <c r="AO44" s="16">
        <v>3</v>
      </c>
      <c r="AP44" s="16">
        <v>6</v>
      </c>
      <c r="AQ44" s="16">
        <v>3</v>
      </c>
      <c r="AR44" s="16">
        <v>428</v>
      </c>
      <c r="AS44" s="16">
        <v>839</v>
      </c>
      <c r="AT44" s="16">
        <v>295</v>
      </c>
      <c r="AU44" s="16">
        <v>1261</v>
      </c>
      <c r="AV44" s="16">
        <v>386</v>
      </c>
      <c r="AW44" s="16">
        <v>17</v>
      </c>
      <c r="AX44" s="16">
        <v>82</v>
      </c>
      <c r="AY44" s="16">
        <v>90</v>
      </c>
      <c r="AZ44" s="16">
        <v>0</v>
      </c>
      <c r="BA44" s="26">
        <v>0</v>
      </c>
      <c r="BB44" s="16">
        <v>0</v>
      </c>
      <c r="BC44" s="26">
        <v>0</v>
      </c>
      <c r="BD44" s="16">
        <v>49</v>
      </c>
      <c r="BE44" s="16">
        <v>57</v>
      </c>
      <c r="BF44" s="16">
        <v>78</v>
      </c>
      <c r="BG44" s="16">
        <v>341</v>
      </c>
      <c r="BH44" s="16">
        <v>27</v>
      </c>
      <c r="BI44" s="16">
        <v>416</v>
      </c>
      <c r="BJ44" s="16">
        <v>569</v>
      </c>
      <c r="BK44" s="16">
        <v>224</v>
      </c>
      <c r="BL44" s="16">
        <v>626</v>
      </c>
      <c r="BM44" s="26">
        <v>8</v>
      </c>
      <c r="BN44" s="26">
        <v>3</v>
      </c>
      <c r="BO44" s="16">
        <v>1021</v>
      </c>
    </row>
    <row r="45" spans="1:67" s="5" customFormat="1" ht="21.9" customHeight="1" x14ac:dyDescent="0.25">
      <c r="A45" s="125"/>
      <c r="B45" s="4"/>
      <c r="C45" s="47" t="s">
        <v>76</v>
      </c>
      <c r="D45" s="48"/>
      <c r="E45" s="16">
        <v>450</v>
      </c>
      <c r="F45" s="26">
        <v>0</v>
      </c>
      <c r="G45" s="26">
        <v>0</v>
      </c>
      <c r="H45" s="26">
        <v>0</v>
      </c>
      <c r="I45" s="26">
        <v>0</v>
      </c>
      <c r="J45" s="26">
        <v>0</v>
      </c>
      <c r="K45" s="26">
        <v>0</v>
      </c>
      <c r="L45" s="26">
        <v>1</v>
      </c>
      <c r="M45" s="26">
        <v>0</v>
      </c>
      <c r="N45" s="26">
        <v>0</v>
      </c>
      <c r="O45" s="26">
        <v>0</v>
      </c>
      <c r="P45" s="26">
        <v>0</v>
      </c>
      <c r="Q45" s="26">
        <v>1</v>
      </c>
      <c r="R45" s="26">
        <v>1</v>
      </c>
      <c r="S45" s="26">
        <v>0</v>
      </c>
      <c r="T45" s="16">
        <v>1</v>
      </c>
      <c r="U45" s="16">
        <v>12</v>
      </c>
      <c r="V45" s="16">
        <v>3</v>
      </c>
      <c r="W45" s="16">
        <v>0</v>
      </c>
      <c r="X45" s="16">
        <v>1</v>
      </c>
      <c r="Y45" s="16">
        <v>0</v>
      </c>
      <c r="Z45" s="16">
        <v>6</v>
      </c>
      <c r="AA45" s="16">
        <v>1</v>
      </c>
      <c r="AB45" s="16">
        <v>2</v>
      </c>
      <c r="AC45" s="16">
        <v>0</v>
      </c>
      <c r="AD45" s="16">
        <v>11</v>
      </c>
      <c r="AE45" s="16">
        <v>9</v>
      </c>
      <c r="AF45" s="16">
        <v>0</v>
      </c>
      <c r="AG45" s="16">
        <v>3</v>
      </c>
      <c r="AH45" s="16">
        <v>1</v>
      </c>
      <c r="AI45" s="16">
        <v>0</v>
      </c>
      <c r="AJ45" s="16">
        <v>0</v>
      </c>
      <c r="AK45" s="98">
        <v>6</v>
      </c>
      <c r="AL45" s="16">
        <v>0</v>
      </c>
      <c r="AM45" s="16">
        <v>0</v>
      </c>
      <c r="AN45" s="16">
        <v>7</v>
      </c>
      <c r="AO45" s="26">
        <v>0</v>
      </c>
      <c r="AP45" s="26">
        <v>0</v>
      </c>
      <c r="AQ45" s="26">
        <v>0</v>
      </c>
      <c r="AR45" s="16">
        <v>5</v>
      </c>
      <c r="AS45" s="16">
        <v>0</v>
      </c>
      <c r="AT45" s="26">
        <v>0</v>
      </c>
      <c r="AU45" s="16">
        <v>10</v>
      </c>
      <c r="AV45" s="26">
        <v>0</v>
      </c>
      <c r="AW45" s="26">
        <v>0</v>
      </c>
      <c r="AX45" s="16">
        <v>0</v>
      </c>
      <c r="AY45" s="16">
        <v>0</v>
      </c>
      <c r="AZ45" s="26">
        <v>0</v>
      </c>
      <c r="BA45" s="26">
        <v>0</v>
      </c>
      <c r="BB45" s="26">
        <v>0</v>
      </c>
      <c r="BC45" s="26">
        <v>0</v>
      </c>
      <c r="BD45" s="26">
        <v>0</v>
      </c>
      <c r="BE45" s="16">
        <v>0</v>
      </c>
      <c r="BF45" s="16">
        <v>0</v>
      </c>
      <c r="BG45" s="16">
        <v>336</v>
      </c>
      <c r="BH45" s="16">
        <v>1</v>
      </c>
      <c r="BI45" s="16">
        <v>17</v>
      </c>
      <c r="BJ45" s="26">
        <v>4</v>
      </c>
      <c r="BK45" s="16">
        <v>2</v>
      </c>
      <c r="BL45" s="16">
        <v>0</v>
      </c>
      <c r="BM45" s="26">
        <v>0</v>
      </c>
      <c r="BN45" s="26">
        <v>0</v>
      </c>
      <c r="BO45" s="26">
        <v>9</v>
      </c>
    </row>
    <row r="46" spans="1:67" s="5" customFormat="1" ht="21.9" customHeight="1" x14ac:dyDescent="0.25">
      <c r="A46" s="125" t="s">
        <v>244</v>
      </c>
      <c r="C46" s="47" t="s">
        <v>75</v>
      </c>
      <c r="D46" s="48"/>
      <c r="E46" s="16">
        <v>8593</v>
      </c>
      <c r="F46" s="16">
        <v>152</v>
      </c>
      <c r="G46" s="16">
        <v>329</v>
      </c>
      <c r="H46" s="16">
        <v>157</v>
      </c>
      <c r="I46" s="16">
        <v>76</v>
      </c>
      <c r="J46" s="16">
        <v>11</v>
      </c>
      <c r="K46" s="16">
        <v>18</v>
      </c>
      <c r="L46" s="16">
        <v>299</v>
      </c>
      <c r="M46" s="16">
        <v>112</v>
      </c>
      <c r="N46" s="16">
        <v>2</v>
      </c>
      <c r="O46" s="16">
        <v>34</v>
      </c>
      <c r="P46" s="16">
        <v>0</v>
      </c>
      <c r="Q46" s="16">
        <v>9</v>
      </c>
      <c r="R46" s="16">
        <v>206</v>
      </c>
      <c r="S46" s="16">
        <v>74</v>
      </c>
      <c r="T46" s="16">
        <v>3</v>
      </c>
      <c r="U46" s="16">
        <v>139</v>
      </c>
      <c r="V46" s="16">
        <v>87</v>
      </c>
      <c r="W46" s="16">
        <v>142</v>
      </c>
      <c r="X46" s="16">
        <v>0</v>
      </c>
      <c r="Y46" s="16">
        <v>119</v>
      </c>
      <c r="Z46" s="16">
        <v>93</v>
      </c>
      <c r="AA46" s="16">
        <v>0</v>
      </c>
      <c r="AB46" s="16">
        <v>31</v>
      </c>
      <c r="AC46" s="16">
        <v>68</v>
      </c>
      <c r="AD46" s="16">
        <v>387</v>
      </c>
      <c r="AE46" s="16">
        <v>315</v>
      </c>
      <c r="AF46" s="16">
        <v>2</v>
      </c>
      <c r="AG46" s="16">
        <v>44</v>
      </c>
      <c r="AH46" s="16">
        <v>26</v>
      </c>
      <c r="AI46" s="16">
        <v>49</v>
      </c>
      <c r="AJ46" s="16">
        <v>0</v>
      </c>
      <c r="AK46" s="98">
        <v>7</v>
      </c>
      <c r="AL46" s="16">
        <v>67</v>
      </c>
      <c r="AM46" s="16">
        <v>0</v>
      </c>
      <c r="AN46" s="16">
        <v>44</v>
      </c>
      <c r="AO46" s="16">
        <v>14</v>
      </c>
      <c r="AP46" s="16">
        <v>24</v>
      </c>
      <c r="AQ46" s="16">
        <v>18</v>
      </c>
      <c r="AR46" s="16">
        <v>78</v>
      </c>
      <c r="AS46" s="16">
        <v>149</v>
      </c>
      <c r="AT46" s="16">
        <v>184</v>
      </c>
      <c r="AU46" s="16">
        <v>411</v>
      </c>
      <c r="AV46" s="16">
        <v>535</v>
      </c>
      <c r="AW46" s="16">
        <v>54</v>
      </c>
      <c r="AX46" s="16">
        <v>211</v>
      </c>
      <c r="AY46" s="16">
        <v>251</v>
      </c>
      <c r="AZ46" s="16">
        <v>0</v>
      </c>
      <c r="BA46" s="16">
        <v>0</v>
      </c>
      <c r="BB46" s="16">
        <v>0</v>
      </c>
      <c r="BC46" s="16">
        <v>322</v>
      </c>
      <c r="BD46" s="16">
        <v>145</v>
      </c>
      <c r="BE46" s="16">
        <v>297</v>
      </c>
      <c r="BF46" s="16">
        <v>134</v>
      </c>
      <c r="BG46" s="16">
        <v>230</v>
      </c>
      <c r="BH46" s="16">
        <v>19</v>
      </c>
      <c r="BI46" s="26">
        <v>1594</v>
      </c>
      <c r="BJ46" s="16">
        <v>578</v>
      </c>
      <c r="BK46" s="16">
        <v>162</v>
      </c>
      <c r="BL46" s="16">
        <v>16</v>
      </c>
      <c r="BM46" s="16">
        <v>45</v>
      </c>
      <c r="BN46" s="16">
        <v>0</v>
      </c>
      <c r="BO46" s="16">
        <v>20</v>
      </c>
    </row>
    <row r="47" spans="1:67" s="5" customFormat="1" ht="21.9" customHeight="1" x14ac:dyDescent="0.25">
      <c r="A47" s="125"/>
      <c r="C47" s="47" t="s">
        <v>141</v>
      </c>
      <c r="D47" s="48"/>
      <c r="E47" s="16">
        <v>140</v>
      </c>
      <c r="F47" s="26"/>
      <c r="G47" s="26"/>
      <c r="H47" s="26"/>
      <c r="I47" s="26"/>
      <c r="J47" s="26"/>
      <c r="K47" s="26"/>
      <c r="L47" s="26">
        <v>2</v>
      </c>
      <c r="M47" s="26"/>
      <c r="N47" s="26"/>
      <c r="O47" s="26"/>
      <c r="P47" s="26"/>
      <c r="Q47" s="26">
        <v>3</v>
      </c>
      <c r="R47" s="26">
        <v>3</v>
      </c>
      <c r="S47" s="26"/>
      <c r="T47" s="26"/>
      <c r="U47" s="16">
        <v>4</v>
      </c>
      <c r="V47" s="26"/>
      <c r="W47" s="26">
        <v>9</v>
      </c>
      <c r="X47" s="26"/>
      <c r="Y47" s="26"/>
      <c r="Z47" s="16">
        <v>18</v>
      </c>
      <c r="AA47" s="26"/>
      <c r="AB47" s="26"/>
      <c r="AC47" s="16"/>
      <c r="AD47" s="16"/>
      <c r="AE47" s="26"/>
      <c r="AF47" s="16"/>
      <c r="AG47" s="16">
        <v>10</v>
      </c>
      <c r="AH47" s="16">
        <v>1</v>
      </c>
      <c r="AI47" s="26"/>
      <c r="AJ47" s="26"/>
      <c r="AK47" s="98"/>
      <c r="AL47" s="26">
        <v>1</v>
      </c>
      <c r="AM47" s="26"/>
      <c r="AN47" s="16">
        <v>4</v>
      </c>
      <c r="AO47" s="26"/>
      <c r="AP47" s="26">
        <v>1</v>
      </c>
      <c r="AQ47" s="26"/>
      <c r="AR47" s="26"/>
      <c r="AS47" s="26">
        <v>6</v>
      </c>
      <c r="AT47" s="26"/>
      <c r="AU47" s="16">
        <v>2</v>
      </c>
      <c r="AV47" s="26">
        <v>1</v>
      </c>
      <c r="AW47" s="26"/>
      <c r="AX47" s="26"/>
      <c r="AY47" s="26">
        <v>1</v>
      </c>
      <c r="AZ47" s="26"/>
      <c r="BA47" s="26"/>
      <c r="BB47" s="26"/>
      <c r="BC47" s="26"/>
      <c r="BD47" s="26">
        <v>6</v>
      </c>
      <c r="BE47" s="26">
        <v>6</v>
      </c>
      <c r="BF47" s="16"/>
      <c r="BG47" s="26">
        <v>38</v>
      </c>
      <c r="BH47" s="26"/>
      <c r="BI47" s="26">
        <v>20</v>
      </c>
      <c r="BJ47" s="26">
        <v>4</v>
      </c>
      <c r="BK47" s="26"/>
      <c r="BL47" s="26"/>
      <c r="BM47" s="26"/>
      <c r="BN47" s="26"/>
      <c r="BO47" s="16"/>
    </row>
    <row r="48" spans="1:67" s="5" customFormat="1" ht="21.9" customHeight="1" x14ac:dyDescent="0.25">
      <c r="A48" s="125" t="s">
        <v>210</v>
      </c>
      <c r="B48" s="4"/>
      <c r="C48" s="47" t="s">
        <v>75</v>
      </c>
      <c r="D48" s="48"/>
      <c r="E48" s="16">
        <v>45466</v>
      </c>
      <c r="F48" s="16">
        <v>654</v>
      </c>
      <c r="G48" s="16">
        <v>773</v>
      </c>
      <c r="H48" s="16">
        <v>430</v>
      </c>
      <c r="I48" s="16">
        <v>156</v>
      </c>
      <c r="J48" s="16">
        <v>153</v>
      </c>
      <c r="K48" s="16">
        <v>148</v>
      </c>
      <c r="L48" s="16">
        <v>389</v>
      </c>
      <c r="M48" s="16">
        <v>1332</v>
      </c>
      <c r="N48" s="16">
        <v>466</v>
      </c>
      <c r="O48" s="16">
        <v>108</v>
      </c>
      <c r="P48" s="16">
        <v>16</v>
      </c>
      <c r="Q48" s="16">
        <v>66</v>
      </c>
      <c r="R48" s="16">
        <v>437</v>
      </c>
      <c r="S48" s="16">
        <v>2315</v>
      </c>
      <c r="T48" s="16">
        <v>555</v>
      </c>
      <c r="U48" s="16">
        <v>1122</v>
      </c>
      <c r="V48" s="16">
        <v>413</v>
      </c>
      <c r="W48" s="16">
        <v>131</v>
      </c>
      <c r="X48" s="16">
        <v>144</v>
      </c>
      <c r="Y48" s="16">
        <v>4144</v>
      </c>
      <c r="Z48" s="16">
        <v>371</v>
      </c>
      <c r="AA48" s="16">
        <v>208</v>
      </c>
      <c r="AB48" s="16">
        <v>672</v>
      </c>
      <c r="AC48" s="16">
        <v>731</v>
      </c>
      <c r="AD48" s="16">
        <v>3001</v>
      </c>
      <c r="AE48" s="16">
        <v>3053</v>
      </c>
      <c r="AF48" s="16">
        <v>637</v>
      </c>
      <c r="AG48" s="16">
        <v>308</v>
      </c>
      <c r="AH48" s="16">
        <v>274</v>
      </c>
      <c r="AI48" s="16">
        <v>1659</v>
      </c>
      <c r="AJ48" s="16">
        <v>26</v>
      </c>
      <c r="AK48" s="98">
        <v>247</v>
      </c>
      <c r="AL48" s="16">
        <v>225</v>
      </c>
      <c r="AM48" s="16">
        <v>129</v>
      </c>
      <c r="AN48" s="16">
        <v>602</v>
      </c>
      <c r="AO48" s="16">
        <v>120</v>
      </c>
      <c r="AP48" s="16">
        <v>48</v>
      </c>
      <c r="AQ48" s="16">
        <v>11</v>
      </c>
      <c r="AR48" s="16">
        <v>526</v>
      </c>
      <c r="AS48" s="16">
        <v>559</v>
      </c>
      <c r="AT48" s="16">
        <v>2931</v>
      </c>
      <c r="AU48" s="16">
        <v>4609</v>
      </c>
      <c r="AV48" s="16">
        <v>1747</v>
      </c>
      <c r="AW48" s="16">
        <v>118</v>
      </c>
      <c r="AX48" s="16">
        <v>1263</v>
      </c>
      <c r="AY48" s="16">
        <v>409</v>
      </c>
      <c r="AZ48" s="26">
        <v>0</v>
      </c>
      <c r="BA48" s="16">
        <v>35</v>
      </c>
      <c r="BB48" s="16">
        <v>18</v>
      </c>
      <c r="BC48" s="16">
        <v>419</v>
      </c>
      <c r="BD48" s="16">
        <v>1334</v>
      </c>
      <c r="BE48" s="16">
        <v>1030</v>
      </c>
      <c r="BF48" s="16">
        <v>718</v>
      </c>
      <c r="BG48" s="16">
        <v>226</v>
      </c>
      <c r="BH48" s="16">
        <v>487</v>
      </c>
      <c r="BI48" s="16">
        <v>92</v>
      </c>
      <c r="BJ48" s="16">
        <v>502</v>
      </c>
      <c r="BK48" s="16">
        <v>141</v>
      </c>
      <c r="BL48" s="16">
        <v>871</v>
      </c>
      <c r="BM48" s="16">
        <v>994</v>
      </c>
      <c r="BN48" s="16">
        <v>1</v>
      </c>
      <c r="BO48" s="16">
        <v>162</v>
      </c>
    </row>
    <row r="49" spans="1:68" s="5" customFormat="1" ht="21.9" customHeight="1" x14ac:dyDescent="0.25">
      <c r="A49" s="125"/>
      <c r="B49" s="4"/>
      <c r="C49" s="47" t="s">
        <v>131</v>
      </c>
      <c r="D49" s="48"/>
      <c r="E49" s="16">
        <v>102</v>
      </c>
      <c r="F49" s="26">
        <v>0</v>
      </c>
      <c r="G49" s="26">
        <v>0</v>
      </c>
      <c r="H49" s="26">
        <v>0</v>
      </c>
      <c r="I49" s="26">
        <v>0</v>
      </c>
      <c r="J49" s="26">
        <v>2</v>
      </c>
      <c r="K49" s="26">
        <v>0</v>
      </c>
      <c r="L49" s="26">
        <v>0</v>
      </c>
      <c r="M49" s="26">
        <v>0</v>
      </c>
      <c r="N49" s="26">
        <v>0</v>
      </c>
      <c r="O49" s="26">
        <v>0</v>
      </c>
      <c r="P49" s="26">
        <v>0</v>
      </c>
      <c r="Q49" s="26">
        <v>0</v>
      </c>
      <c r="R49" s="26">
        <v>8</v>
      </c>
      <c r="S49" s="26">
        <v>0</v>
      </c>
      <c r="T49" s="26">
        <v>7</v>
      </c>
      <c r="U49" s="16">
        <v>4</v>
      </c>
      <c r="V49" s="26">
        <v>0</v>
      </c>
      <c r="W49" s="16">
        <v>0</v>
      </c>
      <c r="X49" s="16">
        <v>0</v>
      </c>
      <c r="Y49" s="16">
        <v>4</v>
      </c>
      <c r="Z49" s="16">
        <v>0</v>
      </c>
      <c r="AA49" s="26">
        <v>0</v>
      </c>
      <c r="AB49" s="26">
        <v>0</v>
      </c>
      <c r="AC49" s="16">
        <v>0</v>
      </c>
      <c r="AD49" s="16">
        <v>10</v>
      </c>
      <c r="AE49" s="16">
        <v>3</v>
      </c>
      <c r="AF49" s="16">
        <v>1</v>
      </c>
      <c r="AG49" s="26">
        <v>0</v>
      </c>
      <c r="AH49" s="26">
        <v>3</v>
      </c>
      <c r="AI49" s="16">
        <v>0</v>
      </c>
      <c r="AJ49" s="26">
        <v>0</v>
      </c>
      <c r="AK49" s="98">
        <v>0</v>
      </c>
      <c r="AL49" s="26">
        <v>1</v>
      </c>
      <c r="AM49" s="26">
        <v>2</v>
      </c>
      <c r="AN49" s="16">
        <v>8</v>
      </c>
      <c r="AO49" s="16">
        <v>0</v>
      </c>
      <c r="AP49" s="26">
        <v>0</v>
      </c>
      <c r="AQ49" s="26">
        <v>0</v>
      </c>
      <c r="AR49" s="16">
        <v>1</v>
      </c>
      <c r="AS49" s="16">
        <v>0</v>
      </c>
      <c r="AT49" s="26">
        <v>1</v>
      </c>
      <c r="AU49" s="16">
        <v>5</v>
      </c>
      <c r="AV49" s="26">
        <v>0</v>
      </c>
      <c r="AW49" s="26">
        <v>0</v>
      </c>
      <c r="AX49" s="26">
        <v>3</v>
      </c>
      <c r="AY49" s="26">
        <v>0</v>
      </c>
      <c r="AZ49" s="26">
        <v>0</v>
      </c>
      <c r="BA49" s="26">
        <v>0</v>
      </c>
      <c r="BB49" s="26">
        <v>0</v>
      </c>
      <c r="BC49" s="26">
        <v>0</v>
      </c>
      <c r="BD49" s="26">
        <v>3</v>
      </c>
      <c r="BE49" s="16">
        <v>4</v>
      </c>
      <c r="BF49" s="16">
        <v>1</v>
      </c>
      <c r="BG49" s="16">
        <v>2</v>
      </c>
      <c r="BH49" s="16">
        <v>0</v>
      </c>
      <c r="BI49" s="26">
        <v>0</v>
      </c>
      <c r="BJ49" s="16">
        <v>0</v>
      </c>
      <c r="BK49" s="26">
        <v>0</v>
      </c>
      <c r="BL49" s="16">
        <v>8</v>
      </c>
      <c r="BM49" s="16">
        <v>0</v>
      </c>
      <c r="BN49" s="26">
        <v>0</v>
      </c>
      <c r="BO49" s="16">
        <v>21</v>
      </c>
    </row>
    <row r="50" spans="1:68" s="5" customFormat="1" ht="21.9" customHeight="1" x14ac:dyDescent="0.25">
      <c r="A50" s="125" t="s">
        <v>90</v>
      </c>
      <c r="B50" s="4"/>
      <c r="C50" s="47" t="s">
        <v>75</v>
      </c>
      <c r="D50" s="48"/>
      <c r="E50" s="16">
        <v>3487</v>
      </c>
      <c r="F50" s="16">
        <v>25</v>
      </c>
      <c r="G50" s="16">
        <v>25</v>
      </c>
      <c r="H50" s="16">
        <v>0</v>
      </c>
      <c r="I50" s="16">
        <v>15</v>
      </c>
      <c r="J50" s="16">
        <v>0</v>
      </c>
      <c r="K50" s="16">
        <v>119</v>
      </c>
      <c r="L50" s="16">
        <v>80</v>
      </c>
      <c r="M50" s="16">
        <v>3</v>
      </c>
      <c r="N50" s="16">
        <v>3</v>
      </c>
      <c r="O50" s="16">
        <v>7</v>
      </c>
      <c r="P50" s="16">
        <v>0</v>
      </c>
      <c r="Q50" s="16">
        <v>46</v>
      </c>
      <c r="R50" s="16">
        <v>79</v>
      </c>
      <c r="S50" s="16">
        <v>16</v>
      </c>
      <c r="T50" s="16">
        <v>87</v>
      </c>
      <c r="U50" s="16">
        <v>160</v>
      </c>
      <c r="V50" s="16">
        <v>6</v>
      </c>
      <c r="W50" s="16">
        <v>148</v>
      </c>
      <c r="X50" s="16">
        <v>0</v>
      </c>
      <c r="Y50" s="16">
        <v>104</v>
      </c>
      <c r="Z50" s="16">
        <v>96</v>
      </c>
      <c r="AA50" s="16">
        <v>36</v>
      </c>
      <c r="AB50" s="16">
        <v>34</v>
      </c>
      <c r="AC50" s="16">
        <v>0</v>
      </c>
      <c r="AD50" s="16">
        <v>717</v>
      </c>
      <c r="AE50" s="16">
        <v>82</v>
      </c>
      <c r="AF50" s="16">
        <v>120</v>
      </c>
      <c r="AG50" s="16">
        <v>102</v>
      </c>
      <c r="AH50" s="16">
        <v>36</v>
      </c>
      <c r="AI50" s="16">
        <v>0</v>
      </c>
      <c r="AJ50" s="16">
        <v>0</v>
      </c>
      <c r="AK50" s="98">
        <v>22</v>
      </c>
      <c r="AL50" s="16">
        <v>0</v>
      </c>
      <c r="AM50" s="16">
        <v>7</v>
      </c>
      <c r="AN50" s="16">
        <v>59</v>
      </c>
      <c r="AO50" s="16">
        <v>0</v>
      </c>
      <c r="AP50" s="16">
        <v>0</v>
      </c>
      <c r="AQ50" s="16">
        <v>3</v>
      </c>
      <c r="AR50" s="16">
        <v>125</v>
      </c>
      <c r="AS50" s="16">
        <v>42</v>
      </c>
      <c r="AT50" s="16">
        <v>15</v>
      </c>
      <c r="AU50" s="16">
        <v>165</v>
      </c>
      <c r="AV50" s="16">
        <v>112</v>
      </c>
      <c r="AW50" s="16">
        <v>0</v>
      </c>
      <c r="AX50" s="16">
        <v>10</v>
      </c>
      <c r="AY50" s="16">
        <v>0</v>
      </c>
      <c r="AZ50" s="26">
        <v>0</v>
      </c>
      <c r="BA50" s="16">
        <v>0</v>
      </c>
      <c r="BB50" s="16">
        <v>0</v>
      </c>
      <c r="BC50" s="16">
        <v>0</v>
      </c>
      <c r="BD50" s="16">
        <v>5</v>
      </c>
      <c r="BE50" s="16">
        <v>0</v>
      </c>
      <c r="BF50" s="16">
        <v>3</v>
      </c>
      <c r="BG50" s="16">
        <v>0</v>
      </c>
      <c r="BH50" s="16">
        <v>0</v>
      </c>
      <c r="BI50" s="16">
        <v>234</v>
      </c>
      <c r="BJ50" s="16">
        <v>348</v>
      </c>
      <c r="BK50" s="16">
        <v>16</v>
      </c>
      <c r="BL50" s="16">
        <v>24</v>
      </c>
      <c r="BM50" s="16">
        <v>0</v>
      </c>
      <c r="BN50" s="16">
        <v>0</v>
      </c>
      <c r="BO50" s="16">
        <v>151</v>
      </c>
    </row>
    <row r="51" spans="1:68" s="5" customFormat="1" ht="21.9" customHeight="1" x14ac:dyDescent="0.25">
      <c r="A51" s="125"/>
      <c r="B51" s="4"/>
      <c r="C51" s="47" t="s">
        <v>131</v>
      </c>
      <c r="D51" s="48"/>
      <c r="E51" s="16">
        <v>51</v>
      </c>
      <c r="F51" s="26"/>
      <c r="G51" s="26"/>
      <c r="H51" s="26"/>
      <c r="I51" s="26"/>
      <c r="J51" s="26"/>
      <c r="K51" s="26"/>
      <c r="L51" s="26">
        <v>1</v>
      </c>
      <c r="M51" s="26"/>
      <c r="N51" s="26"/>
      <c r="O51" s="26"/>
      <c r="P51" s="26"/>
      <c r="Q51" s="26"/>
      <c r="R51" s="26">
        <v>7</v>
      </c>
      <c r="S51" s="26"/>
      <c r="T51" s="26"/>
      <c r="U51" s="16">
        <v>1</v>
      </c>
      <c r="V51" s="26"/>
      <c r="W51" s="16">
        <v>1</v>
      </c>
      <c r="X51" s="16"/>
      <c r="Y51" s="16"/>
      <c r="Z51" s="16"/>
      <c r="AA51" s="26"/>
      <c r="AB51" s="26"/>
      <c r="AC51" s="16"/>
      <c r="AD51" s="16">
        <v>2</v>
      </c>
      <c r="AE51" s="16"/>
      <c r="AF51" s="16"/>
      <c r="AG51" s="26"/>
      <c r="AH51" s="26">
        <v>8</v>
      </c>
      <c r="AI51" s="16"/>
      <c r="AJ51" s="26"/>
      <c r="AK51" s="98">
        <v>1</v>
      </c>
      <c r="AL51" s="26"/>
      <c r="AM51" s="26"/>
      <c r="AN51" s="16">
        <v>1</v>
      </c>
      <c r="AO51" s="16"/>
      <c r="AP51" s="26"/>
      <c r="AQ51" s="26"/>
      <c r="AR51" s="16"/>
      <c r="AS51" s="16"/>
      <c r="AT51" s="26"/>
      <c r="AU51" s="16"/>
      <c r="AV51" s="26">
        <v>1</v>
      </c>
      <c r="AW51" s="26"/>
      <c r="AX51" s="26"/>
      <c r="AY51" s="26"/>
      <c r="AZ51" s="26"/>
      <c r="BA51" s="26"/>
      <c r="BB51" s="26"/>
      <c r="BC51" s="26"/>
      <c r="BD51" s="26"/>
      <c r="BE51" s="16"/>
      <c r="BF51" s="16"/>
      <c r="BG51" s="16">
        <v>24</v>
      </c>
      <c r="BH51" s="16"/>
      <c r="BI51" s="26"/>
      <c r="BJ51" s="16"/>
      <c r="BK51" s="26"/>
      <c r="BL51" s="16"/>
      <c r="BM51" s="16"/>
      <c r="BN51" s="26"/>
      <c r="BO51" s="16">
        <v>4</v>
      </c>
    </row>
    <row r="52" spans="1:68" s="5" customFormat="1" ht="21.9" customHeight="1" x14ac:dyDescent="0.25">
      <c r="A52" s="125" t="s">
        <v>91</v>
      </c>
      <c r="B52" s="4"/>
      <c r="C52" s="47" t="s">
        <v>75</v>
      </c>
      <c r="D52" s="48"/>
      <c r="E52" s="16">
        <v>42865</v>
      </c>
      <c r="F52" s="16">
        <v>767</v>
      </c>
      <c r="G52" s="16">
        <v>777</v>
      </c>
      <c r="H52" s="16">
        <v>344</v>
      </c>
      <c r="I52" s="16">
        <v>93</v>
      </c>
      <c r="J52" s="16">
        <v>1</v>
      </c>
      <c r="K52" s="16">
        <v>157</v>
      </c>
      <c r="L52" s="16">
        <v>266</v>
      </c>
      <c r="M52" s="16">
        <v>841</v>
      </c>
      <c r="N52" s="16">
        <v>161</v>
      </c>
      <c r="O52" s="16">
        <v>49</v>
      </c>
      <c r="P52" s="16">
        <v>87</v>
      </c>
      <c r="Q52" s="16">
        <v>44</v>
      </c>
      <c r="R52" s="16">
        <v>204</v>
      </c>
      <c r="S52" s="16">
        <v>1118</v>
      </c>
      <c r="T52" s="16">
        <v>318</v>
      </c>
      <c r="U52" s="16">
        <v>453</v>
      </c>
      <c r="V52" s="16">
        <v>408</v>
      </c>
      <c r="W52" s="16">
        <v>382</v>
      </c>
      <c r="X52" s="16">
        <v>141</v>
      </c>
      <c r="Y52" s="16">
        <v>2148</v>
      </c>
      <c r="Z52" s="16">
        <v>400</v>
      </c>
      <c r="AA52" s="16">
        <v>520</v>
      </c>
      <c r="AB52" s="16">
        <v>473</v>
      </c>
      <c r="AC52" s="16">
        <v>6</v>
      </c>
      <c r="AD52" s="16">
        <v>4397</v>
      </c>
      <c r="AE52" s="16">
        <v>2277</v>
      </c>
      <c r="AF52" s="16">
        <v>269</v>
      </c>
      <c r="AG52" s="16">
        <v>285</v>
      </c>
      <c r="AH52" s="16">
        <v>95</v>
      </c>
      <c r="AI52" s="16">
        <v>1651</v>
      </c>
      <c r="AJ52" s="16">
        <v>502</v>
      </c>
      <c r="AK52" s="98">
        <v>12</v>
      </c>
      <c r="AL52" s="16">
        <v>319</v>
      </c>
      <c r="AM52" s="16">
        <v>96</v>
      </c>
      <c r="AN52" s="16">
        <v>1399</v>
      </c>
      <c r="AO52" s="16">
        <v>113</v>
      </c>
      <c r="AP52" s="16">
        <v>106</v>
      </c>
      <c r="AQ52" s="16">
        <v>5</v>
      </c>
      <c r="AR52" s="16">
        <v>638</v>
      </c>
      <c r="AS52" s="16">
        <v>334</v>
      </c>
      <c r="AT52" s="16">
        <v>3810</v>
      </c>
      <c r="AU52" s="16">
        <v>5156</v>
      </c>
      <c r="AV52" s="16">
        <v>2313</v>
      </c>
      <c r="AW52" s="16">
        <v>75</v>
      </c>
      <c r="AX52" s="16">
        <v>1191</v>
      </c>
      <c r="AY52" s="16">
        <v>347</v>
      </c>
      <c r="AZ52" s="16">
        <v>3</v>
      </c>
      <c r="BA52" s="16">
        <v>6</v>
      </c>
      <c r="BB52" s="26">
        <v>61</v>
      </c>
      <c r="BC52" s="16">
        <v>518</v>
      </c>
      <c r="BD52" s="16">
        <v>1456</v>
      </c>
      <c r="BE52" s="16">
        <v>1740</v>
      </c>
      <c r="BF52" s="16">
        <v>131</v>
      </c>
      <c r="BG52" s="16">
        <v>409</v>
      </c>
      <c r="BH52" s="16">
        <v>392</v>
      </c>
      <c r="BI52" s="16">
        <v>350</v>
      </c>
      <c r="BJ52" s="16">
        <v>371</v>
      </c>
      <c r="BK52" s="16">
        <v>218</v>
      </c>
      <c r="BL52" s="16">
        <v>427</v>
      </c>
      <c r="BM52" s="16">
        <v>1191</v>
      </c>
      <c r="BN52" s="16">
        <v>0</v>
      </c>
      <c r="BO52" s="16">
        <v>44</v>
      </c>
    </row>
    <row r="53" spans="1:68" s="5" customFormat="1" ht="21.9" customHeight="1" x14ac:dyDescent="0.25">
      <c r="A53" s="125"/>
      <c r="B53" s="4"/>
      <c r="C53" s="47" t="s">
        <v>131</v>
      </c>
      <c r="D53" s="48"/>
      <c r="E53" s="16">
        <v>409</v>
      </c>
      <c r="F53" s="26"/>
      <c r="G53" s="26"/>
      <c r="H53" s="26"/>
      <c r="I53" s="26"/>
      <c r="J53" s="26"/>
      <c r="K53" s="26"/>
      <c r="L53" s="26"/>
      <c r="M53" s="26"/>
      <c r="N53" s="26"/>
      <c r="O53" s="26"/>
      <c r="P53" s="26"/>
      <c r="Q53" s="26"/>
      <c r="R53" s="26">
        <v>2</v>
      </c>
      <c r="S53" s="26"/>
      <c r="T53" s="26"/>
      <c r="U53" s="16">
        <v>1</v>
      </c>
      <c r="V53" s="16"/>
      <c r="W53" s="26"/>
      <c r="X53" s="26"/>
      <c r="Y53" s="26"/>
      <c r="Z53" s="26"/>
      <c r="AA53" s="26"/>
      <c r="AB53" s="16">
        <v>6</v>
      </c>
      <c r="AC53" s="26"/>
      <c r="AD53" s="16"/>
      <c r="AE53" s="26"/>
      <c r="AF53" s="26"/>
      <c r="AG53" s="16">
        <v>1</v>
      </c>
      <c r="AH53" s="26"/>
      <c r="AI53" s="26"/>
      <c r="AJ53" s="26"/>
      <c r="AK53" s="98"/>
      <c r="AL53" s="26"/>
      <c r="AM53" s="26"/>
      <c r="AN53" s="26"/>
      <c r="AO53" s="16"/>
      <c r="AP53" s="26"/>
      <c r="AQ53" s="26"/>
      <c r="AR53" s="26"/>
      <c r="AS53" s="16"/>
      <c r="AT53" s="26"/>
      <c r="AU53" s="16"/>
      <c r="AV53" s="16"/>
      <c r="AW53" s="26"/>
      <c r="AX53" s="16"/>
      <c r="AY53" s="26"/>
      <c r="AZ53" s="26"/>
      <c r="BA53" s="26"/>
      <c r="BB53" s="26"/>
      <c r="BC53" s="26"/>
      <c r="BD53" s="26"/>
      <c r="BE53" s="26"/>
      <c r="BF53" s="26"/>
      <c r="BG53" s="16">
        <v>399</v>
      </c>
      <c r="BH53" s="26"/>
      <c r="BI53" s="16"/>
      <c r="BJ53" s="26"/>
      <c r="BK53" s="26"/>
      <c r="BL53" s="26"/>
      <c r="BM53" s="26"/>
      <c r="BN53" s="26"/>
      <c r="BO53" s="16"/>
    </row>
    <row r="54" spans="1:68" s="5" customFormat="1" ht="21.9" customHeight="1" x14ac:dyDescent="0.25">
      <c r="A54" s="125" t="s">
        <v>92</v>
      </c>
      <c r="B54" s="4"/>
      <c r="C54" s="47" t="s">
        <v>75</v>
      </c>
      <c r="D54" s="48"/>
      <c r="E54" s="16">
        <v>12416</v>
      </c>
      <c r="F54" s="16">
        <v>351</v>
      </c>
      <c r="G54" s="16">
        <v>210</v>
      </c>
      <c r="H54" s="16">
        <v>65</v>
      </c>
      <c r="I54" s="16">
        <v>89</v>
      </c>
      <c r="J54" s="16">
        <v>16</v>
      </c>
      <c r="K54" s="16">
        <v>72</v>
      </c>
      <c r="L54" s="16">
        <v>135</v>
      </c>
      <c r="M54" s="16">
        <v>56</v>
      </c>
      <c r="N54" s="16">
        <v>32</v>
      </c>
      <c r="O54" s="16">
        <v>40</v>
      </c>
      <c r="P54" s="16">
        <v>3</v>
      </c>
      <c r="Q54" s="16">
        <v>22</v>
      </c>
      <c r="R54" s="16">
        <v>179</v>
      </c>
      <c r="S54" s="16">
        <v>127</v>
      </c>
      <c r="T54" s="16">
        <v>66</v>
      </c>
      <c r="U54" s="16">
        <v>202</v>
      </c>
      <c r="V54" s="16">
        <v>110</v>
      </c>
      <c r="W54" s="16">
        <v>268</v>
      </c>
      <c r="X54" s="16">
        <v>55</v>
      </c>
      <c r="Y54" s="16">
        <v>383</v>
      </c>
      <c r="Z54" s="16">
        <v>722</v>
      </c>
      <c r="AA54" s="16">
        <v>41</v>
      </c>
      <c r="AB54" s="16">
        <v>105</v>
      </c>
      <c r="AC54" s="16">
        <v>71</v>
      </c>
      <c r="AD54" s="16">
        <v>2227</v>
      </c>
      <c r="AE54" s="16">
        <v>1135</v>
      </c>
      <c r="AF54" s="16">
        <v>77</v>
      </c>
      <c r="AG54" s="16">
        <v>207</v>
      </c>
      <c r="AH54" s="16">
        <v>42</v>
      </c>
      <c r="AI54" s="16">
        <v>85</v>
      </c>
      <c r="AJ54" s="16">
        <v>9</v>
      </c>
      <c r="AK54" s="98">
        <v>177</v>
      </c>
      <c r="AL54" s="16">
        <v>71</v>
      </c>
      <c r="AM54" s="16">
        <v>35</v>
      </c>
      <c r="AN54" s="16">
        <v>259</v>
      </c>
      <c r="AO54" s="16">
        <v>14</v>
      </c>
      <c r="AP54" s="16">
        <v>2</v>
      </c>
      <c r="AQ54" s="16">
        <v>18</v>
      </c>
      <c r="AR54" s="16">
        <v>82</v>
      </c>
      <c r="AS54" s="16">
        <v>49</v>
      </c>
      <c r="AT54" s="16">
        <v>509</v>
      </c>
      <c r="AU54" s="16">
        <v>1254</v>
      </c>
      <c r="AV54" s="16">
        <v>220</v>
      </c>
      <c r="AW54" s="16">
        <v>5</v>
      </c>
      <c r="AX54" s="16">
        <v>83</v>
      </c>
      <c r="AY54" s="16">
        <v>38</v>
      </c>
      <c r="AZ54" s="16">
        <v>0</v>
      </c>
      <c r="BA54" s="26">
        <v>0</v>
      </c>
      <c r="BB54" s="26">
        <v>1</v>
      </c>
      <c r="BC54" s="16">
        <v>2</v>
      </c>
      <c r="BD54" s="16">
        <v>116</v>
      </c>
      <c r="BE54" s="16">
        <v>148</v>
      </c>
      <c r="BF54" s="16">
        <v>136</v>
      </c>
      <c r="BG54" s="16">
        <v>170</v>
      </c>
      <c r="BH54" s="16">
        <v>124</v>
      </c>
      <c r="BI54" s="16">
        <v>60</v>
      </c>
      <c r="BJ54" s="16">
        <v>688</v>
      </c>
      <c r="BK54" s="16">
        <v>303</v>
      </c>
      <c r="BL54" s="16">
        <v>348</v>
      </c>
      <c r="BM54" s="16">
        <v>143</v>
      </c>
      <c r="BN54" s="16">
        <v>0</v>
      </c>
      <c r="BO54" s="16">
        <v>159</v>
      </c>
    </row>
    <row r="55" spans="1:68" s="5" customFormat="1" ht="21.9" customHeight="1" x14ac:dyDescent="0.25">
      <c r="A55" s="125"/>
      <c r="B55" s="4"/>
      <c r="C55" s="47" t="s">
        <v>76</v>
      </c>
      <c r="D55" s="48"/>
      <c r="E55" s="16">
        <v>504</v>
      </c>
      <c r="F55" s="26"/>
      <c r="G55" s="26"/>
      <c r="H55" s="26"/>
      <c r="I55" s="26">
        <v>2</v>
      </c>
      <c r="J55" s="26"/>
      <c r="K55" s="26"/>
      <c r="L55" s="26"/>
      <c r="M55" s="26"/>
      <c r="N55" s="26"/>
      <c r="O55" s="26"/>
      <c r="P55" s="26">
        <v>2</v>
      </c>
      <c r="Q55" s="26"/>
      <c r="R55" s="26">
        <v>9</v>
      </c>
      <c r="S55" s="26">
        <v>1</v>
      </c>
      <c r="T55" s="16"/>
      <c r="U55" s="16">
        <v>13</v>
      </c>
      <c r="V55" s="16"/>
      <c r="W55" s="16">
        <v>3</v>
      </c>
      <c r="X55" s="16">
        <v>4</v>
      </c>
      <c r="Y55" s="16">
        <v>3</v>
      </c>
      <c r="Z55" s="16">
        <v>2</v>
      </c>
      <c r="AA55" s="16"/>
      <c r="AB55" s="16"/>
      <c r="AC55" s="16">
        <v>5</v>
      </c>
      <c r="AD55" s="16">
        <v>23</v>
      </c>
      <c r="AE55" s="16">
        <v>40</v>
      </c>
      <c r="AF55" s="16">
        <v>5</v>
      </c>
      <c r="AG55" s="16">
        <v>3</v>
      </c>
      <c r="AH55" s="16">
        <v>4</v>
      </c>
      <c r="AI55" s="16">
        <v>4</v>
      </c>
      <c r="AJ55" s="26"/>
      <c r="AK55" s="98">
        <v>6</v>
      </c>
      <c r="AL55" s="26">
        <v>4</v>
      </c>
      <c r="AM55" s="26"/>
      <c r="AN55" s="16">
        <v>6</v>
      </c>
      <c r="AO55" s="16"/>
      <c r="AP55" s="26"/>
      <c r="AQ55" s="16"/>
      <c r="AR55" s="16">
        <v>15</v>
      </c>
      <c r="AS55" s="16">
        <v>1</v>
      </c>
      <c r="AT55" s="26"/>
      <c r="AU55" s="16">
        <v>9</v>
      </c>
      <c r="AV55" s="26">
        <v>4</v>
      </c>
      <c r="AW55" s="26"/>
      <c r="AX55" s="16">
        <v>2</v>
      </c>
      <c r="AY55" s="26"/>
      <c r="AZ55" s="26"/>
      <c r="BA55" s="26"/>
      <c r="BB55" s="26"/>
      <c r="BC55" s="26"/>
      <c r="BD55" s="26">
        <v>2</v>
      </c>
      <c r="BE55" s="16">
        <v>3</v>
      </c>
      <c r="BF55" s="16">
        <v>8</v>
      </c>
      <c r="BG55" s="16">
        <v>308</v>
      </c>
      <c r="BH55" s="26"/>
      <c r="BI55" s="16"/>
      <c r="BJ55" s="26">
        <v>5</v>
      </c>
      <c r="BK55" s="26">
        <v>2</v>
      </c>
      <c r="BL55" s="16">
        <v>2</v>
      </c>
      <c r="BM55" s="26"/>
      <c r="BN55" s="26"/>
      <c r="BO55" s="26">
        <v>4</v>
      </c>
    </row>
    <row r="56" spans="1:68" s="5" customFormat="1" ht="21.9" customHeight="1" x14ac:dyDescent="0.25">
      <c r="A56" s="125" t="s">
        <v>245</v>
      </c>
      <c r="C56" s="47" t="s">
        <v>132</v>
      </c>
      <c r="D56" s="48"/>
      <c r="E56" s="16">
        <v>61260</v>
      </c>
      <c r="F56" s="16">
        <v>2363</v>
      </c>
      <c r="G56" s="16">
        <v>1096</v>
      </c>
      <c r="H56" s="16">
        <v>173</v>
      </c>
      <c r="I56" s="16">
        <v>595</v>
      </c>
      <c r="J56" s="16">
        <v>112</v>
      </c>
      <c r="K56" s="16">
        <v>183</v>
      </c>
      <c r="L56" s="16">
        <v>909</v>
      </c>
      <c r="M56" s="16">
        <v>531</v>
      </c>
      <c r="N56" s="16">
        <v>145</v>
      </c>
      <c r="O56" s="16">
        <v>210</v>
      </c>
      <c r="P56" s="16">
        <v>15</v>
      </c>
      <c r="Q56" s="16">
        <v>60</v>
      </c>
      <c r="R56" s="16">
        <v>500</v>
      </c>
      <c r="S56" s="16">
        <v>250</v>
      </c>
      <c r="T56" s="16">
        <v>129</v>
      </c>
      <c r="U56" s="16">
        <v>1600</v>
      </c>
      <c r="V56" s="16">
        <v>271</v>
      </c>
      <c r="W56" s="16">
        <v>375</v>
      </c>
      <c r="X56" s="16">
        <v>214</v>
      </c>
      <c r="Y56" s="16">
        <v>2779</v>
      </c>
      <c r="Z56" s="16">
        <v>946</v>
      </c>
      <c r="AA56" s="16">
        <v>153</v>
      </c>
      <c r="AB56" s="16">
        <v>339</v>
      </c>
      <c r="AC56" s="16">
        <v>251</v>
      </c>
      <c r="AD56" s="16">
        <v>8430</v>
      </c>
      <c r="AE56" s="16">
        <v>8779</v>
      </c>
      <c r="AF56" s="16">
        <v>336</v>
      </c>
      <c r="AG56" s="16">
        <v>249</v>
      </c>
      <c r="AH56" s="16">
        <v>437</v>
      </c>
      <c r="AI56" s="16">
        <v>3068</v>
      </c>
      <c r="AJ56" s="16">
        <v>107</v>
      </c>
      <c r="AK56" s="98">
        <v>498</v>
      </c>
      <c r="AL56" s="16">
        <v>164</v>
      </c>
      <c r="AM56" s="16">
        <v>150</v>
      </c>
      <c r="AN56" s="16">
        <v>1320</v>
      </c>
      <c r="AO56" s="16">
        <v>20</v>
      </c>
      <c r="AP56" s="16">
        <v>10</v>
      </c>
      <c r="AQ56" s="16">
        <v>95</v>
      </c>
      <c r="AR56" s="16">
        <v>236</v>
      </c>
      <c r="AS56" s="16">
        <v>757</v>
      </c>
      <c r="AT56" s="16">
        <v>2390</v>
      </c>
      <c r="AU56" s="16">
        <v>5044</v>
      </c>
      <c r="AV56" s="16">
        <v>2202</v>
      </c>
      <c r="AW56" s="16">
        <v>97</v>
      </c>
      <c r="AX56" s="16">
        <v>771</v>
      </c>
      <c r="AY56" s="16">
        <v>303</v>
      </c>
      <c r="AZ56" s="16">
        <v>0</v>
      </c>
      <c r="BA56" s="16">
        <v>36</v>
      </c>
      <c r="BB56" s="16">
        <v>182</v>
      </c>
      <c r="BC56" s="16">
        <v>246</v>
      </c>
      <c r="BD56" s="16">
        <v>631</v>
      </c>
      <c r="BE56" s="16">
        <v>827</v>
      </c>
      <c r="BF56" s="16">
        <v>1355</v>
      </c>
      <c r="BG56" s="16">
        <v>2738</v>
      </c>
      <c r="BH56" s="16">
        <v>115</v>
      </c>
      <c r="BI56" s="16">
        <v>110</v>
      </c>
      <c r="BJ56" s="16">
        <v>1533</v>
      </c>
      <c r="BK56" s="16">
        <v>739</v>
      </c>
      <c r="BL56" s="16">
        <v>2111</v>
      </c>
      <c r="BM56" s="16">
        <v>121</v>
      </c>
      <c r="BN56" s="16">
        <v>23</v>
      </c>
      <c r="BO56" s="16">
        <v>831</v>
      </c>
      <c r="BP56" s="16"/>
    </row>
    <row r="57" spans="1:68" s="5" customFormat="1" ht="21.9" customHeight="1" x14ac:dyDescent="0.25">
      <c r="A57" s="125"/>
      <c r="C57" s="47" t="s">
        <v>76</v>
      </c>
      <c r="D57" s="48"/>
      <c r="E57" s="16">
        <v>280</v>
      </c>
      <c r="F57" s="26"/>
      <c r="G57" s="26"/>
      <c r="H57" s="26"/>
      <c r="I57" s="26"/>
      <c r="J57" s="26"/>
      <c r="K57" s="26"/>
      <c r="L57" s="26">
        <v>1</v>
      </c>
      <c r="M57" s="26"/>
      <c r="N57" s="26"/>
      <c r="O57" s="26"/>
      <c r="P57" s="26"/>
      <c r="Q57" s="26"/>
      <c r="R57" s="26"/>
      <c r="S57" s="26"/>
      <c r="T57" s="16"/>
      <c r="U57" s="16">
        <v>7</v>
      </c>
      <c r="V57" s="16"/>
      <c r="W57" s="16"/>
      <c r="X57" s="16"/>
      <c r="Y57" s="16"/>
      <c r="Z57" s="16">
        <v>5</v>
      </c>
      <c r="AA57" s="16"/>
      <c r="AB57" s="16">
        <v>1</v>
      </c>
      <c r="AC57" s="16"/>
      <c r="AD57" s="16">
        <v>0</v>
      </c>
      <c r="AE57" s="16">
        <v>0</v>
      </c>
      <c r="AF57" s="16"/>
      <c r="AG57" s="16">
        <v>1</v>
      </c>
      <c r="AH57" s="16"/>
      <c r="AI57" s="16"/>
      <c r="AJ57" s="16"/>
      <c r="AK57" s="98"/>
      <c r="AL57" s="16"/>
      <c r="AM57" s="16"/>
      <c r="AN57" s="16"/>
      <c r="AO57" s="26"/>
      <c r="AP57" s="26"/>
      <c r="AQ57" s="16"/>
      <c r="AR57" s="26"/>
      <c r="AS57" s="26">
        <v>6</v>
      </c>
      <c r="AT57" s="26"/>
      <c r="AU57" s="16"/>
      <c r="AV57" s="26"/>
      <c r="AW57" s="26"/>
      <c r="AX57" s="26"/>
      <c r="AY57" s="16"/>
      <c r="AZ57" s="26"/>
      <c r="BA57" s="26"/>
      <c r="BB57" s="26"/>
      <c r="BC57" s="26"/>
      <c r="BD57" s="26"/>
      <c r="BE57" s="16"/>
      <c r="BF57" s="16"/>
      <c r="BG57" s="16">
        <v>247</v>
      </c>
      <c r="BH57" s="16"/>
      <c r="BI57" s="26">
        <v>7</v>
      </c>
      <c r="BJ57" s="26">
        <v>3</v>
      </c>
      <c r="BK57" s="26">
        <v>2</v>
      </c>
      <c r="BL57" s="26"/>
      <c r="BM57" s="26"/>
      <c r="BN57" s="26"/>
      <c r="BO57" s="16"/>
      <c r="BP57" s="16"/>
    </row>
    <row r="58" spans="1:68" s="5" customFormat="1" ht="21.9" customHeight="1" x14ac:dyDescent="0.25">
      <c r="A58" s="125" t="s">
        <v>94</v>
      </c>
      <c r="B58" s="4"/>
      <c r="C58" s="47" t="s">
        <v>132</v>
      </c>
      <c r="D58" s="48"/>
      <c r="E58" s="16">
        <v>15893</v>
      </c>
      <c r="F58" s="16">
        <v>17</v>
      </c>
      <c r="G58" s="16">
        <v>25</v>
      </c>
      <c r="H58" s="16">
        <v>25</v>
      </c>
      <c r="I58" s="16">
        <v>130</v>
      </c>
      <c r="J58" s="16">
        <v>0</v>
      </c>
      <c r="K58" s="16">
        <v>139</v>
      </c>
      <c r="L58" s="16">
        <v>780</v>
      </c>
      <c r="M58" s="16">
        <v>150</v>
      </c>
      <c r="N58" s="16">
        <v>0</v>
      </c>
      <c r="O58" s="16">
        <v>320</v>
      </c>
      <c r="P58" s="16">
        <v>0</v>
      </c>
      <c r="Q58" s="16">
        <v>60</v>
      </c>
      <c r="R58" s="16">
        <v>491</v>
      </c>
      <c r="S58" s="16">
        <v>55</v>
      </c>
      <c r="T58" s="16">
        <v>60</v>
      </c>
      <c r="U58" s="16">
        <v>1124</v>
      </c>
      <c r="V58" s="16">
        <v>96</v>
      </c>
      <c r="W58" s="16">
        <v>446</v>
      </c>
      <c r="X58" s="16">
        <v>75</v>
      </c>
      <c r="Y58" s="16">
        <v>224</v>
      </c>
      <c r="Z58" s="16">
        <v>346</v>
      </c>
      <c r="AA58" s="16">
        <v>20</v>
      </c>
      <c r="AB58" s="16">
        <v>319</v>
      </c>
      <c r="AC58" s="16">
        <v>55</v>
      </c>
      <c r="AD58" s="16">
        <v>715</v>
      </c>
      <c r="AE58" s="16">
        <v>1388</v>
      </c>
      <c r="AF58" s="16">
        <v>277</v>
      </c>
      <c r="AG58" s="16">
        <v>103</v>
      </c>
      <c r="AH58" s="16">
        <v>220</v>
      </c>
      <c r="AI58" s="16">
        <v>485</v>
      </c>
      <c r="AJ58" s="16">
        <v>0</v>
      </c>
      <c r="AK58" s="98">
        <v>338</v>
      </c>
      <c r="AL58" s="16">
        <v>326</v>
      </c>
      <c r="AM58" s="16">
        <v>200</v>
      </c>
      <c r="AN58" s="16">
        <v>978</v>
      </c>
      <c r="AO58" s="16">
        <v>0</v>
      </c>
      <c r="AP58" s="16">
        <v>0</v>
      </c>
      <c r="AQ58" s="16">
        <v>0</v>
      </c>
      <c r="AR58" s="16">
        <v>15</v>
      </c>
      <c r="AS58" s="16">
        <v>120</v>
      </c>
      <c r="AT58" s="16">
        <v>0</v>
      </c>
      <c r="AU58" s="16">
        <v>235</v>
      </c>
      <c r="AV58" s="16">
        <v>276</v>
      </c>
      <c r="AW58" s="16">
        <v>10</v>
      </c>
      <c r="AX58" s="16">
        <v>355</v>
      </c>
      <c r="AY58" s="16">
        <v>0</v>
      </c>
      <c r="AZ58" s="26">
        <v>0</v>
      </c>
      <c r="BA58" s="26">
        <v>70</v>
      </c>
      <c r="BB58" s="26">
        <v>175</v>
      </c>
      <c r="BC58" s="16">
        <v>0</v>
      </c>
      <c r="BD58" s="16">
        <v>115</v>
      </c>
      <c r="BE58" s="16">
        <v>770</v>
      </c>
      <c r="BF58" s="16">
        <v>445</v>
      </c>
      <c r="BG58" s="16">
        <v>2140</v>
      </c>
      <c r="BH58" s="16">
        <v>329</v>
      </c>
      <c r="BI58" s="16">
        <v>0</v>
      </c>
      <c r="BJ58" s="16">
        <v>226</v>
      </c>
      <c r="BK58" s="16">
        <v>145</v>
      </c>
      <c r="BL58" s="26">
        <v>60</v>
      </c>
      <c r="BM58" s="16">
        <v>10</v>
      </c>
      <c r="BN58" s="16">
        <v>310</v>
      </c>
      <c r="BO58" s="16">
        <v>100</v>
      </c>
    </row>
    <row r="59" spans="1:68" s="5" customFormat="1" ht="21.9" customHeight="1" x14ac:dyDescent="0.25">
      <c r="A59" s="125"/>
      <c r="B59" s="4"/>
      <c r="C59" s="47" t="s">
        <v>76</v>
      </c>
      <c r="D59" s="48"/>
      <c r="E59" s="16">
        <v>430</v>
      </c>
      <c r="F59" s="26"/>
      <c r="G59" s="26"/>
      <c r="H59" s="26"/>
      <c r="I59" s="26"/>
      <c r="J59" s="26"/>
      <c r="K59" s="26"/>
      <c r="L59" s="26">
        <v>2</v>
      </c>
      <c r="M59" s="26"/>
      <c r="N59" s="26"/>
      <c r="O59" s="26"/>
      <c r="P59" s="26"/>
      <c r="Q59" s="26"/>
      <c r="R59" s="26">
        <v>1</v>
      </c>
      <c r="S59" s="26"/>
      <c r="T59" s="16"/>
      <c r="U59" s="16">
        <v>2</v>
      </c>
      <c r="V59" s="16"/>
      <c r="W59" s="16">
        <v>9</v>
      </c>
      <c r="X59" s="16"/>
      <c r="Y59" s="16">
        <v>1</v>
      </c>
      <c r="Z59" s="16">
        <v>2</v>
      </c>
      <c r="AA59" s="16"/>
      <c r="AB59" s="16"/>
      <c r="AC59" s="16"/>
      <c r="AD59" s="16">
        <v>2</v>
      </c>
      <c r="AE59" s="16"/>
      <c r="AF59" s="16"/>
      <c r="AG59" s="16"/>
      <c r="AH59" s="16"/>
      <c r="AI59" s="16"/>
      <c r="AJ59" s="16"/>
      <c r="AK59" s="98">
        <v>3</v>
      </c>
      <c r="AL59" s="16">
        <v>1</v>
      </c>
      <c r="AM59" s="16">
        <v>1</v>
      </c>
      <c r="AN59" s="16">
        <v>1</v>
      </c>
      <c r="AO59" s="26"/>
      <c r="AP59" s="26"/>
      <c r="AQ59" s="26"/>
      <c r="AR59" s="16">
        <v>3</v>
      </c>
      <c r="AS59" s="16">
        <v>2</v>
      </c>
      <c r="AT59" s="26"/>
      <c r="AU59" s="16">
        <v>13</v>
      </c>
      <c r="AV59" s="16">
        <v>2</v>
      </c>
      <c r="AW59" s="26"/>
      <c r="AX59" s="16"/>
      <c r="AY59" s="16"/>
      <c r="AZ59" s="26"/>
      <c r="BA59" s="26"/>
      <c r="BB59" s="26"/>
      <c r="BC59" s="26"/>
      <c r="BD59" s="26"/>
      <c r="BE59" s="16">
        <v>2</v>
      </c>
      <c r="BF59" s="26">
        <v>4</v>
      </c>
      <c r="BG59" s="16">
        <v>330</v>
      </c>
      <c r="BH59" s="26">
        <v>8</v>
      </c>
      <c r="BI59" s="16"/>
      <c r="BJ59" s="16">
        <v>41</v>
      </c>
      <c r="BK59" s="16"/>
      <c r="BL59" s="26"/>
      <c r="BM59" s="26"/>
      <c r="BN59" s="26"/>
      <c r="BO59" s="26"/>
    </row>
    <row r="60" spans="1:68" s="5" customFormat="1" ht="21.9" customHeight="1" x14ac:dyDescent="0.25">
      <c r="A60" s="125" t="s">
        <v>95</v>
      </c>
      <c r="B60" s="4"/>
      <c r="C60" s="47" t="s">
        <v>75</v>
      </c>
      <c r="D60" s="48"/>
      <c r="E60" s="28">
        <v>12828</v>
      </c>
      <c r="F60" s="16">
        <v>91</v>
      </c>
      <c r="G60" s="16">
        <v>280</v>
      </c>
      <c r="H60" s="16">
        <v>0</v>
      </c>
      <c r="I60" s="16">
        <v>100</v>
      </c>
      <c r="J60" s="16">
        <v>0</v>
      </c>
      <c r="K60" s="16">
        <v>4272</v>
      </c>
      <c r="L60" s="16">
        <v>859</v>
      </c>
      <c r="M60" s="16">
        <v>250</v>
      </c>
      <c r="N60" s="16">
        <v>0</v>
      </c>
      <c r="O60" s="16">
        <v>0</v>
      </c>
      <c r="P60" s="16">
        <v>0</v>
      </c>
      <c r="Q60" s="16">
        <v>478</v>
      </c>
      <c r="R60" s="16">
        <v>563</v>
      </c>
      <c r="S60" s="16">
        <v>0</v>
      </c>
      <c r="T60" s="16">
        <v>65</v>
      </c>
      <c r="U60" s="16">
        <v>166</v>
      </c>
      <c r="V60" s="26">
        <v>60</v>
      </c>
      <c r="W60" s="16">
        <v>27</v>
      </c>
      <c r="X60" s="16">
        <v>6</v>
      </c>
      <c r="Y60" s="16">
        <v>100</v>
      </c>
      <c r="Z60" s="16">
        <v>290</v>
      </c>
      <c r="AA60" s="26">
        <v>0</v>
      </c>
      <c r="AB60" s="16">
        <v>352</v>
      </c>
      <c r="AC60" s="26">
        <v>0</v>
      </c>
      <c r="AD60" s="16">
        <v>967</v>
      </c>
      <c r="AE60" s="26">
        <v>500</v>
      </c>
      <c r="AF60" s="26">
        <v>0</v>
      </c>
      <c r="AG60" s="16">
        <v>970</v>
      </c>
      <c r="AH60" s="16">
        <v>358</v>
      </c>
      <c r="AI60" s="26">
        <v>50</v>
      </c>
      <c r="AJ60" s="26">
        <v>0</v>
      </c>
      <c r="AK60" s="98">
        <v>208</v>
      </c>
      <c r="AL60" s="16">
        <v>50</v>
      </c>
      <c r="AM60" s="26">
        <v>0</v>
      </c>
      <c r="AN60" s="26">
        <v>0</v>
      </c>
      <c r="AO60" s="26">
        <v>0</v>
      </c>
      <c r="AP60" s="26">
        <v>0</v>
      </c>
      <c r="AQ60" s="26">
        <v>0</v>
      </c>
      <c r="AR60" s="16">
        <v>70</v>
      </c>
      <c r="AS60" s="16">
        <v>192</v>
      </c>
      <c r="AT60" s="16">
        <v>0</v>
      </c>
      <c r="AU60" s="16">
        <v>56</v>
      </c>
      <c r="AV60" s="16">
        <v>122</v>
      </c>
      <c r="AW60" s="26">
        <v>0</v>
      </c>
      <c r="AX60" s="16">
        <v>100</v>
      </c>
      <c r="AY60" s="26">
        <v>0</v>
      </c>
      <c r="AZ60" s="26">
        <v>0</v>
      </c>
      <c r="BA60" s="26">
        <v>0</v>
      </c>
      <c r="BB60" s="26">
        <v>0</v>
      </c>
      <c r="BC60" s="26">
        <v>0</v>
      </c>
      <c r="BD60" s="26">
        <v>0</v>
      </c>
      <c r="BE60" s="16">
        <v>654</v>
      </c>
      <c r="BF60" s="16">
        <v>2</v>
      </c>
      <c r="BG60" s="26">
        <v>99</v>
      </c>
      <c r="BH60" s="26">
        <v>0</v>
      </c>
      <c r="BI60" s="16">
        <v>0</v>
      </c>
      <c r="BJ60" s="26">
        <v>0</v>
      </c>
      <c r="BK60" s="26">
        <v>0</v>
      </c>
      <c r="BL60" s="16">
        <v>272</v>
      </c>
      <c r="BM60" s="16">
        <v>199</v>
      </c>
      <c r="BN60" s="26">
        <v>0</v>
      </c>
      <c r="BO60" s="16">
        <v>0</v>
      </c>
    </row>
    <row r="61" spans="1:68" s="5" customFormat="1" ht="21.9" customHeight="1" x14ac:dyDescent="0.25">
      <c r="A61" s="125"/>
      <c r="B61" s="4"/>
      <c r="C61" s="47" t="s">
        <v>76</v>
      </c>
      <c r="D61" s="48"/>
      <c r="E61" s="28">
        <v>8</v>
      </c>
      <c r="F61" s="26"/>
      <c r="G61" s="26"/>
      <c r="H61" s="26"/>
      <c r="I61" s="26"/>
      <c r="J61" s="26"/>
      <c r="K61" s="26"/>
      <c r="L61" s="26"/>
      <c r="M61" s="26"/>
      <c r="N61" s="26"/>
      <c r="O61" s="26"/>
      <c r="P61" s="26"/>
      <c r="Q61" s="26"/>
      <c r="R61" s="26"/>
      <c r="S61" s="26"/>
      <c r="T61" s="26"/>
      <c r="U61" s="26"/>
      <c r="V61" s="26">
        <v>0</v>
      </c>
      <c r="W61" s="26"/>
      <c r="X61" s="26"/>
      <c r="Y61" s="26"/>
      <c r="Z61" s="26"/>
      <c r="AA61" s="26">
        <v>0</v>
      </c>
      <c r="AB61" s="26">
        <v>0</v>
      </c>
      <c r="AC61" s="26"/>
      <c r="AD61" s="26"/>
      <c r="AE61" s="26"/>
      <c r="AF61" s="26"/>
      <c r="AG61" s="26"/>
      <c r="AH61" s="26"/>
      <c r="AI61" s="26">
        <v>0</v>
      </c>
      <c r="AJ61" s="26"/>
      <c r="AK61" s="99"/>
      <c r="AL61" s="26"/>
      <c r="AM61" s="26"/>
      <c r="AN61" s="26"/>
      <c r="AO61" s="26"/>
      <c r="AP61" s="26"/>
      <c r="AQ61" s="26"/>
      <c r="AR61" s="26">
        <v>0</v>
      </c>
      <c r="AS61" s="26">
        <v>0</v>
      </c>
      <c r="AT61" s="26"/>
      <c r="AU61" s="26"/>
      <c r="AV61" s="26">
        <v>3</v>
      </c>
      <c r="AW61" s="26"/>
      <c r="AX61" s="26"/>
      <c r="AY61" s="26"/>
      <c r="AZ61" s="26"/>
      <c r="BA61" s="26"/>
      <c r="BB61" s="26"/>
      <c r="BC61" s="26"/>
      <c r="BD61" s="26"/>
      <c r="BE61" s="26">
        <v>1</v>
      </c>
      <c r="BF61" s="16"/>
      <c r="BG61" s="26">
        <v>4</v>
      </c>
      <c r="BH61" s="26"/>
      <c r="BI61" s="26"/>
      <c r="BJ61" s="26"/>
      <c r="BK61" s="26"/>
      <c r="BL61" s="26">
        <v>0</v>
      </c>
      <c r="BM61" s="26"/>
      <c r="BN61" s="26"/>
      <c r="BO61" s="26"/>
    </row>
    <row r="62" spans="1:68" s="5" customFormat="1" ht="21.9" customHeight="1" x14ac:dyDescent="0.25">
      <c r="A62" s="125" t="s">
        <v>96</v>
      </c>
      <c r="B62" s="4"/>
      <c r="C62" s="47" t="s">
        <v>75</v>
      </c>
      <c r="D62" s="48"/>
      <c r="E62" s="28">
        <v>866</v>
      </c>
      <c r="F62" s="16">
        <v>16</v>
      </c>
      <c r="G62" s="16">
        <v>0</v>
      </c>
      <c r="H62" s="16">
        <v>0</v>
      </c>
      <c r="I62" s="16">
        <v>0</v>
      </c>
      <c r="J62" s="16">
        <v>0</v>
      </c>
      <c r="K62" s="16">
        <v>0</v>
      </c>
      <c r="L62" s="16">
        <v>17</v>
      </c>
      <c r="M62" s="16">
        <v>0</v>
      </c>
      <c r="N62" s="16">
        <v>0</v>
      </c>
      <c r="O62" s="16">
        <v>0</v>
      </c>
      <c r="P62" s="16">
        <v>0</v>
      </c>
      <c r="Q62" s="16">
        <v>23</v>
      </c>
      <c r="R62" s="16">
        <v>8</v>
      </c>
      <c r="S62" s="16">
        <v>0</v>
      </c>
      <c r="T62" s="16">
        <v>6</v>
      </c>
      <c r="U62" s="16">
        <v>84</v>
      </c>
      <c r="V62" s="16">
        <v>6</v>
      </c>
      <c r="W62" s="16">
        <v>5</v>
      </c>
      <c r="X62" s="16">
        <v>0</v>
      </c>
      <c r="Y62" s="16">
        <v>10</v>
      </c>
      <c r="Z62" s="16">
        <v>0</v>
      </c>
      <c r="AA62" s="16">
        <v>5</v>
      </c>
      <c r="AB62" s="16">
        <v>8</v>
      </c>
      <c r="AC62" s="16">
        <v>0</v>
      </c>
      <c r="AD62" s="16">
        <v>153</v>
      </c>
      <c r="AE62" s="26">
        <v>5</v>
      </c>
      <c r="AF62" s="16">
        <v>5</v>
      </c>
      <c r="AG62" s="16">
        <v>417</v>
      </c>
      <c r="AH62" s="16">
        <v>0</v>
      </c>
      <c r="AI62" s="16">
        <v>16</v>
      </c>
      <c r="AJ62" s="26">
        <v>0</v>
      </c>
      <c r="AK62" s="98">
        <v>4</v>
      </c>
      <c r="AL62" s="16">
        <v>0</v>
      </c>
      <c r="AM62" s="16">
        <v>0</v>
      </c>
      <c r="AN62" s="16">
        <v>0</v>
      </c>
      <c r="AO62" s="26">
        <v>0</v>
      </c>
      <c r="AP62" s="26">
        <v>0</v>
      </c>
      <c r="AQ62" s="26">
        <v>0</v>
      </c>
      <c r="AR62" s="16">
        <v>3</v>
      </c>
      <c r="AS62" s="16">
        <v>30</v>
      </c>
      <c r="AT62" s="26">
        <v>10</v>
      </c>
      <c r="AU62" s="16">
        <v>25</v>
      </c>
      <c r="AV62" s="16">
        <v>10</v>
      </c>
      <c r="AW62" s="26">
        <v>0</v>
      </c>
      <c r="AX62" s="16">
        <v>0</v>
      </c>
      <c r="AY62" s="26">
        <v>0</v>
      </c>
      <c r="AZ62" s="26">
        <v>0</v>
      </c>
      <c r="BA62" s="26">
        <v>0</v>
      </c>
      <c r="BB62" s="26">
        <v>0</v>
      </c>
      <c r="BC62" s="26">
        <v>0</v>
      </c>
      <c r="BD62" s="26">
        <v>0</v>
      </c>
      <c r="BE62" s="16">
        <v>0</v>
      </c>
      <c r="BF62" s="16">
        <v>0</v>
      </c>
      <c r="BG62" s="26">
        <v>0</v>
      </c>
      <c r="BH62" s="26">
        <v>0</v>
      </c>
      <c r="BI62" s="26">
        <v>0</v>
      </c>
      <c r="BJ62" s="26">
        <v>0</v>
      </c>
      <c r="BK62" s="16">
        <v>0</v>
      </c>
      <c r="BL62" s="16">
        <v>0</v>
      </c>
      <c r="BM62" s="26">
        <v>0</v>
      </c>
      <c r="BN62" s="26">
        <v>0</v>
      </c>
      <c r="BO62" s="16">
        <v>0</v>
      </c>
    </row>
    <row r="63" spans="1:68" s="5" customFormat="1" ht="21.9" customHeight="1" x14ac:dyDescent="0.25">
      <c r="A63" s="134"/>
      <c r="B63" s="6"/>
      <c r="C63" s="49" t="s">
        <v>76</v>
      </c>
      <c r="D63" s="50"/>
      <c r="E63" s="79">
        <v>23</v>
      </c>
      <c r="F63" s="56"/>
      <c r="G63" s="56"/>
      <c r="H63" s="56"/>
      <c r="I63" s="56"/>
      <c r="J63" s="56"/>
      <c r="K63" s="56"/>
      <c r="L63" s="56">
        <v>1</v>
      </c>
      <c r="M63" s="56"/>
      <c r="N63" s="56"/>
      <c r="O63" s="56"/>
      <c r="P63" s="56"/>
      <c r="Q63" s="56"/>
      <c r="R63" s="56"/>
      <c r="S63" s="56"/>
      <c r="T63" s="56"/>
      <c r="U63" s="56"/>
      <c r="V63" s="56">
        <v>6</v>
      </c>
      <c r="W63" s="57">
        <v>1</v>
      </c>
      <c r="X63" s="56"/>
      <c r="Y63" s="56"/>
      <c r="Z63" s="56"/>
      <c r="AA63" s="56">
        <v>5</v>
      </c>
      <c r="AB63" s="56">
        <v>1</v>
      </c>
      <c r="AC63" s="57"/>
      <c r="AD63" s="56"/>
      <c r="AE63" s="56"/>
      <c r="AF63" s="56"/>
      <c r="AG63" s="57">
        <v>0</v>
      </c>
      <c r="AH63" s="56"/>
      <c r="AI63" s="56">
        <v>5</v>
      </c>
      <c r="AJ63" s="56"/>
      <c r="AK63" s="55">
        <v>1</v>
      </c>
      <c r="AL63" s="56"/>
      <c r="AM63" s="56"/>
      <c r="AN63" s="56"/>
      <c r="AO63" s="56"/>
      <c r="AP63" s="56"/>
      <c r="AQ63" s="56"/>
      <c r="AR63" s="56">
        <v>0</v>
      </c>
      <c r="AS63" s="56">
        <v>3</v>
      </c>
      <c r="AT63" s="56"/>
      <c r="AU63" s="56"/>
      <c r="AV63" s="56"/>
      <c r="AW63" s="56"/>
      <c r="AX63" s="56"/>
      <c r="AY63" s="56"/>
      <c r="AZ63" s="56"/>
      <c r="BA63" s="56"/>
      <c r="BB63" s="56"/>
      <c r="BC63" s="56"/>
      <c r="BD63" s="56"/>
      <c r="BE63" s="56"/>
      <c r="BF63" s="56"/>
      <c r="BG63" s="56"/>
      <c r="BH63" s="56"/>
      <c r="BI63" s="56"/>
      <c r="BJ63" s="56"/>
      <c r="BK63" s="56"/>
      <c r="BL63" s="56"/>
      <c r="BM63" s="56"/>
      <c r="BN63" s="56"/>
      <c r="BO63" s="57"/>
    </row>
    <row r="64" spans="1:68" s="5" customFormat="1" ht="21.9" customHeight="1" x14ac:dyDescent="0.3">
      <c r="A64" s="76" t="s">
        <v>188</v>
      </c>
      <c r="AK64" s="63" t="s">
        <v>191</v>
      </c>
      <c r="AL64" s="63"/>
      <c r="AM64" s="63"/>
      <c r="AN64" s="64"/>
      <c r="AO64" s="64"/>
      <c r="AP64" s="63" t="s">
        <v>178</v>
      </c>
      <c r="AQ64" s="63"/>
      <c r="AR64" s="62"/>
      <c r="AS64" s="63"/>
      <c r="AT64" s="62"/>
      <c r="AU64" s="58"/>
      <c r="AV64" s="63"/>
      <c r="AW64" s="62" t="s">
        <v>179</v>
      </c>
      <c r="AX64" s="64"/>
      <c r="AY64" s="64"/>
      <c r="AZ64" s="62"/>
      <c r="BA64" s="58"/>
      <c r="BB64" s="63"/>
      <c r="BC64" s="62"/>
      <c r="BD64" s="65"/>
      <c r="BE64" s="64"/>
      <c r="BF64" s="5" t="s">
        <v>180</v>
      </c>
      <c r="BG64" s="58"/>
      <c r="BH64" s="76"/>
      <c r="BI64" s="62"/>
      <c r="BJ64" s="62"/>
    </row>
    <row r="65" spans="37:62" s="5" customFormat="1" ht="21.9" customHeight="1" x14ac:dyDescent="0.3">
      <c r="AK65" s="63"/>
      <c r="AL65" s="63"/>
      <c r="AM65" s="63"/>
      <c r="AN65" s="64"/>
      <c r="AO65" s="64"/>
      <c r="AP65" s="64"/>
      <c r="AQ65" s="65"/>
      <c r="AR65" s="63"/>
      <c r="AS65" s="63"/>
      <c r="AT65" s="63"/>
      <c r="AU65" s="58"/>
      <c r="AV65" s="63"/>
      <c r="AW65" s="65" t="s">
        <v>181</v>
      </c>
      <c r="AX65" s="63"/>
      <c r="AY65" s="63"/>
      <c r="AZ65" s="62"/>
      <c r="BA65" s="63"/>
      <c r="BB65" s="63"/>
      <c r="BC65" s="62"/>
      <c r="BD65" s="65"/>
      <c r="BE65" s="63"/>
      <c r="BF65" s="62"/>
      <c r="BG65" s="59"/>
      <c r="BH65" s="58"/>
      <c r="BI65" s="62"/>
      <c r="BJ65" s="62"/>
    </row>
    <row r="66" spans="37:62" ht="21.9" customHeight="1" x14ac:dyDescent="0.3">
      <c r="AK66" s="76" t="s">
        <v>192</v>
      </c>
      <c r="AL66" s="62"/>
      <c r="AM66" s="58"/>
      <c r="AN66" s="76"/>
      <c r="AO66" s="76"/>
      <c r="AP66" s="77"/>
      <c r="AQ66" s="76"/>
      <c r="AR66" s="74"/>
      <c r="AS66" s="76"/>
      <c r="AT66" s="76"/>
      <c r="AU66" s="76"/>
      <c r="AV66" s="76"/>
      <c r="AW66" s="76"/>
      <c r="AX66" s="77"/>
      <c r="AY66" s="76"/>
      <c r="AZ66" s="76"/>
      <c r="BA66" s="76"/>
      <c r="BB66" s="76"/>
      <c r="BC66" s="59"/>
      <c r="BD66" s="59"/>
      <c r="BE66" s="59"/>
      <c r="BF66" s="75"/>
      <c r="BG66" s="59"/>
      <c r="BH66" s="58"/>
      <c r="BI66" s="62"/>
      <c r="BJ66" s="62"/>
    </row>
    <row r="67" spans="37:62" ht="21.9" customHeight="1" x14ac:dyDescent="0.3">
      <c r="AK67" s="5" t="s">
        <v>195</v>
      </c>
      <c r="AL67" s="62"/>
      <c r="AM67" s="58"/>
      <c r="AN67" s="76"/>
      <c r="AO67" s="76"/>
      <c r="AP67" s="77"/>
      <c r="AQ67" s="76"/>
      <c r="AR67" s="74"/>
      <c r="AS67" s="76"/>
      <c r="AT67" s="76"/>
      <c r="AU67" s="76"/>
      <c r="AV67" s="76"/>
      <c r="AW67" s="76"/>
      <c r="AX67" s="77"/>
      <c r="AY67" s="76"/>
      <c r="AZ67" s="76"/>
      <c r="BA67" s="76"/>
      <c r="BB67" s="76"/>
      <c r="BC67" s="59"/>
      <c r="BD67" s="59"/>
      <c r="BE67" s="59"/>
      <c r="BF67" s="75"/>
      <c r="BG67" s="78"/>
      <c r="BH67" s="78"/>
      <c r="BI67" s="62"/>
      <c r="BJ67" s="62"/>
    </row>
    <row r="68" spans="37:62" ht="21.9" customHeight="1" x14ac:dyDescent="0.3">
      <c r="AK68" s="76" t="s">
        <v>193</v>
      </c>
      <c r="AL68" s="76"/>
      <c r="AM68" s="76"/>
      <c r="AN68" s="77"/>
      <c r="AO68" s="76"/>
      <c r="AP68" s="74"/>
      <c r="AQ68" s="74"/>
      <c r="AR68" s="74"/>
      <c r="AS68" s="76"/>
      <c r="AT68" s="76"/>
      <c r="AU68" s="76"/>
      <c r="AV68" s="76"/>
      <c r="AW68" s="76"/>
      <c r="AX68" s="77"/>
      <c r="AY68" s="76"/>
      <c r="AZ68" s="76"/>
      <c r="BA68" s="76"/>
      <c r="BB68" s="76"/>
      <c r="BC68" s="59"/>
      <c r="BD68" s="59"/>
      <c r="BE68" s="59"/>
      <c r="BF68" s="75"/>
      <c r="BG68" s="78"/>
      <c r="BH68" s="78"/>
      <c r="BI68" s="62"/>
      <c r="BJ68" s="62"/>
    </row>
  </sheetData>
  <mergeCells count="122">
    <mergeCell ref="AK3:BO3"/>
    <mergeCell ref="A4:AJ4"/>
    <mergeCell ref="AK4:BO4"/>
    <mergeCell ref="AG6:AJ6"/>
    <mergeCell ref="AK6:AN6"/>
    <mergeCell ref="A6:D11"/>
    <mergeCell ref="A3:AJ3"/>
    <mergeCell ref="K7:K11"/>
    <mergeCell ref="L7:L11"/>
    <mergeCell ref="M7:M11"/>
    <mergeCell ref="K6:M6"/>
    <mergeCell ref="N6:P6"/>
    <mergeCell ref="Q6:S6"/>
    <mergeCell ref="T6:AF6"/>
    <mergeCell ref="N7:N11"/>
    <mergeCell ref="O7:O11"/>
    <mergeCell ref="P7:P11"/>
    <mergeCell ref="AO6:AQ6"/>
    <mergeCell ref="AR6:AS6"/>
    <mergeCell ref="AT6:AV6"/>
    <mergeCell ref="Q7:Q11"/>
    <mergeCell ref="R7:R11"/>
    <mergeCell ref="S7:S11"/>
    <mergeCell ref="T7:T11"/>
    <mergeCell ref="BK1:BL1"/>
    <mergeCell ref="BM1:BO1"/>
    <mergeCell ref="AF2:AG2"/>
    <mergeCell ref="AH2:AJ2"/>
    <mergeCell ref="BK2:BL2"/>
    <mergeCell ref="BM2:BO2"/>
    <mergeCell ref="A1:B1"/>
    <mergeCell ref="A2:B2"/>
    <mergeCell ref="AK1:AL1"/>
    <mergeCell ref="AK2:AL2"/>
    <mergeCell ref="AF1:AG1"/>
    <mergeCell ref="AH1:AJ1"/>
    <mergeCell ref="V7:V11"/>
    <mergeCell ref="BM6:BO6"/>
    <mergeCell ref="BF7:BF11"/>
    <mergeCell ref="BI7:BI11"/>
    <mergeCell ref="BJ7:BJ11"/>
    <mergeCell ref="BK7:BK11"/>
    <mergeCell ref="BN7:BN11"/>
    <mergeCell ref="BO7:BO11"/>
    <mergeCell ref="BD6:BF6"/>
    <mergeCell ref="BL7:BL11"/>
    <mergeCell ref="BM7:BM11"/>
    <mergeCell ref="AW6:AX6"/>
    <mergeCell ref="AY6:AZ6"/>
    <mergeCell ref="BA6:BB6"/>
    <mergeCell ref="BG6:BG11"/>
    <mergeCell ref="BH6:BH11"/>
    <mergeCell ref="BI6:BL6"/>
    <mergeCell ref="BD7:BD11"/>
    <mergeCell ref="BE7:BE11"/>
    <mergeCell ref="BC6:BC11"/>
    <mergeCell ref="AY7:AY11"/>
    <mergeCell ref="AZ7:AZ11"/>
    <mergeCell ref="BA7:BA11"/>
    <mergeCell ref="BB7:BB11"/>
    <mergeCell ref="AW7:AW11"/>
    <mergeCell ref="AX7:AX11"/>
    <mergeCell ref="AM7:AM11"/>
    <mergeCell ref="AN7:AN11"/>
    <mergeCell ref="AO7:AO11"/>
    <mergeCell ref="AP7:AP11"/>
    <mergeCell ref="AQ7:AQ11"/>
    <mergeCell ref="AR7:AR11"/>
    <mergeCell ref="W7:W11"/>
    <mergeCell ref="X7:X11"/>
    <mergeCell ref="Y7:Y11"/>
    <mergeCell ref="Z7:Z11"/>
    <mergeCell ref="AA7:AA11"/>
    <mergeCell ref="AB7:AB11"/>
    <mergeCell ref="AC7:AC11"/>
    <mergeCell ref="AD7:AD11"/>
    <mergeCell ref="AE7:AE11"/>
    <mergeCell ref="A12:A13"/>
    <mergeCell ref="A14:A15"/>
    <mergeCell ref="A16:A17"/>
    <mergeCell ref="AS7:AS11"/>
    <mergeCell ref="AT7:AT11"/>
    <mergeCell ref="AU7:AU11"/>
    <mergeCell ref="AV7:AV11"/>
    <mergeCell ref="A18:A19"/>
    <mergeCell ref="A22:A23"/>
    <mergeCell ref="AF7:AF11"/>
    <mergeCell ref="AG7:AG11"/>
    <mergeCell ref="AH7:AH11"/>
    <mergeCell ref="AI7:AI11"/>
    <mergeCell ref="AJ7:AJ11"/>
    <mergeCell ref="AK7:AK11"/>
    <mergeCell ref="AL7:AL11"/>
    <mergeCell ref="F7:F11"/>
    <mergeCell ref="G7:G11"/>
    <mergeCell ref="H7:H11"/>
    <mergeCell ref="I7:I11"/>
    <mergeCell ref="J7:J11"/>
    <mergeCell ref="E6:E11"/>
    <mergeCell ref="F6:J6"/>
    <mergeCell ref="U7:U11"/>
    <mergeCell ref="A26:A27"/>
    <mergeCell ref="A20:A21"/>
    <mergeCell ref="A24:A25"/>
    <mergeCell ref="A50:A51"/>
    <mergeCell ref="A28:A29"/>
    <mergeCell ref="A30:A31"/>
    <mergeCell ref="A32:A33"/>
    <mergeCell ref="A34:A35"/>
    <mergeCell ref="A36:A37"/>
    <mergeCell ref="A38:A39"/>
    <mergeCell ref="A40:A41"/>
    <mergeCell ref="A54:A55"/>
    <mergeCell ref="A56:A57"/>
    <mergeCell ref="A58:A59"/>
    <mergeCell ref="A60:A61"/>
    <mergeCell ref="A62:A63"/>
    <mergeCell ref="A42:A43"/>
    <mergeCell ref="A44:A45"/>
    <mergeCell ref="A46:A47"/>
    <mergeCell ref="A48:A49"/>
    <mergeCell ref="A52:A53"/>
  </mergeCells>
  <phoneticPr fontId="5" type="noConversion"/>
  <printOptions horizontalCentered="1"/>
  <pageMargins left="0.74803149606299213" right="0.74803149606299213" top="1.1811023622047245" bottom="0.78740157480314965" header="0" footer="0"/>
  <pageSetup paperSize="8" scale="60"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25"/>
  <sheetViews>
    <sheetView workbookViewId="0">
      <selection activeCell="A3" sqref="A3"/>
    </sheetView>
  </sheetViews>
  <sheetFormatPr defaultColWidth="14.33203125" defaultRowHeight="15.6" x14ac:dyDescent="0.3"/>
  <cols>
    <col min="1" max="16384" width="14.33203125" style="9"/>
  </cols>
  <sheetData>
    <row r="1" spans="1:13" ht="33" customHeight="1" x14ac:dyDescent="0.4">
      <c r="D1" s="10" t="s">
        <v>11</v>
      </c>
    </row>
    <row r="2" spans="1:13" ht="12" customHeight="1" x14ac:dyDescent="0.35">
      <c r="A2" s="11"/>
    </row>
    <row r="3" spans="1:13" ht="21" customHeight="1" x14ac:dyDescent="0.3">
      <c r="A3" s="12" t="s">
        <v>26</v>
      </c>
    </row>
    <row r="4" spans="1:13" ht="21" customHeight="1" x14ac:dyDescent="0.3">
      <c r="A4" s="12" t="s">
        <v>29</v>
      </c>
    </row>
    <row r="5" spans="1:13" ht="21" customHeight="1" x14ac:dyDescent="0.3">
      <c r="A5" s="12" t="s">
        <v>25</v>
      </c>
    </row>
    <row r="6" spans="1:13" ht="21" customHeight="1" x14ac:dyDescent="0.3">
      <c r="A6" s="12" t="s">
        <v>27</v>
      </c>
    </row>
    <row r="7" spans="1:13" ht="21" customHeight="1" x14ac:dyDescent="0.3">
      <c r="A7" s="13" t="s">
        <v>30</v>
      </c>
      <c r="B7" s="12"/>
      <c r="C7" s="12"/>
      <c r="D7" s="12"/>
      <c r="E7" s="12"/>
      <c r="F7" s="12"/>
      <c r="G7" s="12"/>
      <c r="H7" s="12"/>
      <c r="I7" s="12"/>
      <c r="J7" s="12"/>
      <c r="K7" s="12"/>
      <c r="L7" s="12"/>
      <c r="M7" s="12"/>
    </row>
    <row r="8" spans="1:13" ht="17.100000000000001" customHeight="1" x14ac:dyDescent="0.3">
      <c r="A8" s="13" t="s">
        <v>13</v>
      </c>
      <c r="B8" s="12"/>
      <c r="C8" s="12"/>
      <c r="D8" s="12"/>
      <c r="E8" s="12"/>
      <c r="F8" s="12"/>
      <c r="G8" s="12"/>
      <c r="H8" s="12"/>
      <c r="I8" s="12"/>
      <c r="J8" s="12"/>
      <c r="K8" s="12"/>
      <c r="L8" s="12"/>
      <c r="M8" s="12"/>
    </row>
    <row r="9" spans="1:13" ht="17.100000000000001" customHeight="1" x14ac:dyDescent="0.3">
      <c r="A9" s="13" t="s">
        <v>14</v>
      </c>
      <c r="B9" s="12"/>
      <c r="C9" s="12"/>
      <c r="D9" s="12"/>
      <c r="E9" s="12"/>
      <c r="F9" s="12"/>
      <c r="G9" s="12"/>
      <c r="H9" s="12"/>
      <c r="I9" s="12"/>
      <c r="J9" s="12"/>
      <c r="K9" s="12"/>
      <c r="L9" s="12"/>
      <c r="M9" s="12"/>
    </row>
    <row r="10" spans="1:13" ht="17.100000000000001" customHeight="1" x14ac:dyDescent="0.3">
      <c r="A10" s="13" t="s">
        <v>32</v>
      </c>
      <c r="B10" s="12"/>
      <c r="C10" s="12"/>
      <c r="D10" s="12"/>
      <c r="E10" s="12"/>
      <c r="F10" s="12"/>
      <c r="G10" s="12"/>
      <c r="H10" s="12"/>
      <c r="I10" s="12"/>
      <c r="J10" s="12"/>
      <c r="K10" s="12"/>
      <c r="L10" s="12"/>
      <c r="M10" s="12"/>
    </row>
    <row r="11" spans="1:13" ht="17.100000000000001" customHeight="1" x14ac:dyDescent="0.3">
      <c r="A11" s="13" t="s">
        <v>12</v>
      </c>
      <c r="B11" s="12"/>
      <c r="C11" s="12"/>
      <c r="D11" s="12"/>
      <c r="E11" s="12"/>
      <c r="F11" s="12"/>
      <c r="G11" s="12"/>
      <c r="H11" s="12"/>
      <c r="I11" s="12"/>
      <c r="J11" s="12"/>
      <c r="K11" s="12"/>
      <c r="L11" s="12"/>
      <c r="M11" s="12"/>
    </row>
    <row r="12" spans="1:13" ht="21" customHeight="1" x14ac:dyDescent="0.3">
      <c r="A12" s="13" t="s">
        <v>31</v>
      </c>
      <c r="B12" s="12"/>
      <c r="C12" s="12"/>
      <c r="D12" s="12"/>
      <c r="E12" s="12"/>
      <c r="F12" s="12"/>
      <c r="G12" s="12"/>
      <c r="H12" s="12"/>
      <c r="I12" s="12"/>
      <c r="J12" s="12"/>
      <c r="K12" s="12"/>
      <c r="L12" s="12"/>
      <c r="M12" s="12"/>
    </row>
    <row r="13" spans="1:13" ht="21" customHeight="1" x14ac:dyDescent="0.3">
      <c r="A13" s="19" t="s">
        <v>15</v>
      </c>
      <c r="B13" s="12"/>
      <c r="C13" s="12"/>
      <c r="D13" s="12"/>
      <c r="E13" s="12"/>
      <c r="F13" s="12"/>
      <c r="G13" s="12"/>
      <c r="H13" s="12"/>
      <c r="I13" s="12"/>
      <c r="J13" s="12"/>
      <c r="K13" s="12"/>
      <c r="L13" s="12"/>
      <c r="M13" s="12"/>
    </row>
    <row r="14" spans="1:13" ht="21" customHeight="1" x14ac:dyDescent="0.3">
      <c r="A14" s="19" t="s">
        <v>16</v>
      </c>
      <c r="B14" s="12"/>
      <c r="C14" s="12"/>
      <c r="D14" s="12"/>
      <c r="E14" s="12"/>
      <c r="F14" s="12"/>
      <c r="G14" s="12"/>
      <c r="H14" s="12"/>
      <c r="I14" s="12"/>
      <c r="J14" s="12"/>
      <c r="K14" s="12"/>
      <c r="L14" s="12"/>
      <c r="M14" s="12"/>
    </row>
    <row r="15" spans="1:13" ht="21" customHeight="1" x14ac:dyDescent="0.3">
      <c r="A15" s="14" t="s">
        <v>28</v>
      </c>
      <c r="B15" s="12"/>
      <c r="C15" s="12"/>
      <c r="D15" s="12"/>
      <c r="E15" s="12"/>
      <c r="F15" s="12"/>
      <c r="G15" s="12"/>
      <c r="H15" s="12"/>
      <c r="I15" s="12"/>
      <c r="J15" s="12"/>
      <c r="K15" s="12"/>
      <c r="L15" s="12"/>
      <c r="M15" s="12"/>
    </row>
    <row r="16" spans="1:13" ht="21" customHeight="1" x14ac:dyDescent="0.3">
      <c r="A16" s="14" t="s">
        <v>17</v>
      </c>
      <c r="B16" s="12"/>
      <c r="C16" s="12"/>
      <c r="D16" s="12"/>
      <c r="E16" s="12"/>
      <c r="F16" s="12"/>
      <c r="G16" s="12"/>
      <c r="H16" s="12"/>
      <c r="I16" s="12"/>
      <c r="J16" s="12"/>
      <c r="K16" s="12"/>
      <c r="L16" s="12"/>
      <c r="M16" s="12"/>
    </row>
    <row r="17" spans="1:13" ht="21" customHeight="1" x14ac:dyDescent="0.3">
      <c r="A17" s="19" t="s">
        <v>18</v>
      </c>
      <c r="B17" s="12"/>
      <c r="C17" s="12"/>
      <c r="D17" s="12"/>
      <c r="E17" s="12"/>
      <c r="F17" s="12"/>
      <c r="G17" s="12"/>
      <c r="H17" s="12"/>
      <c r="I17" s="12"/>
      <c r="J17" s="12"/>
      <c r="K17" s="12"/>
      <c r="L17" s="12"/>
      <c r="M17" s="12"/>
    </row>
    <row r="18" spans="1:13" ht="21" customHeight="1" x14ac:dyDescent="0.3">
      <c r="A18" s="14" t="s">
        <v>19</v>
      </c>
      <c r="B18" s="12"/>
      <c r="C18" s="12"/>
      <c r="D18" s="12"/>
      <c r="E18" s="12"/>
      <c r="F18" s="12"/>
      <c r="G18" s="12"/>
      <c r="H18" s="12"/>
      <c r="I18" s="12"/>
      <c r="J18" s="12"/>
      <c r="K18" s="12"/>
      <c r="L18" s="12"/>
      <c r="M18" s="12"/>
    </row>
    <row r="19" spans="1:13" ht="21" customHeight="1" x14ac:dyDescent="0.3">
      <c r="A19" s="14" t="s">
        <v>20</v>
      </c>
      <c r="B19" s="12"/>
      <c r="C19" s="12"/>
      <c r="D19" s="12"/>
      <c r="E19" s="12"/>
      <c r="F19" s="12"/>
      <c r="G19" s="12"/>
      <c r="H19" s="12"/>
      <c r="I19" s="12"/>
      <c r="J19" s="12"/>
      <c r="K19" s="12"/>
      <c r="L19" s="12"/>
      <c r="M19" s="12"/>
    </row>
    <row r="20" spans="1:13" ht="21" customHeight="1" x14ac:dyDescent="0.3">
      <c r="A20" s="19" t="s">
        <v>21</v>
      </c>
      <c r="B20" s="12"/>
      <c r="C20" s="12"/>
      <c r="D20" s="12"/>
      <c r="E20" s="12"/>
      <c r="F20" s="12"/>
      <c r="G20" s="12"/>
      <c r="H20" s="12"/>
      <c r="I20" s="12"/>
      <c r="J20" s="12"/>
      <c r="K20" s="12"/>
      <c r="L20" s="12"/>
      <c r="M20" s="12"/>
    </row>
    <row r="21" spans="1:13" ht="21" customHeight="1" x14ac:dyDescent="0.3">
      <c r="A21" s="19" t="s">
        <v>22</v>
      </c>
      <c r="B21" s="12"/>
      <c r="C21" s="12"/>
      <c r="D21" s="12"/>
      <c r="E21" s="12"/>
      <c r="F21" s="12"/>
      <c r="G21" s="12"/>
      <c r="H21" s="12"/>
      <c r="I21" s="12"/>
      <c r="J21" s="12"/>
      <c r="K21" s="12"/>
      <c r="L21" s="12"/>
      <c r="M21" s="12"/>
    </row>
    <row r="22" spans="1:13" ht="21" customHeight="1" x14ac:dyDescent="0.3">
      <c r="A22" s="19" t="s">
        <v>23</v>
      </c>
      <c r="B22" s="12"/>
      <c r="C22" s="12"/>
      <c r="D22" s="12"/>
      <c r="E22" s="12"/>
      <c r="F22" s="12"/>
      <c r="G22" s="12"/>
      <c r="H22" s="12"/>
      <c r="I22" s="12"/>
      <c r="J22" s="12"/>
      <c r="K22" s="12"/>
      <c r="L22" s="12"/>
      <c r="M22" s="12"/>
    </row>
    <row r="23" spans="1:13" ht="21" customHeight="1" x14ac:dyDescent="0.3">
      <c r="A23" s="19" t="s">
        <v>24</v>
      </c>
      <c r="B23" s="12"/>
      <c r="C23" s="12"/>
      <c r="D23" s="12"/>
      <c r="E23" s="12"/>
      <c r="F23" s="12"/>
      <c r="G23" s="12"/>
      <c r="H23" s="12"/>
      <c r="I23" s="12"/>
      <c r="J23" s="12"/>
      <c r="K23" s="12"/>
      <c r="L23" s="12"/>
      <c r="M23" s="12"/>
    </row>
    <row r="24" spans="1:13" customFormat="1" ht="17.100000000000001" customHeight="1" x14ac:dyDescent="0.3">
      <c r="A24" s="18" t="s">
        <v>379</v>
      </c>
    </row>
    <row r="25" spans="1:13" customFormat="1" ht="17.100000000000001" customHeight="1" x14ac:dyDescent="0.3">
      <c r="A25" s="18" t="s">
        <v>380</v>
      </c>
    </row>
  </sheetData>
  <phoneticPr fontId="10" type="noConversion"/>
  <pageMargins left="1.1417322834645669" right="0.94488188976377963" top="0.98425196850393704" bottom="0.98425196850393704" header="0.51181102362204722" footer="0.51181102362204722"/>
  <pageSetup paperSize="8" firstPageNumber="79" orientation="landscape" useFirstPageNumber="1"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具名範圍</vt:lpstr>
      </vt:variant>
      <vt:variant>
        <vt:i4>9</vt:i4>
      </vt:variant>
    </vt:vector>
  </HeadingPairs>
  <TitlesOfParts>
    <vt:vector size="30" baseType="lpstr">
      <vt:lpstr>歷年</vt:lpstr>
      <vt:lpstr>114年</vt:lpstr>
      <vt:lpstr>113年</vt:lpstr>
      <vt:lpstr>112年</vt:lpstr>
      <vt:lpstr>111年</vt:lpstr>
      <vt:lpstr>110年</vt:lpstr>
      <vt:lpstr>109年</vt:lpstr>
      <vt:lpstr>108年</vt:lpstr>
      <vt:lpstr>107年</vt:lpstr>
      <vt:lpstr>106年</vt:lpstr>
      <vt:lpstr>105年</vt:lpstr>
      <vt:lpstr>104年</vt:lpstr>
      <vt:lpstr>103年</vt:lpstr>
      <vt:lpstr>102年</vt:lpstr>
      <vt:lpstr>101年</vt:lpstr>
      <vt:lpstr>100年</vt:lpstr>
      <vt:lpstr>99年</vt:lpstr>
      <vt:lpstr>98年</vt:lpstr>
      <vt:lpstr>97年</vt:lpstr>
      <vt:lpstr>96年</vt:lpstr>
      <vt:lpstr>編製說明</vt:lpstr>
      <vt:lpstr>'100年'!Print_Titles</vt:lpstr>
      <vt:lpstr>'101年'!Print_Titles</vt:lpstr>
      <vt:lpstr>'102年'!Print_Titles</vt:lpstr>
      <vt:lpstr>'103年'!Print_Titles</vt:lpstr>
      <vt:lpstr>'107年'!Print_Titles</vt:lpstr>
      <vt:lpstr>'96年'!Print_Titles</vt:lpstr>
      <vt:lpstr>'97年'!Print_Titles</vt:lpstr>
      <vt:lpstr>'98年'!Print_Titles</vt:lpstr>
      <vt:lpstr>'99年'!Print_Titles</vt:lpstr>
    </vt:vector>
  </TitlesOfParts>
  <Company>行政院衛生署</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表89 食品衛生管理工作</dc:title>
  <dc:subject>衛生署中英文網站</dc:subject>
  <dc:creator>行政院衛生署</dc:creator>
  <cp:keywords>表89 食品衛生管理工作</cp:keywords>
  <cp:lastModifiedBy>統計處羅蕙芳</cp:lastModifiedBy>
  <cp:lastPrinted>2023-04-18T01:40:26Z</cp:lastPrinted>
  <dcterms:created xsi:type="dcterms:W3CDTF">1996-01-31T01:26:18Z</dcterms:created>
  <dcterms:modified xsi:type="dcterms:W3CDTF">2026-03-04T03:52:03Z</dcterms:modified>
  <cp:category>I20</cp:category>
</cp:coreProperties>
</file>